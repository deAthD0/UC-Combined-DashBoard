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C:\Users\tecnico2\Desktop\aitec\Work\DIAMOND\Impact Analysis\Final Hierarchy UC-I\1+3 AHP\1+3 AHP\"/>
    </mc:Choice>
  </mc:AlternateContent>
  <xr:revisionPtr revIDLastSave="0" documentId="13_ncr:1_{28B2FF67-EE32-4D3D-BC83-2911FD9155DA}" xr6:coauthVersionLast="47" xr6:coauthVersionMax="47" xr10:uidLastSave="{00000000-0000-0000-0000-000000000000}"/>
  <bookViews>
    <workbookView xWindow="1140" yWindow="1140" windowWidth="14400" windowHeight="7360" tabRatio="865" activeTab="2" xr2:uid="{00000000-000D-0000-FFFF-FFFF00000000}"/>
  </bookViews>
  <sheets>
    <sheet name="Sheet1" sheetId="6" r:id="rId1"/>
    <sheet name="Sheet2" sheetId="7" r:id="rId2"/>
    <sheet name="Results" sheetId="5" r:id="rId3"/>
    <sheet name="Hierarchy" sheetId="15" r:id="rId4"/>
    <sheet name="Sociodem statistics" sheetId="8" r:id="rId5"/>
    <sheet name="Aggregated" sheetId="9" r:id="rId6"/>
    <sheet name="Women only" sheetId="10" r:id="rId7"/>
    <sheet name="Women(With Dependt)" sheetId="11" r:id="rId8"/>
    <sheet name="Poor Women" sheetId="12" r:id="rId9"/>
    <sheet name="Rural Women" sheetId="13" r:id="rId10"/>
    <sheet name="Discrimineted Women" sheetId="14" r:id="rId11"/>
  </sheets>
  <definedNames>
    <definedName name="_xlnm._FilterDatabase" localSheetId="0" hidden="1">Sheet1!$A$1:$CH$386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3" i="15" l="1"/>
  <c r="Q4" i="15"/>
  <c r="Q5" i="15"/>
  <c r="Q6" i="15"/>
  <c r="Q7" i="15"/>
  <c r="Q8" i="15"/>
  <c r="Q9" i="15"/>
  <c r="Q10" i="15"/>
  <c r="Q11" i="15"/>
  <c r="Q12" i="15"/>
  <c r="Q13" i="15"/>
  <c r="Q14" i="15"/>
  <c r="Q15" i="15"/>
  <c r="Q16" i="15"/>
  <c r="Q17" i="15"/>
  <c r="Q18" i="15"/>
  <c r="Q19" i="15"/>
  <c r="Q20" i="15"/>
  <c r="Q21" i="15"/>
  <c r="Q22" i="15"/>
  <c r="Q23" i="15"/>
  <c r="Q24" i="15"/>
  <c r="Q25" i="15"/>
  <c r="Q26" i="15"/>
  <c r="Q27" i="15"/>
  <c r="Q28" i="15"/>
  <c r="Q29" i="15"/>
  <c r="Q30" i="15"/>
  <c r="Q31" i="15"/>
  <c r="Q32" i="15"/>
  <c r="Q33" i="15"/>
  <c r="Q34" i="15"/>
  <c r="Q35" i="15"/>
  <c r="Q36" i="15"/>
  <c r="Q37" i="15"/>
  <c r="Q38" i="15"/>
  <c r="Q39" i="15"/>
  <c r="Q40" i="15"/>
  <c r="Q41" i="15"/>
  <c r="Q42" i="15"/>
  <c r="Q43" i="15"/>
  <c r="Q44" i="15"/>
  <c r="Q45" i="15"/>
  <c r="Q46" i="15"/>
  <c r="Q47" i="15"/>
  <c r="Q48" i="15"/>
  <c r="Q49" i="15"/>
  <c r="Q50" i="15"/>
  <c r="Q51" i="15"/>
  <c r="Q52" i="15"/>
  <c r="Q53" i="15"/>
  <c r="Q54" i="15"/>
  <c r="Q55" i="15"/>
  <c r="Q56" i="15"/>
  <c r="Q57" i="15"/>
  <c r="Q58" i="15"/>
  <c r="Q59" i="15"/>
  <c r="Q60" i="15"/>
  <c r="Q61" i="15"/>
  <c r="Q62" i="15"/>
  <c r="Q63" i="15"/>
  <c r="Q64" i="15"/>
  <c r="Q65" i="15"/>
  <c r="Q66" i="15"/>
  <c r="Q67" i="15"/>
  <c r="Q68" i="15"/>
  <c r="Q69" i="15"/>
  <c r="Q70" i="15"/>
  <c r="Q71" i="15"/>
  <c r="Q72" i="15"/>
  <c r="Q73" i="15"/>
  <c r="Q74" i="15"/>
  <c r="Q75" i="15"/>
  <c r="Q76" i="15"/>
  <c r="Q77" i="15"/>
  <c r="Q78" i="15"/>
  <c r="Q79" i="15"/>
  <c r="Q80" i="15"/>
  <c r="Q81" i="15"/>
  <c r="Q82" i="15"/>
  <c r="Q83" i="15"/>
  <c r="Q84" i="15"/>
  <c r="Q85" i="15"/>
  <c r="Q86" i="15"/>
  <c r="Q87" i="15"/>
  <c r="Q88" i="15"/>
  <c r="Q89" i="15"/>
  <c r="Q90" i="15"/>
  <c r="Q91" i="15"/>
  <c r="Q92" i="15"/>
  <c r="Q93" i="15"/>
  <c r="Q94" i="15"/>
  <c r="Q95" i="15"/>
  <c r="Q96" i="15"/>
  <c r="Q97" i="15"/>
  <c r="Q98" i="15"/>
  <c r="Q99" i="15"/>
  <c r="Q100" i="15"/>
  <c r="Q101" i="15"/>
  <c r="Q102" i="15"/>
  <c r="Q103" i="15"/>
  <c r="Q104" i="15"/>
  <c r="Q105" i="15"/>
  <c r="Q106" i="15"/>
  <c r="Q107" i="15"/>
  <c r="Q108" i="15"/>
  <c r="Q109" i="15"/>
  <c r="Q110" i="15"/>
  <c r="Q111" i="15"/>
  <c r="Q112" i="15"/>
  <c r="Q113" i="15"/>
  <c r="Q114" i="15"/>
  <c r="Q115" i="15"/>
  <c r="Q116" i="15"/>
  <c r="Q117" i="15"/>
  <c r="Q118" i="15"/>
  <c r="Q119" i="15"/>
  <c r="Q120" i="15"/>
  <c r="Q121" i="15"/>
  <c r="Q122" i="15"/>
  <c r="Q123" i="15"/>
  <c r="Q124" i="15"/>
  <c r="Q125" i="15"/>
  <c r="Q126" i="15"/>
  <c r="Q127" i="15"/>
  <c r="Q128" i="15"/>
  <c r="Q129" i="15"/>
  <c r="Q130" i="15"/>
  <c r="Q131" i="15"/>
  <c r="Q132" i="15"/>
  <c r="Q133" i="15"/>
  <c r="Q134" i="15"/>
  <c r="Q135" i="15"/>
  <c r="Q136" i="15"/>
  <c r="Q137" i="15"/>
  <c r="Q138" i="15"/>
  <c r="Q139" i="15"/>
  <c r="Q140" i="15"/>
  <c r="Q141" i="15"/>
  <c r="Q142" i="15"/>
  <c r="Q143" i="15"/>
  <c r="Q144" i="15"/>
  <c r="Q2" i="15"/>
  <c r="X3" i="15" l="1"/>
  <c r="X4" i="15"/>
  <c r="X5" i="15"/>
  <c r="X6" i="15"/>
  <c r="X7" i="15"/>
  <c r="X8" i="15"/>
  <c r="X9" i="15"/>
  <c r="X10" i="15"/>
  <c r="X11" i="15"/>
  <c r="X12" i="15"/>
  <c r="X13" i="15"/>
  <c r="X14" i="15"/>
  <c r="X15" i="15"/>
  <c r="X16" i="15"/>
  <c r="X17" i="15"/>
  <c r="X18" i="15"/>
  <c r="X19" i="15"/>
  <c r="X20" i="15"/>
  <c r="X21" i="15"/>
  <c r="X22" i="15"/>
  <c r="X23" i="15"/>
  <c r="X24" i="15"/>
  <c r="X25" i="15"/>
  <c r="X26" i="15"/>
  <c r="X27" i="15"/>
  <c r="X28" i="15"/>
  <c r="X29" i="15"/>
  <c r="X30" i="15"/>
  <c r="X31" i="15"/>
  <c r="X32" i="15"/>
  <c r="X33" i="15"/>
  <c r="X34" i="15"/>
  <c r="X35" i="15"/>
  <c r="X36" i="15"/>
  <c r="X37" i="15"/>
  <c r="X38" i="15"/>
  <c r="X39" i="15"/>
  <c r="X40" i="15"/>
  <c r="X41" i="15"/>
  <c r="X42" i="15"/>
  <c r="X43" i="15"/>
  <c r="X44" i="15"/>
  <c r="X45" i="15"/>
  <c r="X46" i="15"/>
  <c r="X47" i="15"/>
  <c r="X48" i="15"/>
  <c r="X49" i="15"/>
  <c r="X50" i="15"/>
  <c r="X51" i="15"/>
  <c r="X52" i="15"/>
  <c r="X53" i="15"/>
  <c r="X54" i="15"/>
  <c r="X55" i="15"/>
  <c r="X56" i="15"/>
  <c r="X57" i="15"/>
  <c r="X58" i="15"/>
  <c r="X59" i="15"/>
  <c r="X60" i="15"/>
  <c r="X61" i="15"/>
  <c r="X62" i="15"/>
  <c r="X63" i="15"/>
  <c r="X64" i="15"/>
  <c r="X65" i="15"/>
  <c r="X66" i="15"/>
  <c r="X67" i="15"/>
  <c r="X68" i="15"/>
  <c r="X69" i="15"/>
  <c r="X70" i="15"/>
  <c r="X71" i="15"/>
  <c r="X72" i="15"/>
  <c r="X73" i="15"/>
  <c r="X74" i="15"/>
  <c r="X75" i="15"/>
  <c r="X76" i="15"/>
  <c r="X77" i="15"/>
  <c r="X78" i="15"/>
  <c r="X79" i="15"/>
  <c r="X80" i="15"/>
  <c r="X81" i="15"/>
  <c r="X82" i="15"/>
  <c r="X83" i="15"/>
  <c r="X84" i="15"/>
  <c r="X85" i="15"/>
  <c r="X86" i="15"/>
  <c r="X87" i="15"/>
  <c r="X88" i="15"/>
  <c r="X89" i="15"/>
  <c r="X90" i="15"/>
  <c r="X91" i="15"/>
  <c r="X92" i="15"/>
  <c r="X93" i="15"/>
  <c r="X94" i="15"/>
  <c r="X95" i="15"/>
  <c r="X96" i="15"/>
  <c r="X97" i="15"/>
  <c r="X98" i="15"/>
  <c r="X99" i="15"/>
  <c r="X2" i="15"/>
  <c r="J136" i="15" l="1"/>
  <c r="J137" i="15"/>
  <c r="J138" i="15"/>
  <c r="J139" i="15"/>
  <c r="J140" i="15"/>
  <c r="J141" i="15"/>
  <c r="J142" i="15"/>
  <c r="J143" i="15"/>
  <c r="J144" i="15"/>
  <c r="J135" i="15"/>
  <c r="J134" i="15"/>
  <c r="J112" i="15"/>
  <c r="J113" i="15"/>
  <c r="J114" i="15"/>
  <c r="J115" i="15"/>
  <c r="J116" i="15"/>
  <c r="J117" i="15"/>
  <c r="J118" i="15"/>
  <c r="J119" i="15"/>
  <c r="J120" i="15"/>
  <c r="J121" i="15"/>
  <c r="J122" i="15"/>
  <c r="J123" i="15"/>
  <c r="J124" i="15"/>
  <c r="J125" i="15"/>
  <c r="J126" i="15"/>
  <c r="J127" i="15"/>
  <c r="J128" i="15"/>
  <c r="J129" i="15"/>
  <c r="J130" i="15"/>
  <c r="J131" i="15"/>
  <c r="J132" i="15"/>
  <c r="J133" i="15"/>
  <c r="J111" i="15"/>
  <c r="J110" i="15"/>
  <c r="J93" i="15"/>
  <c r="J94" i="15"/>
  <c r="J95" i="15"/>
  <c r="J96" i="15"/>
  <c r="J97" i="15"/>
  <c r="J98" i="15"/>
  <c r="J99" i="15"/>
  <c r="J100" i="15"/>
  <c r="J101" i="15"/>
  <c r="J102" i="15"/>
  <c r="J103" i="15"/>
  <c r="J104" i="15"/>
  <c r="J105" i="15"/>
  <c r="J106" i="15"/>
  <c r="J107" i="15"/>
  <c r="J108" i="15"/>
  <c r="J109" i="15"/>
  <c r="J92" i="15"/>
  <c r="J91" i="15"/>
  <c r="J85" i="15"/>
  <c r="J86" i="15"/>
  <c r="J87" i="15"/>
  <c r="J88" i="15"/>
  <c r="J89" i="15"/>
  <c r="J90" i="15"/>
  <c r="J82" i="15"/>
  <c r="J83" i="15"/>
  <c r="J84" i="15"/>
  <c r="J81" i="15"/>
  <c r="J80" i="15"/>
  <c r="J59" i="15"/>
  <c r="J60" i="15"/>
  <c r="J61" i="15"/>
  <c r="J62" i="15"/>
  <c r="J63" i="15"/>
  <c r="J64" i="15"/>
  <c r="J65" i="15"/>
  <c r="J66" i="15"/>
  <c r="J67" i="15"/>
  <c r="J68" i="15"/>
  <c r="J69" i="15"/>
  <c r="J70" i="15"/>
  <c r="J71" i="15"/>
  <c r="J72" i="15"/>
  <c r="J73" i="15"/>
  <c r="J74" i="15"/>
  <c r="J75" i="15"/>
  <c r="J76" i="15"/>
  <c r="J77" i="15"/>
  <c r="J78" i="15"/>
  <c r="J79" i="15"/>
  <c r="J57" i="15"/>
  <c r="J58" i="15"/>
  <c r="J56" i="15"/>
  <c r="J55" i="15"/>
  <c r="J54" i="15"/>
  <c r="J53" i="15"/>
  <c r="J39" i="15"/>
  <c r="J40" i="15"/>
  <c r="J41" i="15"/>
  <c r="J42" i="15"/>
  <c r="J43" i="15"/>
  <c r="J44" i="15"/>
  <c r="J45" i="15"/>
  <c r="J46" i="15"/>
  <c r="J47" i="15"/>
  <c r="J48" i="15"/>
  <c r="J49" i="15"/>
  <c r="J50" i="15"/>
  <c r="J51" i="15"/>
  <c r="J52" i="15"/>
  <c r="J38" i="15"/>
  <c r="J37" i="15"/>
  <c r="J16" i="15"/>
  <c r="J17" i="15"/>
  <c r="J18" i="15"/>
  <c r="J19" i="15"/>
  <c r="J20" i="15"/>
  <c r="J21" i="15"/>
  <c r="J22" i="15"/>
  <c r="J23" i="15"/>
  <c r="J24" i="15"/>
  <c r="J25" i="15"/>
  <c r="J26" i="15"/>
  <c r="J27" i="15"/>
  <c r="J28" i="15"/>
  <c r="J29" i="15"/>
  <c r="J30" i="15"/>
  <c r="J31" i="15"/>
  <c r="J32" i="15"/>
  <c r="J33" i="15"/>
  <c r="J34" i="15"/>
  <c r="J35" i="15"/>
  <c r="J36" i="15"/>
  <c r="J15" i="15"/>
  <c r="J14" i="15"/>
  <c r="J12" i="15"/>
  <c r="J13" i="15"/>
  <c r="J3" i="15"/>
  <c r="J4" i="15"/>
  <c r="J5" i="15"/>
  <c r="J6" i="15"/>
  <c r="J7" i="15"/>
  <c r="J8" i="15"/>
  <c r="J9" i="15"/>
  <c r="J10" i="15"/>
  <c r="J11" i="15"/>
  <c r="J2" i="15"/>
  <c r="K2" i="15" l="1"/>
  <c r="K13" i="15"/>
  <c r="K10" i="15"/>
  <c r="K36" i="15"/>
  <c r="K6" i="15"/>
  <c r="K51" i="15"/>
  <c r="K4" i="15"/>
  <c r="K34" i="15"/>
  <c r="K26" i="15"/>
  <c r="K18" i="15"/>
  <c r="K49" i="15"/>
  <c r="K41" i="15"/>
  <c r="K57" i="15"/>
  <c r="K72" i="15"/>
  <c r="K64" i="15"/>
  <c r="K84" i="15"/>
  <c r="K85" i="15"/>
  <c r="K104" i="15"/>
  <c r="K96" i="15"/>
  <c r="K131" i="15"/>
  <c r="K123" i="15"/>
  <c r="K115" i="15"/>
  <c r="K142" i="15"/>
  <c r="K11" i="15"/>
  <c r="K3" i="15"/>
  <c r="K33" i="15"/>
  <c r="K25" i="15"/>
  <c r="K17" i="15"/>
  <c r="K48" i="15"/>
  <c r="K40" i="15"/>
  <c r="K79" i="15"/>
  <c r="K71" i="15"/>
  <c r="K63" i="15"/>
  <c r="K83" i="15"/>
  <c r="K91" i="15"/>
  <c r="K103" i="15"/>
  <c r="K95" i="15"/>
  <c r="K130" i="15"/>
  <c r="K122" i="15"/>
  <c r="K114" i="15"/>
  <c r="K141" i="15"/>
  <c r="K24" i="15"/>
  <c r="K78" i="15"/>
  <c r="K70" i="15"/>
  <c r="K62" i="15"/>
  <c r="K82" i="15"/>
  <c r="K92" i="15"/>
  <c r="K102" i="15"/>
  <c r="K94" i="15"/>
  <c r="K129" i="15"/>
  <c r="K121" i="15"/>
  <c r="K113" i="15"/>
  <c r="K140" i="15"/>
  <c r="K39" i="15"/>
  <c r="K9" i="15"/>
  <c r="K12" i="15"/>
  <c r="K31" i="15"/>
  <c r="K23" i="15"/>
  <c r="K37" i="15"/>
  <c r="K46" i="15"/>
  <c r="K53" i="15"/>
  <c r="K77" i="15"/>
  <c r="K69" i="15"/>
  <c r="K61" i="15"/>
  <c r="K90" i="15"/>
  <c r="K109" i="15"/>
  <c r="K101" i="15"/>
  <c r="K93" i="15"/>
  <c r="K128" i="15"/>
  <c r="K120" i="15"/>
  <c r="K112" i="15"/>
  <c r="K139" i="15"/>
  <c r="K16" i="15"/>
  <c r="K8" i="15"/>
  <c r="K14" i="15"/>
  <c r="K30" i="15"/>
  <c r="K22" i="15"/>
  <c r="K38" i="15"/>
  <c r="K45" i="15"/>
  <c r="K54" i="15"/>
  <c r="K76" i="15"/>
  <c r="K68" i="15"/>
  <c r="K60" i="15"/>
  <c r="K89" i="15"/>
  <c r="K108" i="15"/>
  <c r="K100" i="15"/>
  <c r="K110" i="15"/>
  <c r="K127" i="15"/>
  <c r="K119" i="15"/>
  <c r="K134" i="15"/>
  <c r="K138" i="15"/>
  <c r="K32" i="15"/>
  <c r="K47" i="15"/>
  <c r="K7" i="15"/>
  <c r="K15" i="15"/>
  <c r="K29" i="15"/>
  <c r="K21" i="15"/>
  <c r="K52" i="15"/>
  <c r="K44" i="15"/>
  <c r="K55" i="15"/>
  <c r="K75" i="15"/>
  <c r="K67" i="15"/>
  <c r="K59" i="15"/>
  <c r="K88" i="15"/>
  <c r="K107" i="15"/>
  <c r="K99" i="15"/>
  <c r="K111" i="15"/>
  <c r="K126" i="15"/>
  <c r="K118" i="15"/>
  <c r="K135" i="15"/>
  <c r="K137" i="15"/>
  <c r="K20" i="15"/>
  <c r="K43" i="15"/>
  <c r="K74" i="15"/>
  <c r="K66" i="15"/>
  <c r="K80" i="15"/>
  <c r="K87" i="15"/>
  <c r="K106" i="15"/>
  <c r="K98" i="15"/>
  <c r="K133" i="15"/>
  <c r="K125" i="15"/>
  <c r="K117" i="15"/>
  <c r="K144" i="15"/>
  <c r="K136" i="15"/>
  <c r="K28" i="15"/>
  <c r="K56" i="15"/>
  <c r="K5" i="15"/>
  <c r="K35" i="15"/>
  <c r="K27" i="15"/>
  <c r="K19" i="15"/>
  <c r="K50" i="15"/>
  <c r="K42" i="15"/>
  <c r="K58" i="15"/>
  <c r="K73" i="15"/>
  <c r="K65" i="15"/>
  <c r="K81" i="15"/>
  <c r="K86" i="15"/>
  <c r="K105" i="15"/>
  <c r="K97" i="15"/>
  <c r="K132" i="15"/>
  <c r="K124" i="15"/>
  <c r="K116" i="15"/>
  <c r="K143" i="15"/>
  <c r="Q52" i="14"/>
  <c r="P52" i="14"/>
  <c r="Q51" i="14"/>
  <c r="P51" i="14"/>
  <c r="H51" i="14"/>
  <c r="Q50" i="14"/>
  <c r="P50" i="14"/>
  <c r="Q49" i="14"/>
  <c r="P49" i="14"/>
  <c r="Q48" i="14"/>
  <c r="P48" i="14"/>
  <c r="H48" i="14"/>
  <c r="Q47" i="14"/>
  <c r="P47" i="14"/>
  <c r="Q46" i="14"/>
  <c r="P46" i="14"/>
  <c r="Q45" i="14"/>
  <c r="P45" i="14"/>
  <c r="Q44" i="14"/>
  <c r="P44" i="14"/>
  <c r="H44" i="14"/>
  <c r="AA35" i="14"/>
  <c r="Z35" i="14"/>
  <c r="Y35" i="14"/>
  <c r="X35" i="14"/>
  <c r="W35" i="14"/>
  <c r="V35" i="14"/>
  <c r="U35" i="14"/>
  <c r="T35" i="14"/>
  <c r="S35" i="14"/>
  <c r="R35" i="14"/>
  <c r="Q35" i="14"/>
  <c r="P35" i="14"/>
  <c r="O35" i="14"/>
  <c r="N35" i="14"/>
  <c r="M35" i="14"/>
  <c r="L35" i="14"/>
  <c r="K35" i="14"/>
  <c r="J35" i="14"/>
  <c r="I35" i="14"/>
  <c r="H35" i="14"/>
  <c r="G35" i="14"/>
  <c r="F35" i="14"/>
  <c r="E35" i="14"/>
  <c r="D35" i="14"/>
  <c r="C35" i="14"/>
  <c r="B35" i="14"/>
  <c r="AA34" i="14"/>
  <c r="Z34" i="14"/>
  <c r="Y34" i="14"/>
  <c r="X34" i="14"/>
  <c r="W34" i="14"/>
  <c r="V34" i="14"/>
  <c r="U34" i="14"/>
  <c r="T34" i="14"/>
  <c r="S34" i="14"/>
  <c r="R34" i="14"/>
  <c r="Q34" i="14"/>
  <c r="P34" i="14"/>
  <c r="O34" i="14"/>
  <c r="N34" i="14"/>
  <c r="M34" i="14"/>
  <c r="L34" i="14"/>
  <c r="K34" i="14"/>
  <c r="J34" i="14"/>
  <c r="I34" i="14"/>
  <c r="H34" i="14"/>
  <c r="G34" i="14"/>
  <c r="F34" i="14"/>
  <c r="E34" i="14"/>
  <c r="D34" i="14"/>
  <c r="C34" i="14"/>
  <c r="B34" i="14"/>
  <c r="AA33" i="14"/>
  <c r="Z33" i="14"/>
  <c r="Y33" i="14"/>
  <c r="X33" i="14"/>
  <c r="W33" i="14"/>
  <c r="V33" i="14"/>
  <c r="U33" i="14"/>
  <c r="T33" i="14"/>
  <c r="S33" i="14"/>
  <c r="R33" i="14"/>
  <c r="Q33" i="14"/>
  <c r="P33" i="14"/>
  <c r="O33" i="14"/>
  <c r="N33" i="14"/>
  <c r="M33" i="14"/>
  <c r="L33" i="14"/>
  <c r="K33" i="14"/>
  <c r="J33" i="14"/>
  <c r="I33" i="14"/>
  <c r="H33" i="14"/>
  <c r="G33" i="14"/>
  <c r="F33" i="14"/>
  <c r="E33" i="14"/>
  <c r="D33" i="14"/>
  <c r="C33" i="14"/>
  <c r="B33" i="14"/>
  <c r="AA32" i="14"/>
  <c r="Z32" i="14"/>
  <c r="Y32" i="14"/>
  <c r="X32" i="14"/>
  <c r="W32" i="14"/>
  <c r="V32" i="14"/>
  <c r="U32" i="14"/>
  <c r="T32" i="14"/>
  <c r="S32" i="14"/>
  <c r="R32" i="14"/>
  <c r="Q32" i="14"/>
  <c r="P32" i="14"/>
  <c r="O32" i="14"/>
  <c r="N32" i="14"/>
  <c r="M32" i="14"/>
  <c r="L32" i="14"/>
  <c r="K32" i="14"/>
  <c r="J32" i="14"/>
  <c r="I32" i="14"/>
  <c r="H32" i="14"/>
  <c r="G32" i="14"/>
  <c r="F32" i="14"/>
  <c r="E32" i="14"/>
  <c r="D32" i="14"/>
  <c r="C32" i="14"/>
  <c r="B32" i="14"/>
  <c r="AA31" i="14"/>
  <c r="Z31" i="14"/>
  <c r="Y31" i="14"/>
  <c r="X31" i="14"/>
  <c r="W31" i="14"/>
  <c r="V31" i="14"/>
  <c r="U31" i="14"/>
  <c r="T31" i="14"/>
  <c r="S31" i="14"/>
  <c r="R31" i="14"/>
  <c r="Q31" i="14"/>
  <c r="P31" i="14"/>
  <c r="O31" i="14"/>
  <c r="N31" i="14"/>
  <c r="M31" i="14"/>
  <c r="L31" i="14"/>
  <c r="K31" i="14"/>
  <c r="J31" i="14"/>
  <c r="I31" i="14"/>
  <c r="H31" i="14"/>
  <c r="G31" i="14"/>
  <c r="F31" i="14"/>
  <c r="E31" i="14"/>
  <c r="D31" i="14"/>
  <c r="C31" i="14"/>
  <c r="B31" i="14"/>
  <c r="AA30" i="14"/>
  <c r="Z30" i="14"/>
  <c r="Y30" i="14"/>
  <c r="X30" i="14"/>
  <c r="W30" i="14"/>
  <c r="V30" i="14"/>
  <c r="U30" i="14"/>
  <c r="T30" i="14"/>
  <c r="S30" i="14"/>
  <c r="R30" i="14"/>
  <c r="Q30" i="14"/>
  <c r="P30" i="14"/>
  <c r="O30" i="14"/>
  <c r="N30" i="14"/>
  <c r="M30" i="14"/>
  <c r="L30" i="14"/>
  <c r="K30" i="14"/>
  <c r="J30" i="14"/>
  <c r="I30" i="14"/>
  <c r="H30" i="14"/>
  <c r="G30" i="14"/>
  <c r="F30" i="14"/>
  <c r="E30" i="14"/>
  <c r="D30" i="14"/>
  <c r="C30" i="14"/>
  <c r="B30" i="14"/>
  <c r="AA29" i="14"/>
  <c r="Z29" i="14"/>
  <c r="Y29" i="14"/>
  <c r="X29" i="14"/>
  <c r="W29" i="14"/>
  <c r="V29" i="14"/>
  <c r="U29" i="14"/>
  <c r="T29" i="14"/>
  <c r="S29" i="14"/>
  <c r="R29" i="14"/>
  <c r="Q29" i="14"/>
  <c r="P29" i="14"/>
  <c r="O29" i="14"/>
  <c r="N29" i="14"/>
  <c r="M29" i="14"/>
  <c r="L29" i="14"/>
  <c r="K29" i="14"/>
  <c r="J29" i="14"/>
  <c r="I29" i="14"/>
  <c r="H29" i="14"/>
  <c r="G29" i="14"/>
  <c r="F29" i="14"/>
  <c r="E29" i="14"/>
  <c r="D29" i="14"/>
  <c r="C29" i="14"/>
  <c r="B29" i="14"/>
  <c r="AA27" i="14"/>
  <c r="Z27" i="14"/>
  <c r="Y27" i="14"/>
  <c r="X27" i="14"/>
  <c r="W27" i="14"/>
  <c r="V27" i="14"/>
  <c r="U27" i="14"/>
  <c r="T27" i="14"/>
  <c r="S27" i="14"/>
  <c r="R27" i="14"/>
  <c r="Q27" i="14"/>
  <c r="P27" i="14"/>
  <c r="O27" i="14"/>
  <c r="N27" i="14"/>
  <c r="M27" i="14"/>
  <c r="L27" i="14"/>
  <c r="K27" i="14"/>
  <c r="J27" i="14"/>
  <c r="I27" i="14"/>
  <c r="H27" i="14"/>
  <c r="G27" i="14"/>
  <c r="F27" i="14"/>
  <c r="E27" i="14"/>
  <c r="D27" i="14"/>
  <c r="C27" i="14"/>
  <c r="B27" i="14"/>
  <c r="AA26" i="14"/>
  <c r="Z26" i="14"/>
  <c r="Y26" i="14"/>
  <c r="X26" i="14"/>
  <c r="W26" i="14"/>
  <c r="V26" i="14"/>
  <c r="U26" i="14"/>
  <c r="T26" i="14"/>
  <c r="S26" i="14"/>
  <c r="R26" i="14"/>
  <c r="Q26" i="14"/>
  <c r="P26" i="14"/>
  <c r="O26" i="14"/>
  <c r="N26" i="14"/>
  <c r="M26" i="14"/>
  <c r="L26" i="14"/>
  <c r="K26" i="14"/>
  <c r="J26" i="14"/>
  <c r="I26" i="14"/>
  <c r="H26" i="14"/>
  <c r="G26" i="14"/>
  <c r="F26" i="14"/>
  <c r="E26" i="14"/>
  <c r="D26" i="14"/>
  <c r="C26" i="14"/>
  <c r="B26" i="14"/>
  <c r="AC25" i="14"/>
  <c r="AC24" i="14"/>
  <c r="AC23" i="14"/>
  <c r="AC22" i="14"/>
  <c r="AA20" i="14"/>
  <c r="Z20" i="14"/>
  <c r="Y20" i="14"/>
  <c r="X20" i="14"/>
  <c r="W20" i="14"/>
  <c r="V20" i="14"/>
  <c r="U20" i="14"/>
  <c r="T20" i="14"/>
  <c r="S20" i="14"/>
  <c r="S36" i="14" s="1"/>
  <c r="R20" i="14"/>
  <c r="Q20" i="14"/>
  <c r="P20" i="14"/>
  <c r="O20" i="14"/>
  <c r="N20" i="14"/>
  <c r="M20" i="14"/>
  <c r="M36" i="14" s="1"/>
  <c r="L20" i="14"/>
  <c r="K20" i="14"/>
  <c r="K36" i="14" s="1"/>
  <c r="J20" i="14"/>
  <c r="I20" i="14"/>
  <c r="H20" i="14"/>
  <c r="G20" i="14"/>
  <c r="F20" i="14"/>
  <c r="E20" i="14"/>
  <c r="E36" i="14" s="1"/>
  <c r="D20" i="14"/>
  <c r="C20" i="14"/>
  <c r="C36" i="14" s="1"/>
  <c r="B20" i="14"/>
  <c r="Q52" i="13"/>
  <c r="P52" i="13"/>
  <c r="Q51" i="13"/>
  <c r="P51" i="13"/>
  <c r="H51" i="13"/>
  <c r="Q50" i="13"/>
  <c r="P50" i="13"/>
  <c r="Q49" i="13"/>
  <c r="P49" i="13"/>
  <c r="Q48" i="13"/>
  <c r="P48" i="13"/>
  <c r="H48" i="13"/>
  <c r="Q47" i="13"/>
  <c r="P47" i="13"/>
  <c r="Q46" i="13"/>
  <c r="P46" i="13"/>
  <c r="Q45" i="13"/>
  <c r="P45" i="13"/>
  <c r="Q44" i="13"/>
  <c r="P44" i="13"/>
  <c r="H44" i="13"/>
  <c r="AA35" i="13"/>
  <c r="Z35" i="13"/>
  <c r="Y35" i="13"/>
  <c r="X35" i="13"/>
  <c r="W35" i="13"/>
  <c r="V35" i="13"/>
  <c r="U35" i="13"/>
  <c r="T35" i="13"/>
  <c r="S35" i="13"/>
  <c r="R35" i="13"/>
  <c r="Q35" i="13"/>
  <c r="P35" i="13"/>
  <c r="O35" i="13"/>
  <c r="N35" i="13"/>
  <c r="M35" i="13"/>
  <c r="L35" i="13"/>
  <c r="K35" i="13"/>
  <c r="J35" i="13"/>
  <c r="I35" i="13"/>
  <c r="H35" i="13"/>
  <c r="G35" i="13"/>
  <c r="F35" i="13"/>
  <c r="E35" i="13"/>
  <c r="D35" i="13"/>
  <c r="C35" i="13"/>
  <c r="B35" i="13"/>
  <c r="AA34" i="13"/>
  <c r="Z34" i="13"/>
  <c r="Y34" i="13"/>
  <c r="X34" i="13"/>
  <c r="W34" i="13"/>
  <c r="V34" i="13"/>
  <c r="U34" i="13"/>
  <c r="T34" i="13"/>
  <c r="S34" i="13"/>
  <c r="R34" i="13"/>
  <c r="Q34" i="13"/>
  <c r="P34" i="13"/>
  <c r="O34" i="13"/>
  <c r="N34" i="13"/>
  <c r="M34" i="13"/>
  <c r="L34" i="13"/>
  <c r="K34" i="13"/>
  <c r="J34" i="13"/>
  <c r="I34" i="13"/>
  <c r="H34" i="13"/>
  <c r="G34" i="13"/>
  <c r="F34" i="13"/>
  <c r="E34" i="13"/>
  <c r="D34" i="13"/>
  <c r="C34" i="13"/>
  <c r="B34" i="13"/>
  <c r="AA33" i="13"/>
  <c r="Z33" i="13"/>
  <c r="Y33" i="13"/>
  <c r="X33" i="13"/>
  <c r="W33" i="13"/>
  <c r="V33" i="13"/>
  <c r="U33" i="13"/>
  <c r="T33" i="13"/>
  <c r="S33" i="13"/>
  <c r="R33" i="13"/>
  <c r="Q33" i="13"/>
  <c r="P33" i="13"/>
  <c r="O33" i="13"/>
  <c r="N33" i="13"/>
  <c r="M33" i="13"/>
  <c r="L33" i="13"/>
  <c r="K33" i="13"/>
  <c r="J33" i="13"/>
  <c r="I33" i="13"/>
  <c r="H33" i="13"/>
  <c r="G33" i="13"/>
  <c r="F33" i="13"/>
  <c r="E33" i="13"/>
  <c r="D33" i="13"/>
  <c r="C33" i="13"/>
  <c r="B33" i="13"/>
  <c r="AA32" i="13"/>
  <c r="Z32" i="13"/>
  <c r="Y32" i="13"/>
  <c r="X32" i="13"/>
  <c r="W32" i="13"/>
  <c r="V32" i="13"/>
  <c r="U32" i="13"/>
  <c r="T32" i="13"/>
  <c r="S32" i="13"/>
  <c r="R32" i="13"/>
  <c r="Q32" i="13"/>
  <c r="P32" i="13"/>
  <c r="O32" i="13"/>
  <c r="N32" i="13"/>
  <c r="M32" i="13"/>
  <c r="L32" i="13"/>
  <c r="K32" i="13"/>
  <c r="J32" i="13"/>
  <c r="I32" i="13"/>
  <c r="H32" i="13"/>
  <c r="G32" i="13"/>
  <c r="F32" i="13"/>
  <c r="E32" i="13"/>
  <c r="D32" i="13"/>
  <c r="C32" i="13"/>
  <c r="B32" i="13"/>
  <c r="AA31" i="13"/>
  <c r="Z31" i="13"/>
  <c r="Y31" i="13"/>
  <c r="X31" i="13"/>
  <c r="W31" i="13"/>
  <c r="V31" i="13"/>
  <c r="U31" i="13"/>
  <c r="T31" i="13"/>
  <c r="S31" i="13"/>
  <c r="R31" i="13"/>
  <c r="Q31" i="13"/>
  <c r="P31" i="13"/>
  <c r="O31" i="13"/>
  <c r="N31" i="13"/>
  <c r="M31" i="13"/>
  <c r="L31" i="13"/>
  <c r="K31" i="13"/>
  <c r="J31" i="13"/>
  <c r="I31" i="13"/>
  <c r="H31" i="13"/>
  <c r="G31" i="13"/>
  <c r="F31" i="13"/>
  <c r="E31" i="13"/>
  <c r="D31" i="13"/>
  <c r="C31" i="13"/>
  <c r="B31" i="13"/>
  <c r="AA30" i="13"/>
  <c r="Z30" i="13"/>
  <c r="Y30" i="13"/>
  <c r="X30" i="13"/>
  <c r="W30" i="13"/>
  <c r="V30" i="13"/>
  <c r="U30" i="13"/>
  <c r="T30" i="13"/>
  <c r="S30" i="13"/>
  <c r="R30" i="13"/>
  <c r="Q30" i="13"/>
  <c r="P30" i="13"/>
  <c r="O30" i="13"/>
  <c r="N30" i="13"/>
  <c r="M30" i="13"/>
  <c r="L30" i="13"/>
  <c r="K30" i="13"/>
  <c r="J30" i="13"/>
  <c r="I30" i="13"/>
  <c r="H30" i="13"/>
  <c r="G30" i="13"/>
  <c r="F30" i="13"/>
  <c r="E30" i="13"/>
  <c r="D30" i="13"/>
  <c r="C30" i="13"/>
  <c r="B30" i="13"/>
  <c r="AA29" i="13"/>
  <c r="Z29" i="13"/>
  <c r="Y29" i="13"/>
  <c r="X29" i="13"/>
  <c r="W29" i="13"/>
  <c r="V29" i="13"/>
  <c r="U29" i="13"/>
  <c r="T29" i="13"/>
  <c r="S29" i="13"/>
  <c r="R29" i="13"/>
  <c r="Q29" i="13"/>
  <c r="P29" i="13"/>
  <c r="O29" i="13"/>
  <c r="N29" i="13"/>
  <c r="M29" i="13"/>
  <c r="L29" i="13"/>
  <c r="K29" i="13"/>
  <c r="J29" i="13"/>
  <c r="I29" i="13"/>
  <c r="H29" i="13"/>
  <c r="G29" i="13"/>
  <c r="F29" i="13"/>
  <c r="E29" i="13"/>
  <c r="D29" i="13"/>
  <c r="C29" i="13"/>
  <c r="B29" i="13"/>
  <c r="AA27" i="13"/>
  <c r="Z27" i="13"/>
  <c r="Y27" i="13"/>
  <c r="X27" i="13"/>
  <c r="W27" i="13"/>
  <c r="V27" i="13"/>
  <c r="U27" i="13"/>
  <c r="T27" i="13"/>
  <c r="S27" i="13"/>
  <c r="R27" i="13"/>
  <c r="Q27" i="13"/>
  <c r="P27" i="13"/>
  <c r="O27" i="13"/>
  <c r="N27" i="13"/>
  <c r="M27" i="13"/>
  <c r="L27" i="13"/>
  <c r="K27" i="13"/>
  <c r="J27" i="13"/>
  <c r="I27" i="13"/>
  <c r="H27" i="13"/>
  <c r="G27" i="13"/>
  <c r="F27" i="13"/>
  <c r="E27" i="13"/>
  <c r="D27" i="13"/>
  <c r="C27" i="13"/>
  <c r="B27" i="13"/>
  <c r="AA26" i="13"/>
  <c r="Z26" i="13"/>
  <c r="Y26" i="13"/>
  <c r="X26" i="13"/>
  <c r="W26" i="13"/>
  <c r="V26" i="13"/>
  <c r="U26" i="13"/>
  <c r="T26" i="13"/>
  <c r="S26" i="13"/>
  <c r="R26" i="13"/>
  <c r="Q26" i="13"/>
  <c r="P26" i="13"/>
  <c r="O26" i="13"/>
  <c r="N26" i="13"/>
  <c r="M26" i="13"/>
  <c r="L26" i="13"/>
  <c r="K26" i="13"/>
  <c r="J26" i="13"/>
  <c r="I26" i="13"/>
  <c r="H26" i="13"/>
  <c r="G26" i="13"/>
  <c r="F26" i="13"/>
  <c r="E26" i="13"/>
  <c r="D26" i="13"/>
  <c r="C26" i="13"/>
  <c r="B26" i="13"/>
  <c r="AC25" i="13"/>
  <c r="AC24" i="13"/>
  <c r="AC23" i="13"/>
  <c r="AC22" i="13"/>
  <c r="AA20" i="13"/>
  <c r="Z20" i="13"/>
  <c r="Y20" i="13"/>
  <c r="X20" i="13"/>
  <c r="W20" i="13"/>
  <c r="V20" i="13"/>
  <c r="U20" i="13"/>
  <c r="T20" i="13"/>
  <c r="S20" i="13"/>
  <c r="R20" i="13"/>
  <c r="Q20" i="13"/>
  <c r="P20" i="13"/>
  <c r="O20" i="13"/>
  <c r="N20" i="13"/>
  <c r="M20" i="13"/>
  <c r="L20" i="13"/>
  <c r="K20" i="13"/>
  <c r="J20" i="13"/>
  <c r="I20" i="13"/>
  <c r="H20" i="13"/>
  <c r="G20" i="13"/>
  <c r="F20" i="13"/>
  <c r="E20" i="13"/>
  <c r="D20" i="13"/>
  <c r="C20" i="13"/>
  <c r="B20" i="13"/>
  <c r="Q52" i="12"/>
  <c r="P52" i="12"/>
  <c r="Q51" i="12"/>
  <c r="P51" i="12"/>
  <c r="H51" i="12"/>
  <c r="Q50" i="12"/>
  <c r="P50" i="12"/>
  <c r="Q49" i="12"/>
  <c r="P49" i="12"/>
  <c r="Q48" i="12"/>
  <c r="P48" i="12"/>
  <c r="H48" i="12"/>
  <c r="Q47" i="12"/>
  <c r="P47" i="12"/>
  <c r="Q46" i="12"/>
  <c r="P46" i="12"/>
  <c r="Q45" i="12"/>
  <c r="P45" i="12"/>
  <c r="Q44" i="12"/>
  <c r="P44" i="12"/>
  <c r="H44" i="12"/>
  <c r="AA34" i="12"/>
  <c r="Z34" i="12"/>
  <c r="Y34" i="12"/>
  <c r="X34" i="12"/>
  <c r="W34" i="12"/>
  <c r="V34" i="12"/>
  <c r="U34" i="12"/>
  <c r="T34" i="12"/>
  <c r="S34" i="12"/>
  <c r="R34" i="12"/>
  <c r="Q34" i="12"/>
  <c r="P34" i="12"/>
  <c r="O34" i="12"/>
  <c r="N34" i="12"/>
  <c r="M34" i="12"/>
  <c r="L34" i="12"/>
  <c r="K34" i="12"/>
  <c r="J34" i="12"/>
  <c r="I34" i="12"/>
  <c r="H34" i="12"/>
  <c r="G34" i="12"/>
  <c r="F34" i="12"/>
  <c r="E34" i="12"/>
  <c r="D34" i="12"/>
  <c r="C34" i="12"/>
  <c r="B34" i="12"/>
  <c r="AA33" i="12"/>
  <c r="Z33" i="12"/>
  <c r="Y33" i="12"/>
  <c r="X33" i="12"/>
  <c r="W33" i="12"/>
  <c r="V33" i="12"/>
  <c r="U33" i="12"/>
  <c r="T33" i="12"/>
  <c r="S33" i="12"/>
  <c r="R33" i="12"/>
  <c r="Q33" i="12"/>
  <c r="P33" i="12"/>
  <c r="O33" i="12"/>
  <c r="N33" i="12"/>
  <c r="M33" i="12"/>
  <c r="L33" i="12"/>
  <c r="K33" i="12"/>
  <c r="J33" i="12"/>
  <c r="I33" i="12"/>
  <c r="H33" i="12"/>
  <c r="G33" i="12"/>
  <c r="F33" i="12"/>
  <c r="E33" i="12"/>
  <c r="D33" i="12"/>
  <c r="C33" i="12"/>
  <c r="B33" i="12"/>
  <c r="AA32" i="12"/>
  <c r="Z32" i="12"/>
  <c r="Y32" i="12"/>
  <c r="X32" i="12"/>
  <c r="W32" i="12"/>
  <c r="V32" i="12"/>
  <c r="U32" i="12"/>
  <c r="T32" i="12"/>
  <c r="S32" i="12"/>
  <c r="R32" i="12"/>
  <c r="Q32" i="12"/>
  <c r="P32" i="12"/>
  <c r="O32" i="12"/>
  <c r="N32" i="12"/>
  <c r="M32" i="12"/>
  <c r="L32" i="12"/>
  <c r="K32" i="12"/>
  <c r="J32" i="12"/>
  <c r="I32" i="12"/>
  <c r="H32" i="12"/>
  <c r="G32" i="12"/>
  <c r="F32" i="12"/>
  <c r="E32" i="12"/>
  <c r="D32" i="12"/>
  <c r="C32" i="12"/>
  <c r="B32" i="12"/>
  <c r="AA31" i="12"/>
  <c r="Z31" i="12"/>
  <c r="Y31" i="12"/>
  <c r="X31" i="12"/>
  <c r="W31" i="12"/>
  <c r="V31" i="12"/>
  <c r="U31" i="12"/>
  <c r="T31" i="12"/>
  <c r="S31" i="12"/>
  <c r="R31" i="12"/>
  <c r="Q31" i="12"/>
  <c r="P31" i="12"/>
  <c r="O31" i="12"/>
  <c r="N31" i="12"/>
  <c r="M31" i="12"/>
  <c r="L31" i="12"/>
  <c r="K31" i="12"/>
  <c r="J31" i="12"/>
  <c r="I31" i="12"/>
  <c r="H31" i="12"/>
  <c r="G31" i="12"/>
  <c r="F31" i="12"/>
  <c r="E31" i="12"/>
  <c r="D31" i="12"/>
  <c r="C31" i="12"/>
  <c r="B31" i="12"/>
  <c r="AA30" i="12"/>
  <c r="Z30" i="12"/>
  <c r="Y30" i="12"/>
  <c r="X30" i="12"/>
  <c r="W30" i="12"/>
  <c r="V30" i="12"/>
  <c r="U30" i="12"/>
  <c r="T30" i="12"/>
  <c r="S30" i="12"/>
  <c r="R30" i="12"/>
  <c r="Q30" i="12"/>
  <c r="P30" i="12"/>
  <c r="O30" i="12"/>
  <c r="N30" i="12"/>
  <c r="M30" i="12"/>
  <c r="L30" i="12"/>
  <c r="K30" i="12"/>
  <c r="J30" i="12"/>
  <c r="I30" i="12"/>
  <c r="H30" i="12"/>
  <c r="G30" i="12"/>
  <c r="F30" i="12"/>
  <c r="E30" i="12"/>
  <c r="D30" i="12"/>
  <c r="C30" i="12"/>
  <c r="B30" i="12"/>
  <c r="AA29" i="12"/>
  <c r="Z29" i="12"/>
  <c r="Y29" i="12"/>
  <c r="X29" i="12"/>
  <c r="W29" i="12"/>
  <c r="V29" i="12"/>
  <c r="U29" i="12"/>
  <c r="T29" i="12"/>
  <c r="S29" i="12"/>
  <c r="R29" i="12"/>
  <c r="Q29" i="12"/>
  <c r="P29" i="12"/>
  <c r="O29" i="12"/>
  <c r="N29" i="12"/>
  <c r="M29" i="12"/>
  <c r="L29" i="12"/>
  <c r="K29" i="12"/>
  <c r="J29" i="12"/>
  <c r="I29" i="12"/>
  <c r="H29" i="12"/>
  <c r="G29" i="12"/>
  <c r="F29" i="12"/>
  <c r="E29" i="12"/>
  <c r="D29" i="12"/>
  <c r="C29" i="12"/>
  <c r="B29" i="12"/>
  <c r="AA27" i="12"/>
  <c r="Z27" i="12"/>
  <c r="Y27" i="12"/>
  <c r="X27" i="12"/>
  <c r="W27" i="12"/>
  <c r="V27" i="12"/>
  <c r="U27" i="12"/>
  <c r="T27" i="12"/>
  <c r="S27" i="12"/>
  <c r="R27" i="12"/>
  <c r="Q27" i="12"/>
  <c r="P27" i="12"/>
  <c r="O27" i="12"/>
  <c r="N27" i="12"/>
  <c r="M27" i="12"/>
  <c r="L27" i="12"/>
  <c r="K27" i="12"/>
  <c r="J27" i="12"/>
  <c r="I27" i="12"/>
  <c r="H27" i="12"/>
  <c r="G27" i="12"/>
  <c r="F27" i="12"/>
  <c r="E27" i="12"/>
  <c r="D27" i="12"/>
  <c r="C27" i="12"/>
  <c r="B27" i="12"/>
  <c r="AA26" i="12"/>
  <c r="Z26" i="12"/>
  <c r="Y26" i="12"/>
  <c r="X26" i="12"/>
  <c r="W26" i="12"/>
  <c r="V26" i="12"/>
  <c r="U26" i="12"/>
  <c r="T26" i="12"/>
  <c r="S26" i="12"/>
  <c r="R26" i="12"/>
  <c r="Q26" i="12"/>
  <c r="P26" i="12"/>
  <c r="O26" i="12"/>
  <c r="N26" i="12"/>
  <c r="M26" i="12"/>
  <c r="L26" i="12"/>
  <c r="K26" i="12"/>
  <c r="J26" i="12"/>
  <c r="I26" i="12"/>
  <c r="H26" i="12"/>
  <c r="G26" i="12"/>
  <c r="F26" i="12"/>
  <c r="E26" i="12"/>
  <c r="D26" i="12"/>
  <c r="C26" i="12"/>
  <c r="B26" i="12"/>
  <c r="AC25" i="12"/>
  <c r="AC24" i="12"/>
  <c r="AC23" i="12"/>
  <c r="AC22" i="12"/>
  <c r="AA20" i="12"/>
  <c r="Z20" i="12"/>
  <c r="Y20" i="12"/>
  <c r="X20" i="12"/>
  <c r="W20" i="12"/>
  <c r="V20" i="12"/>
  <c r="U20" i="12"/>
  <c r="T20" i="12"/>
  <c r="S20" i="12"/>
  <c r="R20" i="12"/>
  <c r="Q20" i="12"/>
  <c r="P20" i="12"/>
  <c r="O20" i="12"/>
  <c r="N20" i="12"/>
  <c r="M20" i="12"/>
  <c r="L20" i="12"/>
  <c r="K20" i="12"/>
  <c r="J20" i="12"/>
  <c r="I20" i="12"/>
  <c r="H20" i="12"/>
  <c r="G20" i="12"/>
  <c r="F20" i="12"/>
  <c r="E20" i="12"/>
  <c r="D20" i="12"/>
  <c r="C20" i="12"/>
  <c r="B20" i="12"/>
  <c r="Q52" i="11"/>
  <c r="P52" i="11"/>
  <c r="Q51" i="11"/>
  <c r="P51" i="11"/>
  <c r="H51" i="11"/>
  <c r="Q50" i="11"/>
  <c r="P50" i="11"/>
  <c r="Q49" i="11"/>
  <c r="P49" i="11"/>
  <c r="Q48" i="11"/>
  <c r="P48" i="11"/>
  <c r="H48" i="11"/>
  <c r="Q47" i="11"/>
  <c r="P47" i="11"/>
  <c r="Q46" i="11"/>
  <c r="P46" i="11"/>
  <c r="Q45" i="11"/>
  <c r="P45" i="11"/>
  <c r="Q44" i="11"/>
  <c r="P44" i="11"/>
  <c r="H44" i="11"/>
  <c r="AA35" i="11"/>
  <c r="Z35" i="11"/>
  <c r="Y35" i="11"/>
  <c r="X35" i="11"/>
  <c r="W35" i="11"/>
  <c r="V35" i="11"/>
  <c r="U35" i="11"/>
  <c r="T35" i="11"/>
  <c r="S35" i="11"/>
  <c r="R35" i="11"/>
  <c r="Q35" i="11"/>
  <c r="P35" i="11"/>
  <c r="O35" i="11"/>
  <c r="N35" i="11"/>
  <c r="M35" i="11"/>
  <c r="L35" i="11"/>
  <c r="K35" i="11"/>
  <c r="J35" i="11"/>
  <c r="I35" i="11"/>
  <c r="H35" i="11"/>
  <c r="G35" i="11"/>
  <c r="F35" i="11"/>
  <c r="E35" i="11"/>
  <c r="D35" i="11"/>
  <c r="C35" i="11"/>
  <c r="B35" i="11"/>
  <c r="AA34" i="11"/>
  <c r="Z34" i="11"/>
  <c r="Y34" i="11"/>
  <c r="X34" i="11"/>
  <c r="W34" i="11"/>
  <c r="V34" i="11"/>
  <c r="U34" i="11"/>
  <c r="T34" i="11"/>
  <c r="S34" i="11"/>
  <c r="R34" i="11"/>
  <c r="Q34" i="11"/>
  <c r="P34" i="11"/>
  <c r="O34" i="11"/>
  <c r="N34" i="11"/>
  <c r="M34" i="11"/>
  <c r="L34" i="11"/>
  <c r="K34" i="11"/>
  <c r="J34" i="11"/>
  <c r="I34" i="11"/>
  <c r="H34" i="11"/>
  <c r="G34" i="11"/>
  <c r="F34" i="11"/>
  <c r="E34" i="11"/>
  <c r="D34" i="11"/>
  <c r="C34" i="11"/>
  <c r="B34" i="11"/>
  <c r="AA33" i="11"/>
  <c r="Z33" i="11"/>
  <c r="Y33" i="11"/>
  <c r="X33" i="11"/>
  <c r="W33" i="11"/>
  <c r="V33" i="11"/>
  <c r="U33" i="11"/>
  <c r="T33" i="11"/>
  <c r="S33" i="11"/>
  <c r="R33" i="11"/>
  <c r="Q33" i="11"/>
  <c r="P33" i="11"/>
  <c r="O33" i="11"/>
  <c r="N33" i="11"/>
  <c r="M33" i="11"/>
  <c r="L33" i="11"/>
  <c r="K33" i="11"/>
  <c r="J33" i="11"/>
  <c r="I33" i="11"/>
  <c r="H33" i="11"/>
  <c r="G33" i="11"/>
  <c r="F33" i="11"/>
  <c r="E33" i="11"/>
  <c r="D33" i="11"/>
  <c r="C33" i="11"/>
  <c r="B33" i="11"/>
  <c r="AA32" i="11"/>
  <c r="Z32" i="11"/>
  <c r="Y32" i="11"/>
  <c r="X32" i="11"/>
  <c r="W32" i="11"/>
  <c r="V32" i="11"/>
  <c r="U32" i="11"/>
  <c r="T32" i="11"/>
  <c r="S32" i="11"/>
  <c r="R32" i="11"/>
  <c r="Q32" i="11"/>
  <c r="P32" i="11"/>
  <c r="O32" i="11"/>
  <c r="N32" i="11"/>
  <c r="M32" i="11"/>
  <c r="L32" i="11"/>
  <c r="K32" i="11"/>
  <c r="J32" i="11"/>
  <c r="I32" i="11"/>
  <c r="H32" i="11"/>
  <c r="G32" i="11"/>
  <c r="F32" i="11"/>
  <c r="E32" i="11"/>
  <c r="D32" i="11"/>
  <c r="C32" i="11"/>
  <c r="B32" i="11"/>
  <c r="AA31" i="11"/>
  <c r="Z31" i="11"/>
  <c r="Y31" i="11"/>
  <c r="X31" i="11"/>
  <c r="W31" i="11"/>
  <c r="V31" i="11"/>
  <c r="U31" i="11"/>
  <c r="T31" i="11"/>
  <c r="S31" i="11"/>
  <c r="R31" i="11"/>
  <c r="Q31" i="11"/>
  <c r="P31" i="11"/>
  <c r="O31" i="11"/>
  <c r="N31" i="11"/>
  <c r="M31" i="11"/>
  <c r="L31" i="11"/>
  <c r="K31" i="11"/>
  <c r="J31" i="11"/>
  <c r="I31" i="11"/>
  <c r="H31" i="11"/>
  <c r="G31" i="11"/>
  <c r="F31" i="11"/>
  <c r="E31" i="11"/>
  <c r="D31" i="11"/>
  <c r="C31" i="11"/>
  <c r="B31" i="11"/>
  <c r="AA30" i="11"/>
  <c r="Z30" i="11"/>
  <c r="Y30" i="11"/>
  <c r="X30" i="11"/>
  <c r="W30" i="11"/>
  <c r="V30" i="11"/>
  <c r="U30" i="11"/>
  <c r="T30" i="11"/>
  <c r="S30" i="11"/>
  <c r="R30" i="11"/>
  <c r="Q30" i="11"/>
  <c r="P30" i="11"/>
  <c r="O30" i="11"/>
  <c r="N30" i="11"/>
  <c r="M30" i="11"/>
  <c r="L30" i="11"/>
  <c r="K30" i="11"/>
  <c r="J30" i="11"/>
  <c r="I30" i="11"/>
  <c r="H30" i="11"/>
  <c r="G30" i="11"/>
  <c r="F30" i="11"/>
  <c r="E30" i="11"/>
  <c r="D30" i="11"/>
  <c r="C30" i="11"/>
  <c r="B30" i="11"/>
  <c r="AA29" i="11"/>
  <c r="Z29" i="11"/>
  <c r="Y29" i="11"/>
  <c r="X29" i="11"/>
  <c r="W29" i="11"/>
  <c r="V29" i="11"/>
  <c r="U29" i="11"/>
  <c r="T29" i="11"/>
  <c r="S29" i="11"/>
  <c r="R29" i="11"/>
  <c r="Q29" i="11"/>
  <c r="P29" i="11"/>
  <c r="O29" i="11"/>
  <c r="N29" i="11"/>
  <c r="M29" i="11"/>
  <c r="L29" i="11"/>
  <c r="K29" i="11"/>
  <c r="J29" i="11"/>
  <c r="I29" i="11"/>
  <c r="H29" i="11"/>
  <c r="G29" i="11"/>
  <c r="F29" i="11"/>
  <c r="E29" i="11"/>
  <c r="D29" i="11"/>
  <c r="C29" i="11"/>
  <c r="B29" i="11"/>
  <c r="AA27" i="11"/>
  <c r="Z27" i="11"/>
  <c r="Y27" i="11"/>
  <c r="X27" i="11"/>
  <c r="W27" i="11"/>
  <c r="V27" i="11"/>
  <c r="U27" i="11"/>
  <c r="T27" i="11"/>
  <c r="S27" i="11"/>
  <c r="R27" i="11"/>
  <c r="Q27" i="11"/>
  <c r="P27" i="11"/>
  <c r="O27" i="11"/>
  <c r="N27" i="11"/>
  <c r="M27" i="11"/>
  <c r="L27" i="11"/>
  <c r="K27" i="11"/>
  <c r="J27" i="11"/>
  <c r="I27" i="11"/>
  <c r="H27" i="11"/>
  <c r="G27" i="11"/>
  <c r="F27" i="11"/>
  <c r="E27" i="11"/>
  <c r="D27" i="11"/>
  <c r="C27" i="11"/>
  <c r="B27" i="11"/>
  <c r="AA26" i="11"/>
  <c r="Z26" i="11"/>
  <c r="Y26" i="11"/>
  <c r="X26" i="11"/>
  <c r="W26" i="11"/>
  <c r="V26" i="11"/>
  <c r="U26" i="11"/>
  <c r="T26" i="11"/>
  <c r="S26" i="11"/>
  <c r="R26" i="11"/>
  <c r="Q26" i="11"/>
  <c r="P26" i="11"/>
  <c r="O26" i="11"/>
  <c r="N26" i="11"/>
  <c r="M26" i="11"/>
  <c r="L26" i="11"/>
  <c r="K26" i="11"/>
  <c r="J26" i="11"/>
  <c r="I26" i="11"/>
  <c r="H26" i="11"/>
  <c r="G26" i="11"/>
  <c r="F26" i="11"/>
  <c r="E26" i="11"/>
  <c r="D26" i="11"/>
  <c r="C26" i="11"/>
  <c r="B26" i="11"/>
  <c r="AC25" i="11"/>
  <c r="AC24" i="11"/>
  <c r="AC23" i="11"/>
  <c r="AC22" i="11"/>
  <c r="AA20" i="11"/>
  <c r="Z20" i="11"/>
  <c r="Y20" i="11"/>
  <c r="X20" i="11"/>
  <c r="W20" i="11"/>
  <c r="V20" i="11"/>
  <c r="U20" i="11"/>
  <c r="T20" i="11"/>
  <c r="S20" i="11"/>
  <c r="R20" i="11"/>
  <c r="Q20" i="11"/>
  <c r="P20" i="11"/>
  <c r="O20" i="11"/>
  <c r="N20" i="11"/>
  <c r="M20" i="11"/>
  <c r="L20" i="11"/>
  <c r="K20" i="11"/>
  <c r="J20" i="11"/>
  <c r="I20" i="11"/>
  <c r="H20" i="11"/>
  <c r="G20" i="11"/>
  <c r="F20" i="11"/>
  <c r="E20" i="11"/>
  <c r="D20" i="11"/>
  <c r="C20" i="11"/>
  <c r="B20" i="11"/>
  <c r="Q52" i="10"/>
  <c r="P52" i="10"/>
  <c r="Q51" i="10"/>
  <c r="P51" i="10"/>
  <c r="H51" i="10"/>
  <c r="Q50" i="10"/>
  <c r="P50" i="10"/>
  <c r="Q49" i="10"/>
  <c r="P49" i="10"/>
  <c r="Q48" i="10"/>
  <c r="P48" i="10"/>
  <c r="H48" i="10"/>
  <c r="Q47" i="10"/>
  <c r="P47" i="10"/>
  <c r="Q46" i="10"/>
  <c r="P46" i="10"/>
  <c r="Q45" i="10"/>
  <c r="P45" i="10"/>
  <c r="Q44" i="10"/>
  <c r="P44" i="10"/>
  <c r="H44"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B35"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B34"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B33"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B32"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B31"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B30"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B29" i="10"/>
  <c r="AA27" i="10"/>
  <c r="Z27" i="10"/>
  <c r="Y27" i="10"/>
  <c r="X27" i="10"/>
  <c r="W27" i="10"/>
  <c r="V27" i="10"/>
  <c r="U27" i="10"/>
  <c r="T27" i="10"/>
  <c r="S27" i="10"/>
  <c r="R27" i="10"/>
  <c r="Q27" i="10"/>
  <c r="P27" i="10"/>
  <c r="O27" i="10"/>
  <c r="N27" i="10"/>
  <c r="M27" i="10"/>
  <c r="L27" i="10"/>
  <c r="K27" i="10"/>
  <c r="J27" i="10"/>
  <c r="I27" i="10"/>
  <c r="H27" i="10"/>
  <c r="G27" i="10"/>
  <c r="F27" i="10"/>
  <c r="E27" i="10"/>
  <c r="D27" i="10"/>
  <c r="C27" i="10"/>
  <c r="B27" i="10"/>
  <c r="AA26" i="10"/>
  <c r="Z26" i="10"/>
  <c r="Y26" i="10"/>
  <c r="X26" i="10"/>
  <c r="W26" i="10"/>
  <c r="V26" i="10"/>
  <c r="U26" i="10"/>
  <c r="T26" i="10"/>
  <c r="S26" i="10"/>
  <c r="R26" i="10"/>
  <c r="Q26" i="10"/>
  <c r="P26" i="10"/>
  <c r="O26" i="10"/>
  <c r="N26" i="10"/>
  <c r="M26" i="10"/>
  <c r="L26" i="10"/>
  <c r="K26" i="10"/>
  <c r="J26" i="10"/>
  <c r="I26" i="10"/>
  <c r="H26" i="10"/>
  <c r="G26" i="10"/>
  <c r="F26" i="10"/>
  <c r="E26" i="10"/>
  <c r="D26" i="10"/>
  <c r="C26" i="10"/>
  <c r="B26" i="10"/>
  <c r="AC25" i="10"/>
  <c r="AC24" i="10"/>
  <c r="AC23" i="10"/>
  <c r="AC22"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B20" i="10"/>
  <c r="Q52" i="9"/>
  <c r="P52" i="9"/>
  <c r="Q51" i="9"/>
  <c r="P51" i="9"/>
  <c r="H51" i="9"/>
  <c r="Q50" i="9"/>
  <c r="P50" i="9"/>
  <c r="Q49" i="9"/>
  <c r="P49" i="9"/>
  <c r="Q48" i="9"/>
  <c r="P48" i="9"/>
  <c r="H48" i="9"/>
  <c r="Q47" i="9"/>
  <c r="P47" i="9"/>
  <c r="Q46" i="9"/>
  <c r="P46" i="9"/>
  <c r="Q45" i="9"/>
  <c r="P45" i="9"/>
  <c r="Q44" i="9"/>
  <c r="P44" i="9"/>
  <c r="H44" i="9"/>
  <c r="AA35" i="9"/>
  <c r="Z35" i="9"/>
  <c r="Y35" i="9"/>
  <c r="X35" i="9"/>
  <c r="W35" i="9"/>
  <c r="V35" i="9"/>
  <c r="U35" i="9"/>
  <c r="T35" i="9"/>
  <c r="S35" i="9"/>
  <c r="R35" i="9"/>
  <c r="Q35" i="9"/>
  <c r="P35" i="9"/>
  <c r="O35" i="9"/>
  <c r="N35" i="9"/>
  <c r="M35" i="9"/>
  <c r="L35" i="9"/>
  <c r="K35" i="9"/>
  <c r="J35" i="9"/>
  <c r="I35" i="9"/>
  <c r="H35" i="9"/>
  <c r="G35" i="9"/>
  <c r="F35" i="9"/>
  <c r="E35" i="9"/>
  <c r="D35" i="9"/>
  <c r="C35" i="9"/>
  <c r="B35" i="9"/>
  <c r="AA34" i="9"/>
  <c r="Z34" i="9"/>
  <c r="Y34" i="9"/>
  <c r="X34" i="9"/>
  <c r="W34" i="9"/>
  <c r="V34" i="9"/>
  <c r="U34" i="9"/>
  <c r="T34" i="9"/>
  <c r="S34" i="9"/>
  <c r="R34" i="9"/>
  <c r="Q34" i="9"/>
  <c r="P34" i="9"/>
  <c r="O34" i="9"/>
  <c r="N34" i="9"/>
  <c r="M34" i="9"/>
  <c r="L34" i="9"/>
  <c r="K34" i="9"/>
  <c r="J34" i="9"/>
  <c r="I34" i="9"/>
  <c r="H34" i="9"/>
  <c r="G34" i="9"/>
  <c r="F34" i="9"/>
  <c r="E34" i="9"/>
  <c r="D34" i="9"/>
  <c r="C34" i="9"/>
  <c r="B34" i="9"/>
  <c r="AA33" i="9"/>
  <c r="Z33" i="9"/>
  <c r="Y33" i="9"/>
  <c r="X33" i="9"/>
  <c r="W33" i="9"/>
  <c r="V33" i="9"/>
  <c r="U33" i="9"/>
  <c r="T33" i="9"/>
  <c r="S33" i="9"/>
  <c r="R33" i="9"/>
  <c r="Q33" i="9"/>
  <c r="P33" i="9"/>
  <c r="O33" i="9"/>
  <c r="N33" i="9"/>
  <c r="M33" i="9"/>
  <c r="L33" i="9"/>
  <c r="K33" i="9"/>
  <c r="J33" i="9"/>
  <c r="I33" i="9"/>
  <c r="H33" i="9"/>
  <c r="G33" i="9"/>
  <c r="F33" i="9"/>
  <c r="E33" i="9"/>
  <c r="D33" i="9"/>
  <c r="C33" i="9"/>
  <c r="B33" i="9"/>
  <c r="AA32" i="9"/>
  <c r="Z32" i="9"/>
  <c r="Y32" i="9"/>
  <c r="X32" i="9"/>
  <c r="W32" i="9"/>
  <c r="V32" i="9"/>
  <c r="U32" i="9"/>
  <c r="T32" i="9"/>
  <c r="S32" i="9"/>
  <c r="R32" i="9"/>
  <c r="Q32" i="9"/>
  <c r="P32" i="9"/>
  <c r="O32" i="9"/>
  <c r="N32" i="9"/>
  <c r="M32" i="9"/>
  <c r="L32" i="9"/>
  <c r="K32" i="9"/>
  <c r="J32" i="9"/>
  <c r="I32" i="9"/>
  <c r="H32" i="9"/>
  <c r="G32" i="9"/>
  <c r="F32" i="9"/>
  <c r="E32" i="9"/>
  <c r="D32" i="9"/>
  <c r="C32" i="9"/>
  <c r="B32" i="9"/>
  <c r="AA31" i="9"/>
  <c r="Z31" i="9"/>
  <c r="Y31" i="9"/>
  <c r="X31" i="9"/>
  <c r="W31" i="9"/>
  <c r="V31" i="9"/>
  <c r="U31" i="9"/>
  <c r="T31" i="9"/>
  <c r="S31" i="9"/>
  <c r="R31" i="9"/>
  <c r="Q31" i="9"/>
  <c r="P31" i="9"/>
  <c r="O31" i="9"/>
  <c r="N31" i="9"/>
  <c r="M31" i="9"/>
  <c r="L31" i="9"/>
  <c r="K31" i="9"/>
  <c r="J31" i="9"/>
  <c r="I31" i="9"/>
  <c r="H31" i="9"/>
  <c r="G31" i="9"/>
  <c r="F31" i="9"/>
  <c r="E31" i="9"/>
  <c r="D31" i="9"/>
  <c r="C31" i="9"/>
  <c r="B31" i="9"/>
  <c r="AA30" i="9"/>
  <c r="Z30" i="9"/>
  <c r="Y30" i="9"/>
  <c r="X30" i="9"/>
  <c r="W30" i="9"/>
  <c r="V30" i="9"/>
  <c r="U30" i="9"/>
  <c r="T30" i="9"/>
  <c r="S30" i="9"/>
  <c r="R30" i="9"/>
  <c r="Q30" i="9"/>
  <c r="P30" i="9"/>
  <c r="O30" i="9"/>
  <c r="N30" i="9"/>
  <c r="M30" i="9"/>
  <c r="L30" i="9"/>
  <c r="K30" i="9"/>
  <c r="J30" i="9"/>
  <c r="I30" i="9"/>
  <c r="H30" i="9"/>
  <c r="G30" i="9"/>
  <c r="F30" i="9"/>
  <c r="E30" i="9"/>
  <c r="D30" i="9"/>
  <c r="C30" i="9"/>
  <c r="B30" i="9"/>
  <c r="AA29" i="9"/>
  <c r="Z29" i="9"/>
  <c r="Y29" i="9"/>
  <c r="X29" i="9"/>
  <c r="W29" i="9"/>
  <c r="V29" i="9"/>
  <c r="U29" i="9"/>
  <c r="T29" i="9"/>
  <c r="S29" i="9"/>
  <c r="R29" i="9"/>
  <c r="Q29" i="9"/>
  <c r="P29" i="9"/>
  <c r="O29" i="9"/>
  <c r="N29" i="9"/>
  <c r="M29" i="9"/>
  <c r="L29" i="9"/>
  <c r="K29" i="9"/>
  <c r="J29" i="9"/>
  <c r="I29" i="9"/>
  <c r="H29" i="9"/>
  <c r="G29" i="9"/>
  <c r="F29" i="9"/>
  <c r="E29" i="9"/>
  <c r="D29" i="9"/>
  <c r="C29" i="9"/>
  <c r="B29" i="9"/>
  <c r="AA27" i="9"/>
  <c r="Z27" i="9"/>
  <c r="Y27" i="9"/>
  <c r="X27" i="9"/>
  <c r="W27" i="9"/>
  <c r="V27" i="9"/>
  <c r="U27" i="9"/>
  <c r="T27" i="9"/>
  <c r="S27" i="9"/>
  <c r="R27" i="9"/>
  <c r="Q27" i="9"/>
  <c r="P27" i="9"/>
  <c r="O27" i="9"/>
  <c r="N27" i="9"/>
  <c r="M27" i="9"/>
  <c r="L27" i="9"/>
  <c r="K27" i="9"/>
  <c r="J27" i="9"/>
  <c r="I27" i="9"/>
  <c r="H27" i="9"/>
  <c r="G27" i="9"/>
  <c r="F27" i="9"/>
  <c r="E27" i="9"/>
  <c r="D27" i="9"/>
  <c r="C27" i="9"/>
  <c r="B27" i="9"/>
  <c r="AA26" i="9"/>
  <c r="Z26" i="9"/>
  <c r="Y26" i="9"/>
  <c r="X26" i="9"/>
  <c r="W26" i="9"/>
  <c r="V26" i="9"/>
  <c r="U26" i="9"/>
  <c r="T26" i="9"/>
  <c r="S26" i="9"/>
  <c r="R26" i="9"/>
  <c r="Q26" i="9"/>
  <c r="P26" i="9"/>
  <c r="O26" i="9"/>
  <c r="N26" i="9"/>
  <c r="M26" i="9"/>
  <c r="L26" i="9"/>
  <c r="K26" i="9"/>
  <c r="J26" i="9"/>
  <c r="I26" i="9"/>
  <c r="H26" i="9"/>
  <c r="G26" i="9"/>
  <c r="F26" i="9"/>
  <c r="E26" i="9"/>
  <c r="D26" i="9"/>
  <c r="C26" i="9"/>
  <c r="B26" i="9"/>
  <c r="AC25" i="9"/>
  <c r="AC24" i="9"/>
  <c r="AC23" i="9"/>
  <c r="AC22" i="9"/>
  <c r="AA20" i="9"/>
  <c r="Z20" i="9"/>
  <c r="Y20" i="9"/>
  <c r="X20" i="9"/>
  <c r="W20" i="9"/>
  <c r="V20" i="9"/>
  <c r="U20" i="9"/>
  <c r="T20" i="9"/>
  <c r="S20" i="9"/>
  <c r="R20" i="9"/>
  <c r="Q20" i="9"/>
  <c r="P20" i="9"/>
  <c r="O20" i="9"/>
  <c r="N20" i="9"/>
  <c r="M20" i="9"/>
  <c r="L20" i="9"/>
  <c r="K20" i="9"/>
  <c r="J20" i="9"/>
  <c r="I20" i="9"/>
  <c r="H20" i="9"/>
  <c r="G20" i="9"/>
  <c r="F20" i="9"/>
  <c r="E20" i="9"/>
  <c r="D20" i="9"/>
  <c r="C20" i="9"/>
  <c r="B20" i="9"/>
  <c r="J39" i="8"/>
  <c r="J40" i="8" s="1"/>
  <c r="I39" i="8"/>
  <c r="I40" i="8" s="1"/>
  <c r="H39" i="8"/>
  <c r="H40" i="8" s="1"/>
  <c r="G39" i="8"/>
  <c r="G40" i="8" s="1"/>
  <c r="F39" i="8"/>
  <c r="F40" i="8" s="1"/>
  <c r="E39" i="8"/>
  <c r="E40" i="8" s="1"/>
  <c r="D39" i="8"/>
  <c r="D40" i="8" s="1"/>
  <c r="C39" i="8"/>
  <c r="C40" i="8" s="1"/>
  <c r="J14" i="8"/>
  <c r="H14" i="8"/>
  <c r="G14" i="8"/>
  <c r="F14" i="8"/>
  <c r="E14" i="8"/>
  <c r="D14" i="8"/>
  <c r="C14" i="8"/>
  <c r="Q52" i="5"/>
  <c r="P52" i="5"/>
  <c r="Q51" i="5"/>
  <c r="P51" i="5"/>
  <c r="H51" i="5"/>
  <c r="Q50" i="5"/>
  <c r="P50" i="5"/>
  <c r="Q49" i="5"/>
  <c r="P49" i="5"/>
  <c r="Q48" i="5"/>
  <c r="P48" i="5"/>
  <c r="H48" i="5"/>
  <c r="Q47" i="5"/>
  <c r="P47" i="5"/>
  <c r="Q46" i="5"/>
  <c r="P46" i="5"/>
  <c r="Q45" i="5"/>
  <c r="P45" i="5"/>
  <c r="Q44" i="5"/>
  <c r="P44" i="5"/>
  <c r="H44" i="5"/>
  <c r="AA35" i="5"/>
  <c r="Z35" i="5"/>
  <c r="Y35" i="5"/>
  <c r="X35" i="5"/>
  <c r="W35" i="5"/>
  <c r="V35" i="5"/>
  <c r="U35" i="5"/>
  <c r="T35" i="5"/>
  <c r="S35" i="5"/>
  <c r="R35" i="5"/>
  <c r="Q35" i="5"/>
  <c r="P35" i="5"/>
  <c r="O35" i="5"/>
  <c r="N35" i="5"/>
  <c r="M35" i="5"/>
  <c r="L35" i="5"/>
  <c r="K35" i="5"/>
  <c r="J35" i="5"/>
  <c r="I35" i="5"/>
  <c r="H35" i="5"/>
  <c r="G35" i="5"/>
  <c r="F35" i="5"/>
  <c r="E35" i="5"/>
  <c r="D35" i="5"/>
  <c r="C35" i="5"/>
  <c r="B35" i="5"/>
  <c r="AA34" i="5"/>
  <c r="Z34" i="5"/>
  <c r="Y34" i="5"/>
  <c r="X34" i="5"/>
  <c r="W34" i="5"/>
  <c r="V34" i="5"/>
  <c r="U34" i="5"/>
  <c r="T34" i="5"/>
  <c r="S34" i="5"/>
  <c r="R34" i="5"/>
  <c r="Q34" i="5"/>
  <c r="P34" i="5"/>
  <c r="O34" i="5"/>
  <c r="N34" i="5"/>
  <c r="M34" i="5"/>
  <c r="L34" i="5"/>
  <c r="K34" i="5"/>
  <c r="J34" i="5"/>
  <c r="I34" i="5"/>
  <c r="H34" i="5"/>
  <c r="G34" i="5"/>
  <c r="F34" i="5"/>
  <c r="E34" i="5"/>
  <c r="D34" i="5"/>
  <c r="C34" i="5"/>
  <c r="B34" i="5"/>
  <c r="AA33" i="5"/>
  <c r="Z33" i="5"/>
  <c r="Y33" i="5"/>
  <c r="X33" i="5"/>
  <c r="W33" i="5"/>
  <c r="V33" i="5"/>
  <c r="U33" i="5"/>
  <c r="T33" i="5"/>
  <c r="S33" i="5"/>
  <c r="R33" i="5"/>
  <c r="Q33" i="5"/>
  <c r="P33" i="5"/>
  <c r="O33" i="5"/>
  <c r="N33" i="5"/>
  <c r="M33" i="5"/>
  <c r="L33" i="5"/>
  <c r="K33" i="5"/>
  <c r="J33" i="5"/>
  <c r="I33" i="5"/>
  <c r="H33" i="5"/>
  <c r="G33" i="5"/>
  <c r="F33" i="5"/>
  <c r="E33" i="5"/>
  <c r="D33" i="5"/>
  <c r="C33" i="5"/>
  <c r="B33" i="5"/>
  <c r="AA32" i="5"/>
  <c r="Z32" i="5"/>
  <c r="Y32" i="5"/>
  <c r="X32" i="5"/>
  <c r="W32" i="5"/>
  <c r="V32" i="5"/>
  <c r="U32" i="5"/>
  <c r="T32" i="5"/>
  <c r="S32" i="5"/>
  <c r="R32" i="5"/>
  <c r="Q32" i="5"/>
  <c r="P32" i="5"/>
  <c r="O32" i="5"/>
  <c r="N32" i="5"/>
  <c r="M32" i="5"/>
  <c r="L32" i="5"/>
  <c r="K32" i="5"/>
  <c r="J32" i="5"/>
  <c r="I32" i="5"/>
  <c r="H32" i="5"/>
  <c r="G32" i="5"/>
  <c r="F32" i="5"/>
  <c r="E32" i="5"/>
  <c r="D32" i="5"/>
  <c r="C32" i="5"/>
  <c r="B32" i="5"/>
  <c r="AA31" i="5"/>
  <c r="Z31" i="5"/>
  <c r="Y31" i="5"/>
  <c r="X31" i="5"/>
  <c r="W31" i="5"/>
  <c r="V31" i="5"/>
  <c r="U31" i="5"/>
  <c r="T31" i="5"/>
  <c r="S31" i="5"/>
  <c r="R31" i="5"/>
  <c r="Q31" i="5"/>
  <c r="P31" i="5"/>
  <c r="O31" i="5"/>
  <c r="N31" i="5"/>
  <c r="M31" i="5"/>
  <c r="L31" i="5"/>
  <c r="K31" i="5"/>
  <c r="J31" i="5"/>
  <c r="I31" i="5"/>
  <c r="H31" i="5"/>
  <c r="G31" i="5"/>
  <c r="F31" i="5"/>
  <c r="E31" i="5"/>
  <c r="D31" i="5"/>
  <c r="C31" i="5"/>
  <c r="B31" i="5"/>
  <c r="AA30" i="5"/>
  <c r="Z30" i="5"/>
  <c r="Y30" i="5"/>
  <c r="X30" i="5"/>
  <c r="W30" i="5"/>
  <c r="V30" i="5"/>
  <c r="U30" i="5"/>
  <c r="T30" i="5"/>
  <c r="S30" i="5"/>
  <c r="R30" i="5"/>
  <c r="Q30" i="5"/>
  <c r="P30" i="5"/>
  <c r="O30" i="5"/>
  <c r="N30" i="5"/>
  <c r="M30" i="5"/>
  <c r="L30" i="5"/>
  <c r="K30" i="5"/>
  <c r="J30" i="5"/>
  <c r="I30" i="5"/>
  <c r="H30" i="5"/>
  <c r="G30" i="5"/>
  <c r="F30" i="5"/>
  <c r="E30" i="5"/>
  <c r="D30" i="5"/>
  <c r="C30" i="5"/>
  <c r="B30" i="5"/>
  <c r="AA29" i="5"/>
  <c r="Z29" i="5"/>
  <c r="Y29" i="5"/>
  <c r="X29" i="5"/>
  <c r="W29" i="5"/>
  <c r="V29" i="5"/>
  <c r="U29" i="5"/>
  <c r="T29" i="5"/>
  <c r="S29" i="5"/>
  <c r="R29" i="5"/>
  <c r="Q29" i="5"/>
  <c r="P29" i="5"/>
  <c r="O29" i="5"/>
  <c r="N29" i="5"/>
  <c r="M29" i="5"/>
  <c r="L29" i="5"/>
  <c r="K29" i="5"/>
  <c r="J29" i="5"/>
  <c r="I29" i="5"/>
  <c r="H29" i="5"/>
  <c r="G29" i="5"/>
  <c r="F29" i="5"/>
  <c r="E29" i="5"/>
  <c r="D29" i="5"/>
  <c r="C29" i="5"/>
  <c r="B29" i="5"/>
  <c r="AA27" i="5"/>
  <c r="Z27" i="5"/>
  <c r="Y27" i="5"/>
  <c r="X27" i="5"/>
  <c r="W27" i="5"/>
  <c r="V27" i="5"/>
  <c r="U27" i="5"/>
  <c r="T27" i="5"/>
  <c r="S27" i="5"/>
  <c r="R27" i="5"/>
  <c r="Q27" i="5"/>
  <c r="P27" i="5"/>
  <c r="O27" i="5"/>
  <c r="N27" i="5"/>
  <c r="M27" i="5"/>
  <c r="L27" i="5"/>
  <c r="K27" i="5"/>
  <c r="J27" i="5"/>
  <c r="I27" i="5"/>
  <c r="H27" i="5"/>
  <c r="G27" i="5"/>
  <c r="F27" i="5"/>
  <c r="E27" i="5"/>
  <c r="D27" i="5"/>
  <c r="C27" i="5"/>
  <c r="B27" i="5"/>
  <c r="AA26" i="5"/>
  <c r="Z26" i="5"/>
  <c r="Y26" i="5"/>
  <c r="X26" i="5"/>
  <c r="W26" i="5"/>
  <c r="V26" i="5"/>
  <c r="U26" i="5"/>
  <c r="T26" i="5"/>
  <c r="S26" i="5"/>
  <c r="R26" i="5"/>
  <c r="Q26" i="5"/>
  <c r="P26" i="5"/>
  <c r="O26" i="5"/>
  <c r="N26" i="5"/>
  <c r="M26" i="5"/>
  <c r="L26" i="5"/>
  <c r="K26" i="5"/>
  <c r="J26" i="5"/>
  <c r="I26" i="5"/>
  <c r="H26" i="5"/>
  <c r="G26" i="5"/>
  <c r="F26" i="5"/>
  <c r="E26" i="5"/>
  <c r="D26" i="5"/>
  <c r="C26" i="5"/>
  <c r="B26" i="5"/>
  <c r="AC25" i="5"/>
  <c r="AC24" i="5"/>
  <c r="AC23" i="5"/>
  <c r="AC22" i="5"/>
  <c r="AA20" i="5"/>
  <c r="Z20" i="5"/>
  <c r="Y20" i="5"/>
  <c r="X20" i="5"/>
  <c r="W20" i="5"/>
  <c r="W36" i="5" s="1"/>
  <c r="V20" i="5"/>
  <c r="U20" i="5"/>
  <c r="T20" i="5"/>
  <c r="S20" i="5"/>
  <c r="R20" i="5"/>
  <c r="Q20" i="5"/>
  <c r="P20" i="5"/>
  <c r="O20" i="5"/>
  <c r="O36" i="5" s="1"/>
  <c r="N20" i="5"/>
  <c r="M20" i="5"/>
  <c r="L20" i="5"/>
  <c r="K20" i="5"/>
  <c r="J20" i="5"/>
  <c r="I20" i="5"/>
  <c r="H20" i="5"/>
  <c r="G20" i="5"/>
  <c r="G36" i="5" s="1"/>
  <c r="F20" i="5"/>
  <c r="E20" i="5"/>
  <c r="D20" i="5"/>
  <c r="C20" i="5"/>
  <c r="B20" i="5"/>
  <c r="AA36" i="14" l="1"/>
  <c r="B36" i="13"/>
  <c r="J36" i="13"/>
  <c r="R36" i="13"/>
  <c r="Z36" i="13"/>
  <c r="R47" i="13"/>
  <c r="U36" i="14"/>
  <c r="H36" i="5"/>
  <c r="P36" i="5"/>
  <c r="X36" i="5"/>
  <c r="D36" i="9"/>
  <c r="L36" i="9"/>
  <c r="T36" i="9"/>
  <c r="O36" i="10"/>
  <c r="J36" i="11"/>
  <c r="Z36" i="11"/>
  <c r="E36" i="9"/>
  <c r="M36" i="9"/>
  <c r="U36" i="9"/>
  <c r="H36" i="10"/>
  <c r="P36" i="10"/>
  <c r="X36" i="10"/>
  <c r="C36" i="11"/>
  <c r="K36" i="11"/>
  <c r="S36" i="11"/>
  <c r="AA36" i="11"/>
  <c r="G36" i="10"/>
  <c r="W36" i="10"/>
  <c r="B36" i="11"/>
  <c r="R36" i="11"/>
  <c r="H36" i="14"/>
  <c r="P36" i="14"/>
  <c r="X36" i="14"/>
  <c r="B36" i="14"/>
  <c r="J36" i="14"/>
  <c r="R36" i="14"/>
  <c r="Z36" i="14"/>
  <c r="I36" i="13"/>
  <c r="Q36" i="13"/>
  <c r="Y36" i="13"/>
  <c r="D36" i="14"/>
  <c r="L36" i="14"/>
  <c r="T36" i="14"/>
  <c r="R45" i="12"/>
  <c r="AC26" i="14"/>
  <c r="R49" i="14"/>
  <c r="R47" i="14"/>
  <c r="AC27" i="9"/>
  <c r="R44" i="9"/>
  <c r="R49" i="10"/>
  <c r="AC27" i="11"/>
  <c r="R47" i="11"/>
  <c r="AC26" i="13"/>
  <c r="R50" i="13"/>
  <c r="R45" i="14"/>
  <c r="Y36" i="5"/>
  <c r="R36" i="5"/>
  <c r="L36" i="5"/>
  <c r="H36" i="9"/>
  <c r="S36" i="10"/>
  <c r="N36" i="11"/>
  <c r="V36" i="11"/>
  <c r="R45" i="11"/>
  <c r="R47" i="12"/>
  <c r="E36" i="13"/>
  <c r="M36" i="13"/>
  <c r="U36" i="13"/>
  <c r="B36" i="5"/>
  <c r="K36" i="5"/>
  <c r="D36" i="5"/>
  <c r="T36" i="5"/>
  <c r="X36" i="9"/>
  <c r="K36" i="10"/>
  <c r="M36" i="5"/>
  <c r="U36" i="5"/>
  <c r="I36" i="9"/>
  <c r="Q36" i="9"/>
  <c r="Y36" i="9"/>
  <c r="R50" i="9"/>
  <c r="D36" i="10"/>
  <c r="L36" i="10"/>
  <c r="T36" i="10"/>
  <c r="R44" i="10"/>
  <c r="R51" i="10"/>
  <c r="G36" i="11"/>
  <c r="O36" i="11"/>
  <c r="W36" i="11"/>
  <c r="R49" i="11"/>
  <c r="AC27" i="12"/>
  <c r="F36" i="13"/>
  <c r="N36" i="13"/>
  <c r="V36" i="13"/>
  <c r="R45" i="13"/>
  <c r="R52" i="13"/>
  <c r="I36" i="14"/>
  <c r="Q36" i="14"/>
  <c r="Y36" i="14"/>
  <c r="R51" i="9"/>
  <c r="R48" i="9"/>
  <c r="AC26" i="10"/>
  <c r="Z36" i="5"/>
  <c r="C36" i="5"/>
  <c r="AA36" i="5"/>
  <c r="P36" i="9"/>
  <c r="C36" i="10"/>
  <c r="AA36" i="10"/>
  <c r="F36" i="11"/>
  <c r="E36" i="5"/>
  <c r="F36" i="5"/>
  <c r="N36" i="5"/>
  <c r="V36" i="5"/>
  <c r="B36" i="9"/>
  <c r="J36" i="9"/>
  <c r="R36" i="9"/>
  <c r="Z36" i="9"/>
  <c r="AC26" i="9"/>
  <c r="E36" i="10"/>
  <c r="M36" i="10"/>
  <c r="U36" i="10"/>
  <c r="H36" i="11"/>
  <c r="P36" i="11"/>
  <c r="X36" i="11"/>
  <c r="AC26" i="11"/>
  <c r="R46" i="11"/>
  <c r="R51" i="12"/>
  <c r="G36" i="13"/>
  <c r="O36" i="13"/>
  <c r="W36" i="13"/>
  <c r="AC27" i="14"/>
  <c r="R50" i="14"/>
  <c r="C36" i="9"/>
  <c r="K36" i="9"/>
  <c r="S36" i="9"/>
  <c r="AA36" i="9"/>
  <c r="F36" i="10"/>
  <c r="N36" i="10"/>
  <c r="V36" i="10"/>
  <c r="R45" i="10"/>
  <c r="R52" i="10"/>
  <c r="I36" i="11"/>
  <c r="Q36" i="11"/>
  <c r="Y36" i="11"/>
  <c r="R50" i="11"/>
  <c r="R50" i="12"/>
  <c r="H36" i="13"/>
  <c r="P36" i="13"/>
  <c r="X36" i="13"/>
  <c r="R46" i="13"/>
  <c r="R46" i="10"/>
  <c r="AC27" i="13"/>
  <c r="R44" i="14"/>
  <c r="R51" i="14"/>
  <c r="I36" i="5"/>
  <c r="F36" i="9"/>
  <c r="N36" i="9"/>
  <c r="V36" i="9"/>
  <c r="R45" i="9"/>
  <c r="R52" i="9"/>
  <c r="I36" i="10"/>
  <c r="Q36" i="10"/>
  <c r="Y36" i="10"/>
  <c r="R50" i="10"/>
  <c r="D36" i="11"/>
  <c r="L36" i="11"/>
  <c r="T36" i="11"/>
  <c r="R44" i="11"/>
  <c r="R46" i="12"/>
  <c r="C36" i="13"/>
  <c r="K36" i="13"/>
  <c r="S36" i="13"/>
  <c r="AA36" i="13"/>
  <c r="F36" i="14"/>
  <c r="N36" i="14"/>
  <c r="V36" i="14"/>
  <c r="Q36" i="5"/>
  <c r="J36" i="5"/>
  <c r="S36" i="5"/>
  <c r="G36" i="9"/>
  <c r="O36" i="9"/>
  <c r="W36" i="9"/>
  <c r="R49" i="9"/>
  <c r="B36" i="10"/>
  <c r="J36" i="10"/>
  <c r="R36" i="10"/>
  <c r="Z36" i="10"/>
  <c r="AC27" i="10"/>
  <c r="R47" i="10"/>
  <c r="E36" i="11"/>
  <c r="M36" i="11"/>
  <c r="U36" i="11"/>
  <c r="AC26" i="12"/>
  <c r="D36" i="13"/>
  <c r="L36" i="13"/>
  <c r="T36" i="13"/>
  <c r="R49" i="13"/>
  <c r="R51" i="13"/>
  <c r="G36" i="14"/>
  <c r="O36" i="14"/>
  <c r="W36" i="14"/>
  <c r="R52" i="14"/>
  <c r="R52" i="5"/>
  <c r="R51" i="5"/>
  <c r="R45" i="5"/>
  <c r="R46" i="5"/>
  <c r="R50" i="5"/>
  <c r="R47" i="5"/>
  <c r="AC27" i="5"/>
  <c r="AC26" i="5"/>
  <c r="X35" i="12"/>
  <c r="X36" i="12" s="1"/>
  <c r="P35" i="12"/>
  <c r="P36" i="12" s="1"/>
  <c r="H35" i="12"/>
  <c r="H36" i="12" s="1"/>
  <c r="W35" i="12"/>
  <c r="W36" i="12" s="1"/>
  <c r="O35" i="12"/>
  <c r="O36" i="12" s="1"/>
  <c r="G35" i="12"/>
  <c r="G36" i="12" s="1"/>
  <c r="V35" i="12"/>
  <c r="V36" i="12" s="1"/>
  <c r="N35" i="12"/>
  <c r="N36" i="12" s="1"/>
  <c r="F35" i="12"/>
  <c r="F36" i="12" s="1"/>
  <c r="U35" i="12"/>
  <c r="U36" i="12" s="1"/>
  <c r="M35" i="12"/>
  <c r="M36" i="12" s="1"/>
  <c r="E35" i="12"/>
  <c r="E36" i="12" s="1"/>
  <c r="T35" i="12"/>
  <c r="T36" i="12" s="1"/>
  <c r="L35" i="12"/>
  <c r="L36" i="12" s="1"/>
  <c r="D35" i="12"/>
  <c r="D36" i="12" s="1"/>
  <c r="AA35" i="12"/>
  <c r="AA36" i="12" s="1"/>
  <c r="S35" i="12"/>
  <c r="S36" i="12" s="1"/>
  <c r="K35" i="12"/>
  <c r="K36" i="12" s="1"/>
  <c r="C35" i="12"/>
  <c r="C36" i="12" s="1"/>
  <c r="Z35" i="12"/>
  <c r="Z36" i="12" s="1"/>
  <c r="R35" i="12"/>
  <c r="R36" i="12" s="1"/>
  <c r="J35" i="12"/>
  <c r="J36" i="12" s="1"/>
  <c r="B35" i="12"/>
  <c r="B36" i="12" s="1"/>
  <c r="Y35" i="12"/>
  <c r="Y36" i="12" s="1"/>
  <c r="Q35" i="12"/>
  <c r="Q36" i="12" s="1"/>
  <c r="I35" i="12"/>
  <c r="I36" i="12" s="1"/>
  <c r="R44" i="5"/>
  <c r="R49" i="5"/>
  <c r="R52" i="11"/>
  <c r="R48" i="12"/>
  <c r="R44" i="13"/>
  <c r="R46" i="9"/>
  <c r="R48" i="14"/>
  <c r="R48" i="11"/>
  <c r="R44" i="12"/>
  <c r="R49" i="12"/>
  <c r="R46" i="14"/>
  <c r="R48" i="5"/>
  <c r="R47" i="9"/>
  <c r="R51" i="11"/>
  <c r="R52" i="12"/>
  <c r="R48" i="13"/>
  <c r="R48" i="10"/>
  <c r="AC36" i="9" l="1"/>
  <c r="AC39" i="9" s="1"/>
  <c r="AC36" i="10"/>
  <c r="AC38" i="10" s="1"/>
  <c r="AC36" i="11"/>
  <c r="AC38" i="11" s="1"/>
  <c r="AC36" i="13"/>
  <c r="AC39" i="13" s="1"/>
  <c r="AC36" i="14"/>
  <c r="AC39" i="14" s="1"/>
  <c r="AC36" i="5"/>
  <c r="AC38" i="5" s="1"/>
  <c r="AC38" i="14"/>
  <c r="AC39" i="10"/>
  <c r="AC36" i="12"/>
  <c r="AC38" i="9" l="1"/>
  <c r="AC38" i="13"/>
  <c r="AC39" i="11"/>
  <c r="AC39" i="5"/>
  <c r="AC38" i="12"/>
  <c r="AC39" i="12"/>
</calcChain>
</file>

<file path=xl/sharedStrings.xml><?xml version="1.0" encoding="utf-8"?>
<sst xmlns="http://schemas.openxmlformats.org/spreadsheetml/2006/main" count="19004" uniqueCount="8963">
  <si>
    <t>C1-C2</t>
  </si>
  <si>
    <t>C2-C1</t>
  </si>
  <si>
    <t>C1-C3</t>
  </si>
  <si>
    <t>C3-C1</t>
  </si>
  <si>
    <t>C1-C4</t>
  </si>
  <si>
    <t>C4-C1</t>
  </si>
  <si>
    <t>C2-C3</t>
  </si>
  <si>
    <t>C3-C2</t>
  </si>
  <si>
    <t>C2-C4</t>
  </si>
  <si>
    <t>C4-C2</t>
  </si>
  <si>
    <t>C3-C4</t>
  </si>
  <si>
    <t>C4-C3</t>
  </si>
  <si>
    <t>C5-C6</t>
  </si>
  <si>
    <t>C6-C5</t>
  </si>
  <si>
    <t>C5-C7</t>
  </si>
  <si>
    <t>C7-C5</t>
  </si>
  <si>
    <t>C6-C7</t>
  </si>
  <si>
    <t>C7-C6</t>
  </si>
  <si>
    <t>C8-C9</t>
  </si>
  <si>
    <t>C9-C8</t>
  </si>
  <si>
    <t>A1-A2</t>
  </si>
  <si>
    <t>A2-A1</t>
  </si>
  <si>
    <t>A1-A3</t>
  </si>
  <si>
    <t>A3-A1</t>
  </si>
  <si>
    <t>A2-A3</t>
  </si>
  <si>
    <t>A3-A2</t>
  </si>
  <si>
    <t>Description</t>
  </si>
  <si>
    <t>Weight</t>
  </si>
  <si>
    <t>Rank</t>
  </si>
  <si>
    <t>Local Weight</t>
  </si>
  <si>
    <t>Local Rank</t>
  </si>
  <si>
    <t>Global Weight</t>
  </si>
  <si>
    <t>Global Rank</t>
  </si>
  <si>
    <t>A1</t>
  </si>
  <si>
    <t xml:space="preserve">ACCESSIBILITY OF THE SERVICE </t>
  </si>
  <si>
    <t>C1</t>
  </si>
  <si>
    <t>SERVICE AVAILABILITY AND EFFICIENCY</t>
  </si>
  <si>
    <t>C2</t>
  </si>
  <si>
    <t>INFORMATION PROVISION</t>
  </si>
  <si>
    <t>C3</t>
  </si>
  <si>
    <t xml:space="preserve">TICKETING OPTIONS AND FARES </t>
  </si>
  <si>
    <t>C4</t>
  </si>
  <si>
    <t xml:space="preserve">. TRAVEL PURPOSE </t>
  </si>
  <si>
    <t>A2</t>
  </si>
  <si>
    <t xml:space="preserve">DESIGN OF THE INFRASTRUCTURE </t>
  </si>
  <si>
    <t>C5</t>
  </si>
  <si>
    <t xml:space="preserve">UNIVERSAL DESIGN </t>
  </si>
  <si>
    <t>C6</t>
  </si>
  <si>
    <t xml:space="preserve">CLEANLINESS AND MAINTENANCE </t>
  </si>
  <si>
    <t>C7</t>
  </si>
  <si>
    <t xml:space="preserve">FURNITURE AND FACILITIES </t>
  </si>
  <si>
    <t>A3</t>
  </si>
  <si>
    <t xml:space="preserve">SAFETY AND SECURITY </t>
  </si>
  <si>
    <t>C8</t>
  </si>
  <si>
    <t xml:space="preserve">HARASSMENT AND PICKPOCKETING </t>
  </si>
  <si>
    <t>C9</t>
  </si>
  <si>
    <t xml:space="preserve">OVERCROWDING AND EMERGENCY SITUATIONS </t>
  </si>
  <si>
    <t>CL-1</t>
  </si>
  <si>
    <t>No. of consistent respondent</t>
  </si>
  <si>
    <t>VarName1</t>
  </si>
  <si>
    <t>ca09rtne97hb9zitultca09rvi67qvqa</t>
  </si>
  <si>
    <t>qg3nnkjsm8go3c0wqg3nmustznix299r</t>
  </si>
  <si>
    <t>kxws14mudusruinfaeszwn9kxws14mue</t>
  </si>
  <si>
    <t>kusppawugp0y98yjnkusppi9d8z33wkg</t>
  </si>
  <si>
    <t>vq959z3rvjjwy0o3vq9nioadly80mmfg</t>
  </si>
  <si>
    <t>k6elb9k9f778qzsa7qsn4k6elbyktk1h</t>
  </si>
  <si>
    <t>1oa2pzdwns0velnctn1oa2pveio3cu5w</t>
  </si>
  <si>
    <t>rhmkqcihkn667hha9msrhmkqc4wmra7m</t>
  </si>
  <si>
    <t>lkypvxz0qq1p8jmhlkypvxz4cn28qys7</t>
  </si>
  <si>
    <t>us3idy7pwfvchl4g2ftjus3idy7pqhcr</t>
  </si>
  <si>
    <t>rao311lupop1bmehq41grao3oy4k9van</t>
  </si>
  <si>
    <t>xsz488gs9t0l10ncku8swxsz488g52ex</t>
  </si>
  <si>
    <t>6jqjfvcjazipcbq44wjcy6jqjfvclw2o</t>
  </si>
  <si>
    <t>IhavereadandIagreewiththeparticipantinformationstatementabovean</t>
  </si>
  <si>
    <t>Iam18orolderandIclaimIdonothaveanymentalillnessthataffectsmyabi</t>
  </si>
  <si>
    <t>Howdidyoufindoutaboutthisstudy</t>
  </si>
  <si>
    <t>Other</t>
  </si>
  <si>
    <t>Another person suggested that I fill out the survey</t>
  </si>
  <si>
    <t>E-mailing</t>
  </si>
  <si>
    <t>Social media</t>
  </si>
  <si>
    <t>Newsletter</t>
  </si>
  <si>
    <t>Elektronska pošta</t>
  </si>
  <si>
    <t>Ostalo (naznačite)</t>
  </si>
  <si>
    <t>Correo electrónico</t>
  </si>
  <si>
    <t>Otra persona me sugirió rellenar la encuesta</t>
  </si>
  <si>
    <t>Boletín de noticias</t>
  </si>
  <si>
    <t>Redes sociales</t>
  </si>
  <si>
    <t>Whichofthesecharacteristicsismoreimportantfromyourpointofview</t>
  </si>
  <si>
    <t>Service availability and efficiency</t>
  </si>
  <si>
    <t>Of equal importance</t>
  </si>
  <si>
    <t>Information provision</t>
  </si>
  <si>
    <t>Raspoloživost usluge i efikasnost</t>
  </si>
  <si>
    <t>Jednako važno</t>
  </si>
  <si>
    <t>Dostupnost informacija</t>
  </si>
  <si>
    <t>Disponibilidad y eficiencia del servicio</t>
  </si>
  <si>
    <t>De igual importancia</t>
  </si>
  <si>
    <t>Disponibilidad y claridad de la información</t>
  </si>
  <si>
    <t>YouchoseServiceavailabilityandefficiencyHowmuchmoreimportantisS</t>
  </si>
  <si>
    <t>YouchoseInformationprovisionHowmuchmoreimportantisInformationpr</t>
  </si>
  <si>
    <t>Whyoptional</t>
  </si>
  <si>
    <t>.</t>
  </si>
  <si>
    <t>Information does not compensate for the service not being available (enough) when you need it, and not connecting etc...</t>
  </si>
  <si>
    <t>I'd rather know that a service exists and offers convenient trips with limited information about schedules than have precise information about poor services.</t>
  </si>
  <si>
    <t>Without excellent accessibility information there is no point in even considering taking the train.</t>
  </si>
  <si>
    <t>necesidad personal</t>
  </si>
  <si>
    <t>Porqué si no es eficiente, si no hay conexiones con otros medios, frecuencias elevadas, etc. no hay nada de qué informar.</t>
  </si>
  <si>
    <t>Por comodidad</t>
  </si>
  <si>
    <t>Whichofthesecharacteristicsismoreimportantfromyourpointofview1</t>
  </si>
  <si>
    <t>Ticketing options and fares</t>
  </si>
  <si>
    <t>Cene karata i fleksibilnost tarifske politike</t>
  </si>
  <si>
    <t>Billetes y tarifas</t>
  </si>
  <si>
    <t>YouchoseServiceavailabilityandefficiencyHowmuchmoreimportantis1</t>
  </si>
  <si>
    <t>YouchoseTicketingoptionsandfaresHowmuchmoreimportantisTicketing</t>
  </si>
  <si>
    <t>Whyoptional1</t>
  </si>
  <si>
    <t>My income is sufficient that current fares are affordable and there is sufficient range of fare options to meet my needs</t>
  </si>
  <si>
    <t>As long as it's reasonable prices, I'm ready to pay for efficient public transport</t>
  </si>
  <si>
    <t>If rail options don't conveniently connect end to end, with other accessible transport options, it is not possible to use the train.</t>
  </si>
  <si>
    <t>Whichofthesecharacteristicsismoreimportantfromyourpointofview2</t>
  </si>
  <si>
    <t>Finalidad del desplazamiento</t>
  </si>
  <si>
    <t>YouchoseServiceavailabilityandefficiencyHowmuchmoreimportantis2</t>
  </si>
  <si>
    <t>YouchoseTravelpurposeHowmuchmoreimportantisTravelpurposeversusS</t>
  </si>
  <si>
    <t>Whyoptional2</t>
  </si>
  <si>
    <t>I tend to use the same modes irrespective of journey purpose</t>
  </si>
  <si>
    <t>Convenience and cost have the biggest influence on how i travel, regardless of the purpose of travel</t>
  </si>
  <si>
    <t>If there is efficient transport services to all places, it doesn't matter where I travel to</t>
  </si>
  <si>
    <t>usuario habitual en el mismo trayecto</t>
  </si>
  <si>
    <t>Si el servicio es óptimo, uno se puede plantear distintas finalidades; si no, no hay qué plantear.</t>
  </si>
  <si>
    <t>Whichofthesecharacteristicsismoreimportantfromyourpointofview3</t>
  </si>
  <si>
    <t>YouchoseInformationprovisionHowmuchmoreimportantisInformationp1</t>
  </si>
  <si>
    <t>YouchoseTicketingoptionsandfaresHowmuchmoreimportantisTicketin1</t>
  </si>
  <si>
    <t>Whyoptional3</t>
  </si>
  <si>
    <t>I use public transport because it is convenient, fares are currently affordable for me</t>
  </si>
  <si>
    <t>Cost has a big impact on choices</t>
  </si>
  <si>
    <t>Porqué el coste del billete, conjuntamente con la eficiencia, puede resultar disuasorio del uso. Con una información mínima, sin embargo, el uso del transporte puede producirse</t>
  </si>
  <si>
    <t>Por economia</t>
  </si>
  <si>
    <t>Whichofthesecharacteristicsismoreimportantfromyourpointofview4</t>
  </si>
  <si>
    <t>Travel purpose</t>
  </si>
  <si>
    <t>Provisión de información</t>
  </si>
  <si>
    <t>YouchoseInformationprovisionHowmuchmoreimportantisInformationp2</t>
  </si>
  <si>
    <t>YouchoseTravelpurposeHowmuchmoreimportantisTravelpurposeversusI</t>
  </si>
  <si>
    <t>Whyoptional4</t>
  </si>
  <si>
    <t>I use public transport irrespective of journey purpose as it is convenient for almost all of my journeys</t>
  </si>
  <si>
    <t>being able to find out how to make the journey easily and conveniently even if it is a novel journey has a big influence on how i travel</t>
  </si>
  <si>
    <t>Más tiempo para dedicar al transporte dependiendo si tienes tiempo de ocio</t>
  </si>
  <si>
    <t>Con información mínima puede hacerse uso. Según la finalidad (necesidad de alta velocidad, de llevar mucho equipaje, etc) se acabará utilizando o no; es más determinante</t>
  </si>
  <si>
    <t>Whichofthesecharacteristicsismoreimportantfromyourpointofview5</t>
  </si>
  <si>
    <t>YouchoseTicketingoptionsandfaresHowmuchmoreimportantisTicketin2</t>
  </si>
  <si>
    <t>YouchoseTravelpurposeHowmuchmoreimportantisTravelpurposeversusT</t>
  </si>
  <si>
    <t>Whyoptional5</t>
  </si>
  <si>
    <t>I benefit from a range of fare options for different types of journey but do not use different mode for different journey purposes</t>
  </si>
  <si>
    <t>Affordability influences decisions about all journeys regardless of purpose</t>
  </si>
  <si>
    <t>Lack of affordability will turn people away from trains regardless of journey purpose.</t>
  </si>
  <si>
    <t>Whichofthesecharacteristicsismoreimportantfromyourpointofview6</t>
  </si>
  <si>
    <t>Universal design</t>
  </si>
  <si>
    <t>Cleanliness and maintenance</t>
  </si>
  <si>
    <t>Univerzalni dizajn</t>
  </si>
  <si>
    <t>Diseño universal</t>
  </si>
  <si>
    <t>Limpieza y mantenimiento</t>
  </si>
  <si>
    <t>YouchoseUniversaldesignHowmuchmoreimportantisUniversaldesignver</t>
  </si>
  <si>
    <t>YouchoseCleanlinessandmaintenanceHowmuchmoreimportantisCleanlin</t>
  </si>
  <si>
    <t>Whyoptional6</t>
  </si>
  <si>
    <t>Universal design it make fully accessible for everyone</t>
  </si>
  <si>
    <t>Cleanliness is also hugely important, but accessibility I would consider the most urgent and should be a given</t>
  </si>
  <si>
    <t>Access for everyone is essential, but it's also important to have clean and safe infrastructure</t>
  </si>
  <si>
    <t>Regardless of cleanliness Disabled people only get the reduced choice of what is accessible. Universal design would ensure we have the option to be as picky as everyone else.</t>
  </si>
  <si>
    <t>Debe ser un transporte inclusivo y para todos</t>
  </si>
  <si>
    <t>Porque al ser transporte público no puede resultar excluyente para ningún tipo de usuario/a</t>
  </si>
  <si>
    <t>Accesibilidad mejor que limpieza</t>
  </si>
  <si>
    <t>Whichofthesecharacteristicsismoreimportantfromyourpointofview7</t>
  </si>
  <si>
    <t>Furniture and facilities</t>
  </si>
  <si>
    <t>Mobiliario e instalaciones</t>
  </si>
  <si>
    <t>YouchoseUniversaldesignHowmuchmoreimportantisUniversaldesignve1</t>
  </si>
  <si>
    <t>YouchoseFurnitureandfacilitiesHowmuchmoreimportantisFurniturean</t>
  </si>
  <si>
    <t>Whyoptional7</t>
  </si>
  <si>
    <t>universally good design would be really great, but most important for me is that all design is good - accessible, fit for purpose and easy to work out - even if it appears differently in different services</t>
  </si>
  <si>
    <t>facilidad para acceder a su uso</t>
  </si>
  <si>
    <t>Accesibilidad antes que mobiliario</t>
  </si>
  <si>
    <t>Whichofthesecharacteristicsismoreimportantfromyourpointofview8</t>
  </si>
  <si>
    <t>YouchoseCleanlinessandmaintenanceHowmuchmoreimportantisCleanli1</t>
  </si>
  <si>
    <t>YouchoseFurnitureandfacilitiesHowmuchmoreimportantisFurniturea1</t>
  </si>
  <si>
    <t>Whyoptional8</t>
  </si>
  <si>
    <t>Infrastructures should be equipped with benches, toilets, water fountains, etc. cleanniness is also important but services should be available first</t>
  </si>
  <si>
    <t>adaptabilidad del servicio prestado</t>
  </si>
  <si>
    <t>No puede resultar excluyente o incómodo para ningún tipo de usuario/a. Personalmente la limpieza, el orden o la vigilancia es secundario.</t>
  </si>
  <si>
    <t>Limpieza antes que mobiliario</t>
  </si>
  <si>
    <t>Salud publica</t>
  </si>
  <si>
    <t>Whichofthesecharacteristicsismoreimportantfromyourpointofview9</t>
  </si>
  <si>
    <t>Overcrowding and emergency situations</t>
  </si>
  <si>
    <t>Harassment and pickpocketing</t>
  </si>
  <si>
    <t>Gužve i vanredne situacije</t>
  </si>
  <si>
    <t>Aglomeraciones y situaciones de emergencia</t>
  </si>
  <si>
    <t>Acoso y hurtos</t>
  </si>
  <si>
    <t>YouchoseHarassmentandpickpocketingHowmuchmoreimportantisHarassm</t>
  </si>
  <si>
    <t>YouchoseOvercrowdingandemergencysituationsHowmuchmoreimportanti</t>
  </si>
  <si>
    <t>Whyoptional9</t>
  </si>
  <si>
    <t>Above all harassment, I think the question should distinguish harassment an pickpocketing, separate in two questions, because harassment is of more gravity</t>
  </si>
  <si>
    <t>I experience overcrowding on a regular basis.  I have never experienced pickpocketing and only experienced very occassional minor levels of harrasment</t>
  </si>
  <si>
    <t>I believe it's more important to prevent harassment although overcrowding can also lead to such situations</t>
  </si>
  <si>
    <t>son más habituales</t>
  </si>
  <si>
    <t>El acoso o el hurto es un problema social general y creo que debe afrontarse como tal a través de educación, concienciación… no instaurando un sistema un "estado policial". Las aglomeraciones en situaciones de emergencia sí pueden llevar a situaciones de peligro puntuales que han de saber gestionarse de la mejor forma posible.</t>
  </si>
  <si>
    <t>Whichofthesecharacteristicswillbemoreimportantfromyourpointofvi</t>
  </si>
  <si>
    <t>Accessibility of the service</t>
  </si>
  <si>
    <t>Design of the infrastructure</t>
  </si>
  <si>
    <t>Pristupačnost usluge</t>
  </si>
  <si>
    <t>Accesibilidad del servicio</t>
  </si>
  <si>
    <t>Diseño de la infraestructura</t>
  </si>
  <si>
    <t>YouchoseAccessibilityoftheserviceHowmuchmoreimportantisAccessib</t>
  </si>
  <si>
    <t>YouchoseDesignoftheinfrastructureHowmuchmoreimportantisDesignof</t>
  </si>
  <si>
    <t>Whyoptional10</t>
  </si>
  <si>
    <t>If people can't access the system the can't use it, but poorly designed infrastructure can still be used.  Although design and accessiblity are interrelated.</t>
  </si>
  <si>
    <t>Whichofthesecharacteristicswillbemoreimportantfromyourpointofv1</t>
  </si>
  <si>
    <t>Safety and security</t>
  </si>
  <si>
    <t>Bezbednost i sigurnost</t>
  </si>
  <si>
    <t>YouchoseAccessibilityoftheserviceHowmuchmoreimportantisAccessi1</t>
  </si>
  <si>
    <t>YouchoseSafetyandsecurityHowmuchmoreimportantisSafetyandsecurit</t>
  </si>
  <si>
    <t>Whyoptional11</t>
  </si>
  <si>
    <t>Within Europe safety and security are given high priority already, accessiblity tends to be forgotten or poorly implemented.</t>
  </si>
  <si>
    <t>Whichofthesecharacteristicsismoreimportantfromyourpointofview10</t>
  </si>
  <si>
    <t>YouchoseDesignoftheinfrastructureHowmuchmoreimportantisDesigno1</t>
  </si>
  <si>
    <t>YouchoseSafetyandsecurityHowmuchmoreimportantisSafetyandsecuri1</t>
  </si>
  <si>
    <t>Whyoptional12</t>
  </si>
  <si>
    <t>ResidentialDetailsWheredoyoucurrentlylive</t>
  </si>
  <si>
    <t>United Kindgdom</t>
  </si>
  <si>
    <t>Italy</t>
  </si>
  <si>
    <t>The Netherlands</t>
  </si>
  <si>
    <t>Spain</t>
  </si>
  <si>
    <t>Greece</t>
  </si>
  <si>
    <t>France</t>
  </si>
  <si>
    <t>Poland</t>
  </si>
  <si>
    <t>Serbia</t>
  </si>
  <si>
    <t>YouselectedOtherPleasespecifyifyouwish</t>
  </si>
  <si>
    <t>Doyouconsideryourselftoliveina</t>
  </si>
  <si>
    <t>An urban environment</t>
  </si>
  <si>
    <t>Suburban environment</t>
  </si>
  <si>
    <t>Whatagebracketareyou</t>
  </si>
  <si>
    <t>45-54 years</t>
  </si>
  <si>
    <t>35-44 years</t>
  </si>
  <si>
    <t>55-64 years</t>
  </si>
  <si>
    <t>18-24 years</t>
  </si>
  <si>
    <t>25-34 years</t>
  </si>
  <si>
    <t>Whatisthehighestlevelofeducationyouhaveachieved</t>
  </si>
  <si>
    <t>Master</t>
  </si>
  <si>
    <t>Doctorate</t>
  </si>
  <si>
    <t>Degree</t>
  </si>
  <si>
    <t>Post-secondary education</t>
  </si>
  <si>
    <t>Upper secondary education</t>
  </si>
  <si>
    <t>Prefer not to answer</t>
  </si>
  <si>
    <t>Short-cycle tertiary education</t>
  </si>
  <si>
    <t>Whatisyouraverageyearlyincome</t>
  </si>
  <si>
    <t>11,000-20,999 €</t>
  </si>
  <si>
    <t>51,000-70,999 €</t>
  </si>
  <si>
    <t>Less than 10,999 €</t>
  </si>
  <si>
    <t>21,000-30,999 €</t>
  </si>
  <si>
    <t>More than 71,000 €</t>
  </si>
  <si>
    <t>31,000-40,999 €</t>
  </si>
  <si>
    <t>41,000-50,999 €</t>
  </si>
  <si>
    <t>Whatisyourhouseholdtype</t>
  </si>
  <si>
    <t>Single</t>
  </si>
  <si>
    <t>Married/Civil partnership-Heterosexual</t>
  </si>
  <si>
    <t>Cohabiting</t>
  </si>
  <si>
    <t>Lone parent</t>
  </si>
  <si>
    <t>Vanbračna zajednica</t>
  </si>
  <si>
    <t>Married/Civil partnership-Same sex</t>
  </si>
  <si>
    <t>Inyourfamilyunitdoyoulivewithanydependentpersonchildrenorelderl</t>
  </si>
  <si>
    <t>No</t>
  </si>
  <si>
    <t>Preschool age children (under 5 years)</t>
  </si>
  <si>
    <t>School age children (5-16 years)</t>
  </si>
  <si>
    <t>Disabled spouse</t>
  </si>
  <si>
    <t>Doyoutravelonaweeklybasiswithadependentpersonchildrenelderlycar</t>
  </si>
  <si>
    <t>Yes</t>
  </si>
  <si>
    <t>Whatisyourprofessionalstatus</t>
  </si>
  <si>
    <t>Student</t>
  </si>
  <si>
    <t>Paid employment</t>
  </si>
  <si>
    <t>Self-employed</t>
  </si>
  <si>
    <t>Inemploymentdoyou</t>
  </si>
  <si>
    <t>Work full time (30 hours per week or more)</t>
  </si>
  <si>
    <t>Work part time (less than 30 hours per week)</t>
  </si>
  <si>
    <t>Puno radno vreme (≥30 sati nedeljno)</t>
  </si>
  <si>
    <t>Doyoucurrentlyhaveanillnessimpairmentordisabilitywhichaffectsho</t>
  </si>
  <si>
    <t>Doesthishealthproblemaffectthekindofpaidworkthatyoumightdo</t>
  </si>
  <si>
    <t>Doesthishealthproblemaffecttheamountofpaidworkthatyoumightdo</t>
  </si>
  <si>
    <t>Doesyourhealthproblemlimityouruseoftransport</t>
  </si>
  <si>
    <t>Whatisyourmaincitizenship</t>
  </si>
  <si>
    <t>Italian</t>
  </si>
  <si>
    <t>British</t>
  </si>
  <si>
    <t>Spanish</t>
  </si>
  <si>
    <t>United Kingdom</t>
  </si>
  <si>
    <t>Greek</t>
  </si>
  <si>
    <t>UK</t>
  </si>
  <si>
    <t>french</t>
  </si>
  <si>
    <t>French</t>
  </si>
  <si>
    <t>Srpsko</t>
  </si>
  <si>
    <t>ESPAÑOLA</t>
  </si>
  <si>
    <t>Española</t>
  </si>
  <si>
    <t>española</t>
  </si>
  <si>
    <t>España</t>
  </si>
  <si>
    <t>Withwhichethnicgroupdoyoumostlyidentifywith</t>
  </si>
  <si>
    <t>White</t>
  </si>
  <si>
    <t>Whichreligiousgroupdoyoumostidentifywith</t>
  </si>
  <si>
    <t>Christian (all denominations)</t>
  </si>
  <si>
    <t>No religion</t>
  </si>
  <si>
    <t>Doyouidentifyas</t>
  </si>
  <si>
    <t>Woman: A person assigned female at birth who feels as a woman</t>
  </si>
  <si>
    <t>Doyouconsideryourselftobe</t>
  </si>
  <si>
    <t>Heterosexual</t>
  </si>
  <si>
    <t>Bisexual</t>
  </si>
  <si>
    <t>YouselectedOtherPleasespecifyifyouwish1</t>
  </si>
  <si>
    <t>Haveyoueverbeendiscriminatedagainstusingworkingintransportforyo</t>
  </si>
  <si>
    <t>Areyoucurrentlyworkingintransport</t>
  </si>
  <si>
    <t>Ifyeswhichtransportsectordoyouworkin</t>
  </si>
  <si>
    <t>Research, innovation and technology</t>
  </si>
  <si>
    <t>Policy making and public authority</t>
  </si>
  <si>
    <t>Otro</t>
  </si>
  <si>
    <t>Transporte urbano privado, con centro de trabajo fijo (planificación, mantenimiento, administración…)</t>
  </si>
  <si>
    <t>Whatmodeoftransportdoyouworkwith</t>
  </si>
  <si>
    <t>Multimodal</t>
  </si>
  <si>
    <t>Bike</t>
  </si>
  <si>
    <t>Other (Logistics forwarder)</t>
  </si>
  <si>
    <t>Camión</t>
  </si>
  <si>
    <t>Whatlevelisyourrole</t>
  </si>
  <si>
    <t>Operator</t>
  </si>
  <si>
    <t>Director</t>
  </si>
  <si>
    <t>Manager</t>
  </si>
  <si>
    <t>Operario</t>
  </si>
  <si>
    <t>Whatisyourusualmethodoftraveltowork</t>
  </si>
  <si>
    <t>Bus, coach, private bus</t>
  </si>
  <si>
    <t>Underground train/light railway/tram</t>
  </si>
  <si>
    <t>Bicycle</t>
  </si>
  <si>
    <t>Railway - train</t>
  </si>
  <si>
    <t>Car, van, minibus, work van</t>
  </si>
  <si>
    <t>Walk</t>
  </si>
  <si>
    <t>StartDateUTC</t>
  </si>
  <si>
    <t>SubmitDateUTC</t>
  </si>
  <si>
    <t>NetworkID</t>
  </si>
  <si>
    <t>b9a0a3d0ac</t>
  </si>
  <si>
    <t>3374d6261e</t>
  </si>
  <si>
    <t>2d0c3e5a15</t>
  </si>
  <si>
    <t>f50becaac5</t>
  </si>
  <si>
    <t>a88752264a</t>
  </si>
  <si>
    <t>199a38efb6</t>
  </si>
  <si>
    <t>5e4903048b</t>
  </si>
  <si>
    <t>9feaaffc88</t>
  </si>
  <si>
    <t>8fa8731355</t>
  </si>
  <si>
    <t>fbefb62fa1</t>
  </si>
  <si>
    <t>4a3374abfd</t>
  </si>
  <si>
    <t>6e2d329cff</t>
  </si>
  <si>
    <t>dad4ebf094</t>
  </si>
  <si>
    <t>Average</t>
  </si>
  <si>
    <t>Characteristic of the PI</t>
  </si>
  <si>
    <t>Probability Spain</t>
  </si>
  <si>
    <t>Probability Poland</t>
  </si>
  <si>
    <t>Probability France</t>
  </si>
  <si>
    <t>Probability Ireland</t>
  </si>
  <si>
    <t>Probability UK</t>
  </si>
  <si>
    <t>Probability Italy</t>
  </si>
  <si>
    <t>Probability Serbia</t>
  </si>
  <si>
    <t>EU-28</t>
  </si>
  <si>
    <t>Age</t>
  </si>
  <si>
    <t>Age&lt;25 years</t>
  </si>
  <si>
    <r>
      <t>25</t>
    </r>
    <r>
      <rPr>
        <sz val="10"/>
        <color rgb="FF414141"/>
        <rFont val="Calibri"/>
        <family val="2"/>
      </rPr>
      <t>≤</t>
    </r>
    <r>
      <rPr>
        <sz val="10"/>
        <color rgb="FF414141"/>
        <rFont val="Gill Sans MT"/>
        <family val="2"/>
      </rPr>
      <t>Age&lt;65</t>
    </r>
  </si>
  <si>
    <r>
      <t>Age</t>
    </r>
    <r>
      <rPr>
        <sz val="10"/>
        <color rgb="FF414141"/>
        <rFont val="Calibri"/>
        <family val="2"/>
      </rPr>
      <t>≥</t>
    </r>
    <r>
      <rPr>
        <sz val="10"/>
        <color rgb="FF414141"/>
        <rFont val="Gill Sans MT"/>
        <family val="2"/>
      </rPr>
      <t>65 years</t>
    </r>
  </si>
  <si>
    <t>All ages</t>
  </si>
  <si>
    <t>Gender</t>
  </si>
  <si>
    <t>Male</t>
  </si>
  <si>
    <t>Female</t>
  </si>
  <si>
    <t>All genders</t>
  </si>
  <si>
    <t>Education</t>
  </si>
  <si>
    <t>Low (ISCED 0-2)</t>
  </si>
  <si>
    <t>Medium (ISCED 3-4)</t>
  </si>
  <si>
    <t>High (ISCED 5-8)</t>
  </si>
  <si>
    <t>All Education levels</t>
  </si>
  <si>
    <t>Disability</t>
  </si>
  <si>
    <t>With disability</t>
  </si>
  <si>
    <t>No data</t>
  </si>
  <si>
    <t>Without disability</t>
  </si>
  <si>
    <t>With and without disability</t>
  </si>
  <si>
    <t>Family</t>
  </si>
  <si>
    <t>All family types</t>
  </si>
  <si>
    <t>1 person-Single</t>
  </si>
  <si>
    <t>2 person</t>
  </si>
  <si>
    <t>&gt; 2 person</t>
  </si>
  <si>
    <t>Lone parents:</t>
  </si>
  <si>
    <r>
      <t>·</t>
    </r>
    <r>
      <rPr>
        <sz val="7"/>
        <color rgb="FF414141"/>
        <rFont val="Times New Roman"/>
        <family val="1"/>
      </rPr>
      <t xml:space="preserve">        </t>
    </r>
    <r>
      <rPr>
        <sz val="10"/>
        <color rgb="FF414141"/>
        <rFont val="Gill Sans MT"/>
        <family val="2"/>
      </rPr>
      <t>Lone mother with children (from these, those with children &lt;25)</t>
    </r>
  </si>
  <si>
    <t>0,79 (0,56)</t>
  </si>
  <si>
    <t>0,87 (0,62)</t>
  </si>
  <si>
    <t>0,84 (0,82)</t>
  </si>
  <si>
    <t>0,87 (0,77)</t>
  </si>
  <si>
    <t>0,86(0,82)</t>
  </si>
  <si>
    <t>0,83(0,57)</t>
  </si>
  <si>
    <r>
      <t>·</t>
    </r>
    <r>
      <rPr>
        <sz val="7"/>
        <color rgb="FF414141"/>
        <rFont val="Times New Roman"/>
        <family val="1"/>
      </rPr>
      <t xml:space="preserve">        </t>
    </r>
    <r>
      <rPr>
        <sz val="10"/>
        <color rgb="FF414141"/>
        <rFont val="Gill Sans MT"/>
        <family val="2"/>
      </rPr>
      <t>Lone father with children (from these, those with children &lt;25)</t>
    </r>
  </si>
  <si>
    <t>0,21 (0,60)</t>
  </si>
  <si>
    <t>0,13 (0,57)</t>
  </si>
  <si>
    <t>0,16 (0,82)</t>
  </si>
  <si>
    <t>0,13 (0,62)</t>
  </si>
  <si>
    <t>0,14(0,71)</t>
  </si>
  <si>
    <t>0,17(0,53)</t>
  </si>
  <si>
    <r>
      <t>Married</t>
    </r>
    <r>
      <rPr>
        <vertAlign val="superscript"/>
        <sz val="10"/>
        <color rgb="FF414141"/>
        <rFont val="Gill Sans MT"/>
        <family val="2"/>
      </rPr>
      <t>12</t>
    </r>
    <r>
      <rPr>
        <sz val="10"/>
        <color rgb="FF414141"/>
        <rFont val="Gill Sans MT"/>
        <family val="2"/>
      </rPr>
      <t>:</t>
    </r>
  </si>
  <si>
    <r>
      <t>·</t>
    </r>
    <r>
      <rPr>
        <sz val="7"/>
        <color rgb="FF414141"/>
        <rFont val="Times New Roman"/>
        <family val="1"/>
      </rPr>
      <t xml:space="preserve">        </t>
    </r>
    <r>
      <rPr>
        <sz val="10"/>
        <color rgb="FF414141"/>
        <rFont val="Gill Sans MT"/>
        <family val="2"/>
      </rPr>
      <t>With children &lt;25</t>
    </r>
  </si>
  <si>
    <r>
      <t>·</t>
    </r>
    <r>
      <rPr>
        <sz val="7"/>
        <color rgb="FF414141"/>
        <rFont val="Times New Roman"/>
        <family val="1"/>
      </rPr>
      <t xml:space="preserve">        </t>
    </r>
    <r>
      <rPr>
        <sz val="10"/>
        <color rgb="FF414141"/>
        <rFont val="Gill Sans MT"/>
        <family val="2"/>
      </rPr>
      <t>Without children</t>
    </r>
  </si>
  <si>
    <r>
      <t>Cohabiting</t>
    </r>
    <r>
      <rPr>
        <vertAlign val="superscript"/>
        <sz val="10"/>
        <color rgb="FF414141"/>
        <rFont val="Gill Sans MT"/>
        <family val="2"/>
      </rPr>
      <t>12</t>
    </r>
    <r>
      <rPr>
        <sz val="10"/>
        <color rgb="FF414141"/>
        <rFont val="Gill Sans MT"/>
        <family val="2"/>
      </rPr>
      <t>:</t>
    </r>
  </si>
  <si>
    <t>Sexual orientation</t>
  </si>
  <si>
    <t>LGBT</t>
  </si>
  <si>
    <t>All sexual orientations</t>
  </si>
  <si>
    <t>Ethnic</t>
  </si>
  <si>
    <t>Religion</t>
  </si>
  <si>
    <t>Christian</t>
  </si>
  <si>
    <t>Other religions</t>
  </si>
  <si>
    <t>Non-believers</t>
  </si>
  <si>
    <t>Atheist</t>
  </si>
  <si>
    <t>All religions</t>
  </si>
  <si>
    <t>Economic level</t>
  </si>
  <si>
    <t>Average salary</t>
  </si>
  <si>
    <t>Low wage earners</t>
  </si>
  <si>
    <t>Non low wage earners</t>
  </si>
  <si>
    <t>All economic levels</t>
  </si>
  <si>
    <t>For intersectional analysis</t>
  </si>
  <si>
    <t>Representativeness of the sample size (%)</t>
  </si>
  <si>
    <t>Geometric Mean</t>
  </si>
  <si>
    <t>Responses</t>
  </si>
  <si>
    <t>Confidence level (Binomial)</t>
  </si>
  <si>
    <t>Power of the text (Binomial)</t>
  </si>
  <si>
    <t>Aproximate confidence Level (Normal)</t>
  </si>
  <si>
    <t>Aproximate Power (Normal)</t>
  </si>
  <si>
    <r>
      <rPr>
        <sz val="11"/>
        <color theme="1"/>
        <rFont val="Symbol"/>
        <family val="1"/>
        <charset val="2"/>
      </rPr>
      <t xml:space="preserve"> Ñ</t>
    </r>
    <r>
      <rPr>
        <sz val="11"/>
        <color theme="1"/>
        <rFont val="Calibri"/>
        <family val="2"/>
      </rPr>
      <t xml:space="preserve"> Confidence level (%real-aproximation)</t>
    </r>
  </si>
  <si>
    <r>
      <rPr>
        <sz val="11"/>
        <color theme="1"/>
        <rFont val="Symbol"/>
        <family val="1"/>
        <charset val="2"/>
      </rPr>
      <t>Ñ</t>
    </r>
    <r>
      <rPr>
        <sz val="11"/>
        <color theme="1"/>
        <rFont val="Calibri"/>
        <family val="2"/>
      </rPr>
      <t xml:space="preserve"> Power (%real-aproximation)</t>
    </r>
  </si>
  <si>
    <t>65535 = Infinity</t>
  </si>
  <si>
    <t>Estimation about the validity of results% (Binomial)</t>
  </si>
  <si>
    <t>Estimation about the validity of results% (Normal)</t>
  </si>
  <si>
    <t>13qnhkvv27zdnzj213qe6syjzvrzctvu</t>
  </si>
  <si>
    <t>uxuw8cs9h163s5ozuxuw0rb02z9mehle</t>
  </si>
  <si>
    <t>wgb5l02jxj81a7zwt47wgb5lyvru8aks</t>
  </si>
  <si>
    <t>Perquè per mi és prioritari que el transport públic arribi com a més població millor, amb una eficiència del servei. La informació sobre horaris, i funcionament si tot va bé, es necessita només puntualment.</t>
  </si>
  <si>
    <t>No sé si entenc bé el concepte de "billetes y tarifas", però m'ha semblat entendre que vol dir que s'ha de recuperar el cost del servei mitjançant el preu dels bitllets, cosa que em sembla totalment discriminatòria per a les zones rurals amb poca població on els serveis seran sempre deficitaris.</t>
  </si>
  <si>
    <t>It’s nobody’s business why I travel</t>
  </si>
  <si>
    <t>El mateix que abans, per mi la recuperació dels costos si són serveis públics no han de ser mai la base de decisió</t>
  </si>
  <si>
    <t>As before</t>
  </si>
  <si>
    <t>Good design must be accessible</t>
  </si>
  <si>
    <t>Crec que són dos coses que no es poden comparar, les dues són importants (excepte lo de "atmosfera de legalitat" que em sembla fora de lloc i no té res a veure amb la neteja dels espais</t>
  </si>
  <si>
    <t>Safety reasons</t>
  </si>
  <si>
    <t>No income</t>
  </si>
  <si>
    <t>Uk</t>
  </si>
  <si>
    <t>Catalana</t>
  </si>
  <si>
    <t>175c1b9e00</t>
  </si>
  <si>
    <t>6a11e34fb6</t>
  </si>
  <si>
    <t>51f35a9ed6</t>
  </si>
  <si>
    <t>S1</t>
  </si>
  <si>
    <t>S2</t>
  </si>
  <si>
    <t>S3</t>
  </si>
  <si>
    <t>S4</t>
  </si>
  <si>
    <t>l</t>
  </si>
  <si>
    <t>m</t>
  </si>
  <si>
    <t>u</t>
  </si>
  <si>
    <t>VC1</t>
  </si>
  <si>
    <t>VC2</t>
  </si>
  <si>
    <t>VC3</t>
  </si>
  <si>
    <t>VC4</t>
  </si>
  <si>
    <t>Fuzzy Synthetic extent value</t>
  </si>
  <si>
    <t>Identification of degree of possibility</t>
  </si>
  <si>
    <t>W1</t>
  </si>
  <si>
    <t>W2</t>
  </si>
  <si>
    <t>W3</t>
  </si>
  <si>
    <t>W4</t>
  </si>
  <si>
    <t>Weight of criteria</t>
  </si>
  <si>
    <t>min(VC1)</t>
  </si>
  <si>
    <t>min(VC2)</t>
  </si>
  <si>
    <t>min(VC3)</t>
  </si>
  <si>
    <t>min(VC4)</t>
  </si>
  <si>
    <t>STEP-3</t>
  </si>
  <si>
    <t>STEP-4</t>
  </si>
  <si>
    <t>STEP-5</t>
  </si>
  <si>
    <t>CL-2</t>
  </si>
  <si>
    <r>
      <t>V (S1</t>
    </r>
    <r>
      <rPr>
        <sz val="12"/>
        <color theme="1"/>
        <rFont val="Calibri"/>
        <family val="2"/>
      </rPr>
      <t>≥</t>
    </r>
    <r>
      <rPr>
        <sz val="12"/>
        <color theme="1"/>
        <rFont val="Times New Roman"/>
        <family val="1"/>
      </rPr>
      <t>S2)</t>
    </r>
  </si>
  <si>
    <t>V(S1≥S3)</t>
  </si>
  <si>
    <t>V(S1≥S4)</t>
  </si>
  <si>
    <t>V(S2≥S1)</t>
  </si>
  <si>
    <t>V(S2≥S3)</t>
  </si>
  <si>
    <t>V(S2≥S4)</t>
  </si>
  <si>
    <t>V(S3≥S1)</t>
  </si>
  <si>
    <t>V(S3≥S2)</t>
  </si>
  <si>
    <t>V(S3≥S4)</t>
  </si>
  <si>
    <t>V(S4≥S1)</t>
  </si>
  <si>
    <t>V(S4≥S2)</t>
  </si>
  <si>
    <t>V(S4≥S3)</t>
  </si>
  <si>
    <t>Total</t>
  </si>
  <si>
    <t>n81qmbmbtj4z7q6nn81q6bbc9yabe4gp</t>
  </si>
  <si>
    <t>l3pgvikcriei23ngl3pqhfikrnonfasa</t>
  </si>
  <si>
    <t>Efficiency</t>
  </si>
  <si>
    <t>Without offer information is useless</t>
  </si>
  <si>
    <t>Transports have to be free</t>
  </si>
  <si>
    <t>Transports have to be accessible for everyone</t>
  </si>
  <si>
    <t>It has to be free</t>
  </si>
  <si>
    <t>We have to travel</t>
  </si>
  <si>
    <t>Because If safety means "more cops", it's not more safe. Maybe infrastructure can be safier.</t>
  </si>
  <si>
    <t>Belgium</t>
  </si>
  <si>
    <t>Portuguese</t>
  </si>
  <si>
    <t>aeae6ad641</t>
  </si>
  <si>
    <t>e4d4fd4195</t>
  </si>
  <si>
    <t>5dgre2kp3vzs7mq5pn5dgrezs9wxa36b</t>
  </si>
  <si>
    <t>I don't mind having to dig a bit for information although it's frustrating, but if the service connections aren't there, then it's not a functional service</t>
  </si>
  <si>
    <t>if a ticket is not affordable, then it's not an option, regardless of how easy the information is to access</t>
  </si>
  <si>
    <t>Not sure I really understand the travel purpose characteristic</t>
  </si>
  <si>
    <t>cleanliness and maintenance to me is an aspect of universal design. If the space is unclean, then it's not comfortable for all people, and if it's not well maintained, it likely to be effecting accessibility</t>
  </si>
  <si>
    <t>a more accessible service is likely to be safer</t>
  </si>
  <si>
    <t>good design can help with the perceptions of safety and security</t>
  </si>
  <si>
    <t>Switzerland</t>
  </si>
  <si>
    <t>Supervisor/Foreman</t>
  </si>
  <si>
    <t>e498e90f4d</t>
  </si>
  <si>
    <t>jxmw1j2wim68ogxdscaz0jxmw1tjjnth</t>
  </si>
  <si>
    <t>d1tvbkftrx2c121fd1tvbkhgjxlasgbz</t>
  </si>
  <si>
    <t>Un’altra persona mi ha suggerito di rispondere all’intervista</t>
  </si>
  <si>
    <t>Di uguale importanza</t>
  </si>
  <si>
    <t>Disponibilità ed efficienza del servizio</t>
  </si>
  <si>
    <t>Biglietteria e tariffe</t>
  </si>
  <si>
    <t>Una rete di trasporto più ampia permette l'accesso a più persone. Credo che una valutazione realistica di costi e tariffe sia possibile solo in seguito all'ampliamento della rete.</t>
  </si>
  <si>
    <t>Si no conozco la oferta, da igual cuál sea la finalidad</t>
  </si>
  <si>
    <t>Le tariffe di viaggio potrebbero portare a scegliere metodi di trasporto alternativi (se disponibili)</t>
  </si>
  <si>
    <t>Para ocio me planteo más alternativas de transporte, para la rutina, trabajo y estudios necesito una de disponible en todo momento y a precio asequible</t>
  </si>
  <si>
    <t>El mobiliario debe ser correcto pero no tiene porque ser perfecto. Las indicaciones universales son algo básico y debería ser siempre asi</t>
  </si>
  <si>
    <t>Si las instalaciones son viejas pero se mantienen bien me parece correcto. Importante que no sientas que te transportas en un baúl de suciedad</t>
  </si>
  <si>
    <t>No he sufrido ningún acoso o hurto. Aglomeraciones si que es algo constante. Evitando aglomeraciones también se reduce el acoso o hurto</t>
  </si>
  <si>
    <t>Las personas que tienen un mal comportamiento seguirán teniéndolo pese a la vigilancia.</t>
  </si>
  <si>
    <t>Necesito poder trasladarme cómodamente. Muchas personas pasan 1:30h al día en transporte público</t>
  </si>
  <si>
    <t>Italiana</t>
  </si>
  <si>
    <t>Bicicleta</t>
  </si>
  <si>
    <t>5dad5f4eb9</t>
  </si>
  <si>
    <t>89f5c301e5</t>
  </si>
  <si>
    <t xml:space="preserve"> Aggregated Analysis Result</t>
  </si>
  <si>
    <t xml:space="preserve"> Women intersectional analysis Result</t>
  </si>
  <si>
    <t xml:space="preserve"> Women travelling with dependents intersectional analysis Result</t>
  </si>
  <si>
    <t>Women  poor (less than 21.000 €) intersectional analysis Result</t>
  </si>
  <si>
    <t xml:space="preserve"> Women living in rural and suburban areas  intersectional analysis Result</t>
  </si>
  <si>
    <t xml:space="preserve"> Women discriminated intersectional analysis Result</t>
  </si>
  <si>
    <t>VarName1</t>
  </si>
  <si>
    <t>#</t>
  </si>
  <si>
    <t>orqlvhz453av0x4pbm79pworqlvhzstl</t>
  </si>
  <si>
    <t>5dgre2kp3vzs7mq5pn5dgrezs9wxa36b</t>
  </si>
  <si>
    <t>a2mwhio0fj6iqdkwwha2mwhio0eppake</t>
  </si>
  <si>
    <t>9b7qm57dh6q1s12o7g9b7qm6t2anthn1</t>
  </si>
  <si>
    <t>2lnap6xlq9t5zv042lnaawe38c13u9e1</t>
  </si>
  <si>
    <t>uhlz7kah049i4umiuhlz70mm8j52tf8i</t>
  </si>
  <si>
    <t>moqbgea09c9lb1dpq0j1ujisnmoqbgns</t>
  </si>
  <si>
    <t>o2t2y3sv4m7xpsr1qkzro2t2y3smprn3</t>
  </si>
  <si>
    <t>n81qmbmbtj4z7q6nn81q6bbc9yabe4gp</t>
  </si>
  <si>
    <t>bg2ogotv4tov67jsn1djsbg2ogo13f1j</t>
  </si>
  <si>
    <t>km1hddfe9d12qgkbx6km1hddr4xewajo</t>
  </si>
  <si>
    <t>dlphk0dzg1nk2ab78rhjedlphk03mq3t</t>
  </si>
  <si>
    <t>882kwz2mqarile8hajbe882kwzi21yss</t>
  </si>
  <si>
    <t>kzbfc21e3rwjl7hn04ymfskzbfc21h26</t>
  </si>
  <si>
    <t>u0d12gv4e0gmd6s9v8u0d12ga23grbk8</t>
  </si>
  <si>
    <t>l3pgvikcriei23ngl3pqhfikrnonfasa</t>
  </si>
  <si>
    <t>vpyrlvyr4glpa752nvpyrlr51o1h8vfp</t>
  </si>
  <si>
    <t>8jqybxf3j16n2q9h74y8jqybxf3ytegl</t>
  </si>
  <si>
    <t>qcp4vputa6g3u0wxw2eqcp4422brrr8v</t>
  </si>
  <si>
    <t>cyctjxbl0cfj2jm3bcyctjxzmgbp04xb</t>
  </si>
  <si>
    <t>gur4hqy6ldvhht7i5llwbgur4hqyej5b</t>
  </si>
  <si>
    <t>i0s38bckkqvwfequii0svcak6nu5nct4</t>
  </si>
  <si>
    <t>9idfu499t1dckcqz9idw4pioq5tcylbu</t>
  </si>
  <si>
    <t>0m3lotlnxw15bugd01ca10m3ljec4a1y</t>
  </si>
  <si>
    <t>3pj2xl3qxc2eke7qjh06u3pj2xla9q7a</t>
  </si>
  <si>
    <t>ca09rtne97hb9zitultca09rvi67qvqa</t>
  </si>
  <si>
    <t>6yrnpl8wfky7s0ff6yrn15gff9sksu1x</t>
  </si>
  <si>
    <t>cgvrn208dla4p2oviaqfihcgvrndhv7r</t>
  </si>
  <si>
    <t>iulrwqji5edebsdzziulrwqji2v09yqe</t>
  </si>
  <si>
    <t>qg3nnkjsm8go3c0wqg3nmustznix299r</t>
  </si>
  <si>
    <t>s7k0v7ufxnswi5yzt48a3os7k0v7t675</t>
  </si>
  <si>
    <t>946d74i8dwmptn5w1vyl946d78pa2ucw</t>
  </si>
  <si>
    <t>ez4qjlwdrqyuzirxhs59lf8ez4qjlwdr</t>
  </si>
  <si>
    <t>qu8c7l6lo4vxcsy8cqu8cww4bkazdzh6</t>
  </si>
  <si>
    <t>lp26i3u6jjll4ou04rolp26iocr8a7dn</t>
  </si>
  <si>
    <t>kxws14mudusruinfaeszwn9kxws14mue</t>
  </si>
  <si>
    <t>o10vplofazivqw72k7cakrjo10vplogx</t>
  </si>
  <si>
    <t>1pwg6antf43gy3pqb1pwg7voyq7mw6q5</t>
  </si>
  <si>
    <t>2o30pnu689xxow2o3j8ebhhlrg2sj6kw</t>
  </si>
  <si>
    <t>13qnhkvv27zdnzj213qe6syjzvrzctvu</t>
  </si>
  <si>
    <t>kusppawugp0y98yjnkusppi9d8z33wkg</t>
  </si>
  <si>
    <t>xatbu90ed9m2m60xa44g5j4osuyh6wjo</t>
  </si>
  <si>
    <t>4714el5utdtw3kd03qmn0n64714elleu</t>
  </si>
  <si>
    <t>fk0u251g6bfhgfeku3t8gwfk0u2kg5if</t>
  </si>
  <si>
    <t>08x7t9wve1gq1l08x7t9nprbbktydt5d</t>
  </si>
  <si>
    <t>9a3wzh3n37v8m6gd19a3wzqy7j5glrx8</t>
  </si>
  <si>
    <t>hkhnnhhklc0d1joouyhkhnqi7ma3y6io</t>
  </si>
  <si>
    <t>vq959z3rvjjwy0o3vq9nioadly80mmfg</t>
  </si>
  <si>
    <t>e0e1z21129o3bfxcqmcs3e0e1z4yw7az</t>
  </si>
  <si>
    <t>k6elb9k9f778qzsa7qsn4k6elbyktk1h</t>
  </si>
  <si>
    <t>uxuw8cs9h163s5ozuxuw0rb02z9mehle</t>
  </si>
  <si>
    <t>sztmmiagwx92kb5mksztmzn4xuyzoi6t</t>
  </si>
  <si>
    <t>dd7fj2dxkolvr26irubdvhqfdd7fj2de</t>
  </si>
  <si>
    <t>60c7smlx7kzddv60c7sfdn4pxtmouhnj</t>
  </si>
  <si>
    <t>wc9n0mqmjr75ynm0wc9n4zh99dnqogzy</t>
  </si>
  <si>
    <t>uow1mikfctyvje7o81dg9tuow1min77a</t>
  </si>
  <si>
    <t>hlttfz5u107lpej2hlttfz5sfy5s7hv6</t>
  </si>
  <si>
    <t>1oa2pzdwns0velnctn1oa2pveio3cu5w</t>
  </si>
  <si>
    <t>z9vdbmv3fc37lvslest1z9vdbmvkqzlh</t>
  </si>
  <si>
    <t>ebgu190z261vi6cu1gvwlebgu19v3vqu</t>
  </si>
  <si>
    <t>rtrdb8ps8ehg88irtrdbq6oxrra25k0b</t>
  </si>
  <si>
    <t>ypluztd4pe9n9fbkzdheuypluzq28g51</t>
  </si>
  <si>
    <t>ofi6yaua6tjdgecofinzkfohlx8tecbz</t>
  </si>
  <si>
    <t>2k2gnfv5ag522c6ig2keufagfzcqtxsz</t>
  </si>
  <si>
    <t>fstg3t6ljoctpayckfstg2ysfmq7n60n</t>
  </si>
  <si>
    <t>mqw0f5n5vmj45g4pedmqw0es53jdhmg1</t>
  </si>
  <si>
    <t>4nzyk529licnx4hhz5m5vv4nzyk54hyk</t>
  </si>
  <si>
    <t>66bmherg89x04zyrsaj66bmher69gb21</t>
  </si>
  <si>
    <t>4piblxg1ol224nqg24piblpioo0pv07o</t>
  </si>
  <si>
    <t>yiw9e99yp3m2y6nkcv85yiw9e995xu5o</t>
  </si>
  <si>
    <t>y5oj001oufrwesq5y5o9piql2tx3qoqk</t>
  </si>
  <si>
    <t>jc2qifzhdi1e7jr0x2jc2qifz4fwhtud</t>
  </si>
  <si>
    <t>64ri64d1s2h34wppx50i64ri64dhasz2</t>
  </si>
  <si>
    <t>jrs1gtostupvi1juuwjrs1gtosnhbun1</t>
  </si>
  <si>
    <t>hs5wbc5l5akep5zmhs5wbbeaw04gqr88</t>
  </si>
  <si>
    <t>tvtxqotcwdvtm4ctvtxq2d8q3pif2tow</t>
  </si>
  <si>
    <t>1kwtpcxhx19oced1kw1yiw7eqxboyurl</t>
  </si>
  <si>
    <t>vut23mv61sl8yj90fu0vut28nof9m1uk</t>
  </si>
  <si>
    <t>r6m7uwv4fib5gw7r6mh8mrwsjk3ndmdk</t>
  </si>
  <si>
    <t>qk36bof2jumkpzuy1cdqk36bday5hbgn</t>
  </si>
  <si>
    <t>3zolnxqxvvn1upd9i213zolnxq7qjyk8</t>
  </si>
  <si>
    <t>7aawi726hug4fpcl797aawnwp0jptovg</t>
  </si>
  <si>
    <t>13npbhc0c3bkhf6njen13npbhixkeocc</t>
  </si>
  <si>
    <t>eq7q14fhv6qtv3kubleq7q149g4r4z0e</t>
  </si>
  <si>
    <t>8jqz7ymo8tce2b7d8jqz7sgyjpaoq309</t>
  </si>
  <si>
    <t>59if5tf1ge8ww2xf63359if50kzysh4k</t>
  </si>
  <si>
    <t>7dmdvq52yiqmn09femc7dmdvq57xowsp</t>
  </si>
  <si>
    <t>bqkx3za50lr24q6xomubqkx3gawxmg36</t>
  </si>
  <si>
    <t>2l36sgja5o5y3zuecnaj2l36sflamfep</t>
  </si>
  <si>
    <t>4nrg88420l1gbgl34nrg88nmlxr6lm8j</t>
  </si>
  <si>
    <t>hh19215sjnw7slwoahh19211ws2q8by5</t>
  </si>
  <si>
    <t>qruq1k4xbyb2fvb30rfqruq3lvqe56ky</t>
  </si>
  <si>
    <t>p9z4utzp30sn8x42rdwircp9z4utzp96</t>
  </si>
  <si>
    <t>k0yzah6f9nhr4xzuuxgk0yzahvnugbzl</t>
  </si>
  <si>
    <t>flzwvhmx3fsv8blijrf0flzwvhmx9612</t>
  </si>
  <si>
    <t>p9wid9rpjvxlochezg6vp9wid714u9lt</t>
  </si>
  <si>
    <t>tmljhdl7hy8pjk27jlwmtmljhxl0xa8l</t>
  </si>
  <si>
    <t>yc6dui3cyiwraplcz8ccyc6k34qwbk81</t>
  </si>
  <si>
    <t>aghz73mxoe9r6m5k9aghz7wwnxqcqyo5</t>
  </si>
  <si>
    <t>i4jwmlcuxd7fr3gk8ri4jwmzwkplq41o</t>
  </si>
  <si>
    <t>xxslqinmpn90ui7qyjyxxslqinfyvqhm</t>
  </si>
  <si>
    <t>gkckusoktrpjohaci67gkckusogp88td</t>
  </si>
  <si>
    <t>tgs737eq2govzncuqttis4sbdvk61lw0</t>
  </si>
  <si>
    <t>1ggc9nryhgvg0c1sd1ggc9hv9p2a1u7v</t>
  </si>
  <si>
    <t>q0k6nuqmxmht1dijymdiq0k6nowz6bpf</t>
  </si>
  <si>
    <t>jpskhhsokloyls823s3wjpskhhscsmjl</t>
  </si>
  <si>
    <t>pen9ehqrix8hl4nqazpxnpen9ehqqycw</t>
  </si>
  <si>
    <t>s0svf5p6b6io7jj11koms0svfsbgk7a6</t>
  </si>
  <si>
    <t>8poa1kw4g7fr4htw2cti8poa11za4yi3</t>
  </si>
  <si>
    <t>01f8wadhdr483wgv01f8nalrgh72smuz</t>
  </si>
  <si>
    <t>gaefzy4niners6yfmgaef8lh699enoyo</t>
  </si>
  <si>
    <t>cghzan0lsntw5jsti3q0cghzan9zk248</t>
  </si>
  <si>
    <t>hotmqbmlhkox2l3ch89lhotmqxftrk6u</t>
  </si>
  <si>
    <t>5bial0kwwln0qa8epo5bialzwtrnd0xt</t>
  </si>
  <si>
    <t>kvdr3ij858hwt1d9aqm8c6l5kvdr3ij8</t>
  </si>
  <si>
    <t>ixbz9casd0hz0cxlixbz90u6jlbx8cf5</t>
  </si>
  <si>
    <t>gwsnlfa1src900gwsnlfehlk5vufkopf</t>
  </si>
  <si>
    <t>yvsed91jolmexw6spt1dyvse7lqm7foo</t>
  </si>
  <si>
    <t>eodho02rb5eiemtourdbxteodho02lj4</t>
  </si>
  <si>
    <t>cosgkk3zwre6uokrscosgabto7r4p23e</t>
  </si>
  <si>
    <t>t6tm13d7ousgcjcduw1hgqt6tm1y79n2</t>
  </si>
  <si>
    <t>gmfnhwen3vfmhvpgmfn8xvpv8v5nte6l</t>
  </si>
  <si>
    <t>v3ndcxnhaxgof8bv3ndaj7tuz54nl6ke</t>
  </si>
  <si>
    <t>ovlxgmo8axth8xvovlrk3fastreerm8j</t>
  </si>
  <si>
    <t>gcgfyt5oo7octdnbiotgc2tyv2zt7i73</t>
  </si>
  <si>
    <t>21h7tba68exae1xi0tu21h7tmhtth08o</t>
  </si>
  <si>
    <t>ffd2li7khg5oeu9crol7mffd2l5hq86y</t>
  </si>
  <si>
    <t>egt8motllpqob8z6egt8mot0w1v0htsa</t>
  </si>
  <si>
    <t>f52gph18o9iuw1y0f52gynr2rpxif5zm</t>
  </si>
  <si>
    <t>hjorse3vt2scan00hjorseqi4fgxz6we</t>
  </si>
  <si>
    <t>fjhce5o0cr6l4kwc8i94ybfjhceiznny</t>
  </si>
  <si>
    <t>mug1kybsqoabpmug718hgwavy799q5fm</t>
  </si>
  <si>
    <t>areqijv5bbuareqij5kqqqmgdx220mbn</t>
  </si>
  <si>
    <t>4l8pcydu4h8ku744l8p6sb65xz8irw99</t>
  </si>
  <si>
    <t>zrluvky5jvwayuo72zrlu7guc1itlu2m</t>
  </si>
  <si>
    <t>pbl4sa0dyxiue57pbl48hr82rppkngw6</t>
  </si>
  <si>
    <t>dvlvqb9t0hkqhkvuu7vdvlvqh9cf28vu</t>
  </si>
  <si>
    <t>6y57b5jonmy0syhl06y5781nv1qkh7oh</t>
  </si>
  <si>
    <t>7bqb5u88sbm3488xuzy7bqb5u2ek0eem</t>
  </si>
  <si>
    <t>ymjsg35t3xrd42no4kiknymjsg35ttq2</t>
  </si>
  <si>
    <t>fhco69fmjgnrwa2dr7fhc395y785h8fx</t>
  </si>
  <si>
    <t>24bjmrc4w1u2224bjxhzp21w6datwbxh</t>
  </si>
  <si>
    <t>usp7itunpdzrfeusp7sqixj7e2028msd</t>
  </si>
  <si>
    <t>pjg76e3e7d0d88jtppjg76y0f5go5s7g</t>
  </si>
  <si>
    <t>69bpyci5eiscxz1rx2y0g269bpyci5vr</t>
  </si>
  <si>
    <t>77sswl20z2dmi6nhs277sswlhb8i1vzv</t>
  </si>
  <si>
    <t>xo0lmn1za2um26wxomp7nymhici1zlvn</t>
  </si>
  <si>
    <t>kx87gcu5lqvukx878tgg5r0mnova1jxo</t>
  </si>
  <si>
    <t>ux4ws38bfrp95wy1ux4ws3fpsq7evit1</t>
  </si>
  <si>
    <t>2bgroc31l409vjk1432bgroc3e3ys0cj</t>
  </si>
  <si>
    <t>mdpgr6nd58wk7mtz2mdpgztciskd734d</t>
  </si>
  <si>
    <t>1aytv55kzd9ma0in2he1aytvqzzm97sd</t>
  </si>
  <si>
    <t>gu4vby5lm8xs12645o7buor3ehgu4vec</t>
  </si>
  <si>
    <t>uputvcqmth7u5vvawuqy9yjquputvnl8</t>
  </si>
  <si>
    <t>k2emqq3gfj0q5e5gzc7f6zk2emqq3gfm</t>
  </si>
  <si>
    <t>jkgdocqwx7x5bxkaitfgwjkgdocqbhp2</t>
  </si>
  <si>
    <t>aeae2tjoss5n5aeaq7v64megqvicj4v6</t>
  </si>
  <si>
    <t>n5sdjeydn3lchazaze3ln5sdjqi0l9ah</t>
  </si>
  <si>
    <t>j74fi4wrpzcgndj74gz54y2apgflp6s7</t>
  </si>
  <si>
    <t>6fnesw5aek9jd9zj16fneswdadrrwfiv</t>
  </si>
  <si>
    <t>78pg726iabmbvb5y8ivm78pg726vzs9r</t>
  </si>
  <si>
    <t>mz9jz9pz3amw2w9fsmz9jzkz8cerizky</t>
  </si>
  <si>
    <t>rhmkqcihkn667hha9msrhmkqc4wmra7m</t>
  </si>
  <si>
    <t>6gvbwzx738tmxlh0h86gvbwz20drgf4b</t>
  </si>
  <si>
    <t>1t2a7ul3wugity342ck0c31t2a7p9i7z</t>
  </si>
  <si>
    <t>m5pn4n0ibg73awhv4q6m5pn4n7v9hzqf</t>
  </si>
  <si>
    <t>m7dadcwqtvinmvemybamvm7dadcbd881</t>
  </si>
  <si>
    <t>kcvx0xleb1e8mdyvqkcvx0jm27bgit45</t>
  </si>
  <si>
    <t>r8gi9m2fbzgfwrar8gi9t4aps03f0grf</t>
  </si>
  <si>
    <t>f1y4d7hnqr2rdz4nf1y4d5yicp2ax6vz</t>
  </si>
  <si>
    <t>1mcedzgtcy2kt70otsjy10c1mcedzk6z</t>
  </si>
  <si>
    <t>fb2yiqxjxa3c7vcc4fb2yl430uow5vsx</t>
  </si>
  <si>
    <t>i9zlj2k6skxiut6u7amdq3i9zlj2hpvl</t>
  </si>
  <si>
    <t>vw80gm61n5hif32pyea7vvw808ssvbg4</t>
  </si>
  <si>
    <t>cbxfhgjzgq237pduncbxfhe6ydgb8j0x</t>
  </si>
  <si>
    <t>16fm2lakag75g016fmbdvqrvtvg2ovpo</t>
  </si>
  <si>
    <t>5bc7r5at23p6yiddrrj5bc7rcvgixg3a</t>
  </si>
  <si>
    <t>xtgk3cq9lcfov7wxxtgkk7yq47ro9nqw</t>
  </si>
  <si>
    <t>or8t3j8murr8q9alioor8t3j8mt769yf</t>
  </si>
  <si>
    <t>jk8h6c9s0clgjg41ycjk8h6vza9gobdv</t>
  </si>
  <si>
    <t>g7t14w6kk71g3fpfqwog7t168epa4nlz</t>
  </si>
  <si>
    <t>ky3ivyggjl63drchky3i0waxd08ario2</t>
  </si>
  <si>
    <t>q1slwubm3ive6vyyrjnq1sfsqg2rwoy2</t>
  </si>
  <si>
    <t>1fh3j6tmlsa21krhj90an1fh3jzgw9p8</t>
  </si>
  <si>
    <t>w9d7leoohb1y0wpex67tw9d7le0rbehd</t>
  </si>
  <si>
    <t>eps19br6z9b2a2r0ep32ht3ymw51o4pd</t>
  </si>
  <si>
    <t>r8gha7ek4f1ut92g8p11dr8gha7ewlqk</t>
  </si>
  <si>
    <t>zgt6mw6y0rpx89qfuvzgt6mju0orp2a3</t>
  </si>
  <si>
    <t>ol40y0mnbxkqlol40lop4q6vndei5bpl</t>
  </si>
  <si>
    <t>qu2plxbvgfa322qu2zndns4vq4euumzn</t>
  </si>
  <si>
    <t>jxmw1j2wim68ogxdscaz0jxmw1tjjnth</t>
  </si>
  <si>
    <t>kfmkjrujxgzynlgig9kfmki8joybllh2</t>
  </si>
  <si>
    <t>9rzkli4eywi4inhnn79rzkli4ec2dj8h</t>
  </si>
  <si>
    <t>gh5z43dlmr6pnc04z4gh5zxcmrlwk9y9</t>
  </si>
  <si>
    <t>epmgbbjvia0rif6hxfifnepmgbqqbnxq</t>
  </si>
  <si>
    <t>9ybjqihfvspez8lxj9ybjnllkl29lhvx</t>
  </si>
  <si>
    <t>f4azcb8vmo5eag1f4azcx8rim7boloda</t>
  </si>
  <si>
    <t>bw4ucum7d6h5fkchbw4uh35s4oq0cai3</t>
  </si>
  <si>
    <t>o6km9evazi98o6618rlemknczhfpn56z</t>
  </si>
  <si>
    <t>vnw45htirkeewo9hshxpqbvnw45htb23</t>
  </si>
  <si>
    <t>odzriw65ojhs6vhcns1foodzriwkqv0q</t>
  </si>
  <si>
    <t>fx8e4xrk2rp7zv0ft8bx4413tlqny3ox</t>
  </si>
  <si>
    <t>tfzicx9q9p3omf08e9tfzicx9cosnj5r</t>
  </si>
  <si>
    <t>dqy9g9ygtf4ys62mwu1dqy9g9xzx8gcp</t>
  </si>
  <si>
    <t>3wugn4zkarba7pa2mhzx943wugn4uzyr</t>
  </si>
  <si>
    <t>47ffpdb69aijl0hi47ffpd6p0l6jq4a2</t>
  </si>
  <si>
    <t>pvhkumwzj3d2p8t51nspvhkumloap9ew</t>
  </si>
  <si>
    <t>7m95pg5xgn6n4680i0eb7m95pgzd28yz</t>
  </si>
  <si>
    <t>ssvif421qp0ueb2f6ssvbll5p3j03dgw</t>
  </si>
  <si>
    <t>ltxwfo7lah6b9jninblltxwfo5s3mdqb</t>
  </si>
  <si>
    <t>0fjkykyaudzjlwx6k30fjkyklq1823lc</t>
  </si>
  <si>
    <t>vjuw6qtvs41jf5tyqvjn0uuc0i7u2zmv</t>
  </si>
  <si>
    <t>xopg6e5db8mcwxwc5rynayxopg6vps9z</t>
  </si>
  <si>
    <t>aj22wtfc965v4turaj22w8nxhydbr9fi</t>
  </si>
  <si>
    <t>houanzkpqzlps2stg17houanz2x0usey</t>
  </si>
  <si>
    <t>y6u8adax0927z3t5hifm0y6u8avddpsu</t>
  </si>
  <si>
    <t>kkxig5j2pw7ivnakkxgyvakmkry1c46z</t>
  </si>
  <si>
    <t>66laruqir6skteynzv66lar6npfuki8w</t>
  </si>
  <si>
    <t>vu4zikce2k53tv62229r8hvu4zj72oa3</t>
  </si>
  <si>
    <t>244h14opxh2q0hg9b60y244h143c2d0b</t>
  </si>
  <si>
    <t>0gvr671xwoxlhfotbbxt0gvr671xczzn</t>
  </si>
  <si>
    <t>93nuzv2dqbzybw8cu0f93nuzvnj2r9cc</t>
  </si>
  <si>
    <t>uv09xv1btm6dtw1vimluv09xv7oz6gw5</t>
  </si>
  <si>
    <t>60o8nnpf484ckhrrwze60o8nnf0ofmks</t>
  </si>
  <si>
    <t>9q1bouz2vxcsdgvj9q1wl5kat47vt3l9</t>
  </si>
  <si>
    <t>ks3mzjocczcslzr1icj0ks3mzjociezx</t>
  </si>
  <si>
    <t>w9woodeugo87qlt9k36bw9woo6ooynhf</t>
  </si>
  <si>
    <t>t539ryitil6a9ht539x2nopsd5urpfsw</t>
  </si>
  <si>
    <t>ynj8w2bpdtp086jyynj85cc3xn03s6zu</t>
  </si>
  <si>
    <t>3b3x2a5s7rfiiaqp3b3x2j3x1mqmqaqi</t>
  </si>
  <si>
    <t>6jyiup7clyr8fwrfu8vv6jyiup7f9mhn</t>
  </si>
  <si>
    <t>kmqto0wrev32nzu49tonqkmqto0wd56h</t>
  </si>
  <si>
    <t>w4o79kva5d9t5zzow4o7vanw7lwo4663</t>
  </si>
  <si>
    <t>6j7aq50lxyzyhtsi6j7aq482r55zlaf1</t>
  </si>
  <si>
    <t>o2aundrvkap7o2aab9s0r6ld36v7ab9s</t>
  </si>
  <si>
    <t>erl22gknbc7vodydl7nerl22gk8m25yo</t>
  </si>
  <si>
    <t>kgo6d1z1t5v7o3te4071kvkgo6d1z572</t>
  </si>
  <si>
    <t>dj8w6tswugetc70pdb8dj8w6tswu7p7v</t>
  </si>
  <si>
    <t>9com96jwyev6rkiw29com7vxp486dl6s</t>
  </si>
  <si>
    <t>w4xhtr79rgmylx71ythw4xht8ndeizt2</t>
  </si>
  <si>
    <t>7nhw846oxe99kxzc7nhw8jbu75opekd0</t>
  </si>
  <si>
    <t>8d3udy1xk9wcjsm5i48d3udy11qifmce</t>
  </si>
  <si>
    <t>6fb475nn6ppucgxw2p6fb47i1avnufmt</t>
  </si>
  <si>
    <t>1zvdcqsqtwpehclu7h71zvdcg65xnaq2</t>
  </si>
  <si>
    <t>0tpcgf7uklx4kxw0tpca0gv6rlp750bq</t>
  </si>
  <si>
    <t>vhvsje9nbx30fzf5vhvsy16uhjucpi15</t>
  </si>
  <si>
    <t>kdwtchu412m8wuu7nxskpkdwtcovhbt9</t>
  </si>
  <si>
    <t>8efsqkw6bws27peubzs8efsqh4qds136</t>
  </si>
  <si>
    <t>1ip7kamt4aujliam1i0x894c8o3e2odo</t>
  </si>
  <si>
    <t>nvz7mkwkevc4h7z7nvzwx4m0boq7li4f</t>
  </si>
  <si>
    <t>lintakxho1g08lzdlixlintaee24bff8</t>
  </si>
  <si>
    <t>ixgxglej91n02jiixg7wh0txg5v6e56e</t>
  </si>
  <si>
    <t>00dncwozvsro4gth004d67gr08pud6m4</t>
  </si>
  <si>
    <t>rgv7jnapuz44ztz7pq2j64crgv7jntr0</t>
  </si>
  <si>
    <t>kokd31blqphuqlfnn3rp3kokd31fg4wl</t>
  </si>
  <si>
    <t>zrny5sxs4xns5nr66twdzrny5ie1pe45</t>
  </si>
  <si>
    <t>4ssg3t9iqbg57935n4ssgil9nr7pivjr</t>
  </si>
  <si>
    <t>pzpkbizdqal6kgqxoie5dpzpkbizj6az</t>
  </si>
  <si>
    <t>m2x1rpkspvc9dmm2x1ruuskhv5xweilz</t>
  </si>
  <si>
    <t>bkt5zftzjypidc2pq3zbkt52igq821sk</t>
  </si>
  <si>
    <t>qignwegszdig8bedqignwrdwi2ielwn2</t>
  </si>
  <si>
    <t>3vyw3e6zrss9i3ei3vywoe3jtjossn1b</t>
  </si>
  <si>
    <t>b5v2nr9hygccb5v709uhcbkilf8ei496</t>
  </si>
  <si>
    <t>ssheyyxmf9b7o8ea7qtssheyyx2ufzm5</t>
  </si>
  <si>
    <t>vopezgkokx71y355nh5d7ki8vopezgk0</t>
  </si>
  <si>
    <t>gfwgcvsc69w5ttcgfwgk9s6dxl0xk5r7</t>
  </si>
  <si>
    <t>qegaykudqv0xtxymjqegayyspjyz3bsq</t>
  </si>
  <si>
    <t>o4bfrc3r3e1mnjao4bfg23w8ukyo03hu</t>
  </si>
  <si>
    <t>9ytseqpsd63jef0p49ytsey9kfxvtedd</t>
  </si>
  <si>
    <t>c9ghv4gg7yhj75nxeowwc9ghv4b8a8mo</t>
  </si>
  <si>
    <t>ioyk7jvqomb33rmr4h0ioyk7t1rkzyme</t>
  </si>
  <si>
    <t>s4z0jtdsj8h8z728hvas4z01u6e8q3tp</t>
  </si>
  <si>
    <t>yuso2aifqqld22j240yusocp2gaale80</t>
  </si>
  <si>
    <t>vxjzetl8ndjawvxj2k81qf7hfxttdxbm</t>
  </si>
  <si>
    <t>q78945sgz4ekkhxslnegq7894rf46z7k</t>
  </si>
  <si>
    <t>3b8z9u90ssy8cua23b8z9us3jalaycfo</t>
  </si>
  <si>
    <t>u2eislyv7pnfi3wtrgmu2e0mb8bdc0xc</t>
  </si>
  <si>
    <t>vjjw6czyhga393vjjxo2f0pbn88fs1xf</t>
  </si>
  <si>
    <t>xp8q1yphqcxj8nissd38xp8q1q619w99</t>
  </si>
  <si>
    <t>wwss8gzkfd60cdtxa179wwss8g0vl43r</t>
  </si>
  <si>
    <t>3fyhh3x44zbymbqnwfg3fyhh4kgf01gb</t>
  </si>
  <si>
    <t>ghrvgplhrb7ucit1m0weghrvgxbej9dz</t>
  </si>
  <si>
    <t>gro4axyevkn9ejgro4tq7aji7shn3l2z</t>
  </si>
  <si>
    <t>h19y5dolhb70hknuvwh19y5d9umva71e</t>
  </si>
  <si>
    <t>xrmyscws8bldf9l4txrmysmd861tjgdw</t>
  </si>
  <si>
    <t>dvfrwtxnzwhcuypfyxzdvfrwtzdmalv3</t>
  </si>
  <si>
    <t>v4gw9n6b8ulfn84tr0srd7uv4gw9n6ya</t>
  </si>
  <si>
    <t>xs47trnc9ddli2rwxs47t0p86lr7bal0</t>
  </si>
  <si>
    <t>tdbmfw44bcvoqzknd8tdbmfwjgngzskt</t>
  </si>
  <si>
    <t>l3o7fe9vjjln03aqnwl3o7f5ayq524g2</t>
  </si>
  <si>
    <t>e2knj0bde8j4jtqyplie2knjcj2l94p6</t>
  </si>
  <si>
    <t>9webrjgvtmf12mjg9p2sw9webrjkqj55</t>
  </si>
  <si>
    <t>yj09m73ddbabl8d740tkopyj09m73d8o</t>
  </si>
  <si>
    <t>vss5i7e919rkvsc2w86vss5i7doryj3i</t>
  </si>
  <si>
    <t>r4xyflnq9xrw0a91r4xyflbxc5s53f87</t>
  </si>
  <si>
    <t>cfeqh5kro46w51ci8cfeqh5nrtb2k7bg</t>
  </si>
  <si>
    <t>i1a09fiedr1twh3ujcti1a09fukr9oe0</t>
  </si>
  <si>
    <t>vh1d2crnrk22m7kvh1d976yp8hclhr99</t>
  </si>
  <si>
    <t>j7pvhhfotqqf7fuu6s6cj7pvh7nu2845</t>
  </si>
  <si>
    <t>ua4dxig6ey05fwfua40xxpxalgket2i7</t>
  </si>
  <si>
    <t>gjnawp5i0at4zf0yghgjnjhvpm05dik3</t>
  </si>
  <si>
    <t>0o9zqs9qxn4zp2lvi0o9zq62hosep02j</t>
  </si>
  <si>
    <t>m5232lswezslyfua8cy3m5232d0rfvto</t>
  </si>
  <si>
    <t>wvgavdz4cgg7dqaijjcwvgavd5zhykdg</t>
  </si>
  <si>
    <t>g33pkxjo1fe22uvpsqt4cg33pkxnpwc1</t>
  </si>
  <si>
    <t>v3o53rt66xmo7v3gare20w6j3o81vtxc</t>
  </si>
  <si>
    <t>z7dqlu1s264sg3usz7dqlr331trg5807</t>
  </si>
  <si>
    <t>rjwtytieclewxox5rrjwtytia41bb7ui</t>
  </si>
  <si>
    <t>zfv5bxfr8uq7mkksuwzfv5bx374rcd32</t>
  </si>
  <si>
    <t>arg9q488b6fbo0ocvarg9q5ol5awkqy3</t>
  </si>
  <si>
    <t>yjrvgstaa9t5tchuyjra2snhypfp2hp4</t>
  </si>
  <si>
    <t>w42e8n4n051uvuh7lvqw42e8n5d6ount</t>
  </si>
  <si>
    <t>u7sqot93686r12wu7sqguy4w0myxm584</t>
  </si>
  <si>
    <t>bu4wcthlho8l1swqb49bu4wctho2wlo1</t>
  </si>
  <si>
    <t>vhdmm3xnqjtaijofer8vhdmm3xgfc0y3</t>
  </si>
  <si>
    <t>xw6wqd1o6m2tu1dq2jyffvn6xw6wqd1o</t>
  </si>
  <si>
    <t>08yc99d7gp80ybqx9v608ycquyphjdkh</t>
  </si>
  <si>
    <t>4i0cqrztqrc121q1hrqt4i0cymojwkk3</t>
  </si>
  <si>
    <t>2jh964cj74mom5z30cswdf2jh964cjnn</t>
  </si>
  <si>
    <t>pd9o12gm25tpszldzpd9nkluygitx9qb</t>
  </si>
  <si>
    <t>7jgpt2c7ymxx7teigsb9i7jgp24dxvhw</t>
  </si>
  <si>
    <t>j0w3dfr0bk1ghn34j0w3l1qfy67xidrp</t>
  </si>
  <si>
    <t>d1tvbkftrx2c121fd1tvbkhgjxlasgbz</t>
  </si>
  <si>
    <t>0j49l8jkwu54isn10j49l8qjtq1k8tat</t>
  </si>
  <si>
    <t>3w35rm3cn3w2nve59g4gk7mtd8i2nve5</t>
  </si>
  <si>
    <t>ba09nm1b883vhcu5nba0ipcvqx4lgl1d</t>
  </si>
  <si>
    <t>y6sko91yqf5v83s5qthq6x43y6sko91y</t>
  </si>
  <si>
    <t>jtpc1a1nberwvf9wrziwqffjtpc1a180</t>
  </si>
  <si>
    <t>xtqv9qogummizdbozgxtqvygdoaalqo6</t>
  </si>
  <si>
    <t>tdcagdxl9cs9wz9tdcaghiy6sxrecboe</t>
  </si>
  <si>
    <t>lkypvxz0qq1p8jmhlkypvxz4cn28qys7</t>
  </si>
  <si>
    <t>wgb5l02jxj81a7zwt47wgb5lyvru8aks</t>
  </si>
  <si>
    <t>us3idy7pwfvchl4g2ftjus3idy7pqhcr</t>
  </si>
  <si>
    <t>ksd9jwco52r98vxrksd90nbjxt4y4jgf</t>
  </si>
  <si>
    <t>rao311lupop1bmehq41grao3oy4k9van</t>
  </si>
  <si>
    <t>xsz488gs9t0l10ncku8swxsz488g52ex</t>
  </si>
  <si>
    <t>3ii4nu60924cs2a9r3ii4nhmbfiyhc59</t>
  </si>
  <si>
    <t>mf82g7n2j58y3amf8rzaqd0lh3u0mny1</t>
  </si>
  <si>
    <t>ibmb95ibcc9fri0s7ttibmb9n1zzbzh3</t>
  </si>
  <si>
    <t>9ccvabw0hi0e849p3h9ccvabwgydu77y</t>
  </si>
  <si>
    <t>jwvlcjjy4j0p0e7jwvlcj5hz7q2ntl1b</t>
  </si>
  <si>
    <t>cwua9u3q0xhj9khlnrbswcwua9u37pxa</t>
  </si>
  <si>
    <t>lldvutrkckltomzblldvbw9ocxy611zw</t>
  </si>
  <si>
    <t>51wbwha7jg8nqi2wis51wbwhi2faxe6n</t>
  </si>
  <si>
    <t>e8lnmjljkeppkog3lo7e8lnmjljtrgz7</t>
  </si>
  <si>
    <t>sjvmhho1tbeansu554w39xgxsjvmhhdf</t>
  </si>
  <si>
    <t>dft3pllbjx0xu2a0v66dft3pl7itdadb</t>
  </si>
  <si>
    <t>8nqjss524ib5e8nqtc6cahzpog63jtcz</t>
  </si>
  <si>
    <t>96qb70hcj4p5gwy1l96qb77hb75mbo63</t>
  </si>
  <si>
    <t>i5x7ceh9ke57u6i5x52yu8cectj7gkog</t>
  </si>
  <si>
    <t>n8508mde369pb1q0uln8500vw5m4k03p</t>
  </si>
  <si>
    <t>2f4zraxtju4kda8w04vu6l9z62f4zrax</t>
  </si>
  <si>
    <t>l6nrup05u4zsdl6a1j8uz18r14gca1j8</t>
  </si>
  <si>
    <t>hmydkff0dyrl3o6k5w0efhmydkfelbnf</t>
  </si>
  <si>
    <t>7xf4ysa33zutqeuapmfm5mcuk7xf4ysa</t>
  </si>
  <si>
    <t>6jqjfvcjazipcbq44wjcy6jqjfvclw2o</t>
  </si>
  <si>
    <t>t983e77fxjtcu45tn6t983e7iqgupqmw</t>
  </si>
  <si>
    <t>s2d5c8ugmfrayzzgm0dns2d5c81f43j1</t>
  </si>
  <si>
    <t>a10ofsvbxlkltrlu3fa5z4a10ofsvyli</t>
  </si>
  <si>
    <t>su4fvfgpbexqe722axrsu4fvfbf2tdji</t>
  </si>
  <si>
    <t>3msk8oami5acyf53mskiwtfaaqjf6yhe</t>
  </si>
  <si>
    <t>ec7ofsnvzcqolwx2e4ec7ofs6aadmipu</t>
  </si>
  <si>
    <t>9sdxqtm8qpcoipmuc1r2g9sdxqtmozqq</t>
  </si>
  <si>
    <t>2tb7sm06j0j3w1mw3b2tb7sm01n0tl2s</t>
  </si>
  <si>
    <t>z5jtznbmryu6dnxmifz5jtzyvioadyaz</t>
  </si>
  <si>
    <t>0f8iwovcdyqumpgzmy0f8i7fvvlajelv</t>
  </si>
  <si>
    <t>3c9vrp165eu4gyei3c9vxdbagmsbkllp</t>
  </si>
  <si>
    <t>e6oc3y0jb78ld1iwlw6bfe6oc3yuq9as</t>
  </si>
  <si>
    <t>g7etb09q6vf8cwultf05g7etbwamiju1</t>
  </si>
  <si>
    <t>d330vrg99u7jyag39d330vbe4sqxfr1q</t>
  </si>
  <si>
    <t>a7if4uz3qjeipu0pjaa7if4lmxmv47eo</t>
  </si>
  <si>
    <t>ke5iw2gyp2ke5i62hqeykorur63l62hm</t>
  </si>
  <si>
    <t>u9wlukam3tkt8018u9wlukh624x7zeoe</t>
  </si>
  <si>
    <t>kyjj7ydxeiy8zymm7t86kyjj7ydxb677</t>
  </si>
  <si>
    <t>2kr1x4t9jkh86edg2kr1xqqjx5ct0e3w</t>
  </si>
  <si>
    <t>1xcj0bkh6i50evb1xcj08qj13ffmb4f6</t>
  </si>
  <si>
    <t>u8xoumfkbolpekrldzu8xv5rrr1plbht</t>
  </si>
  <si>
    <t>m0q5hs629wad5bq0xf3amwcm0q5hs6rc</t>
  </si>
  <si>
    <t>jd5zvm44vtqwijd5zvnbqnhgxmwvn6nu</t>
  </si>
  <si>
    <t>hao15edkb82txhao15ksnll740ams7q9</t>
  </si>
  <si>
    <t>7cvid46yty7txwm6fmlyzh7cvid46pgu</t>
  </si>
  <si>
    <t>dpw9249sqtf8f0sdpw9244cwv1fpuya3</t>
  </si>
  <si>
    <t>c7rlsdxq49pvathic7r525w41kw8k6o1</t>
  </si>
  <si>
    <t>tgli8oypbu8p7ahtgl68qih2gohbdiev</t>
  </si>
  <si>
    <t>IhavereadandIagreewiththeparticipantinformationstatementabovean</t>
  </si>
  <si>
    <t>Iam18orolderandIclaimIdonothaveanymentalillnessthataffectsmyabi</t>
  </si>
  <si>
    <t>Howdidyoufindoutaboutthisstudy</t>
  </si>
  <si>
    <t>How did you find out about this study?</t>
  </si>
  <si>
    <t>Another person suggested that I fill out the survey</t>
  </si>
  <si>
    <t>Other</t>
  </si>
  <si>
    <t>E-mailing</t>
  </si>
  <si>
    <t>Social media</t>
  </si>
  <si>
    <t>Other</t>
  </si>
  <si>
    <t>Another person suggested that I fill out the survey</t>
  </si>
  <si>
    <t>E-mailing</t>
  </si>
  <si>
    <t>Social media</t>
  </si>
  <si>
    <t>E-mailing</t>
  </si>
  <si>
    <t>Social media</t>
  </si>
  <si>
    <t>Another person suggested that I fill out the survey</t>
  </si>
  <si>
    <t>Other</t>
  </si>
  <si>
    <t>Another person suggested that I fill out the survey</t>
  </si>
  <si>
    <t>E-mailing</t>
  </si>
  <si>
    <t>Social media</t>
  </si>
  <si>
    <t>Another person suggested that I fill out the survey</t>
  </si>
  <si>
    <t>Social media</t>
  </si>
  <si>
    <t>E-mailing</t>
  </si>
  <si>
    <t>Social media</t>
  </si>
  <si>
    <t>Another person suggested that I fill out the survey</t>
  </si>
  <si>
    <t>Social media</t>
  </si>
  <si>
    <t>Newsletter</t>
  </si>
  <si>
    <t>E-mailing</t>
  </si>
  <si>
    <t>Social media</t>
  </si>
  <si>
    <t>E-mailing</t>
  </si>
  <si>
    <t>Another person suggested that I fill out the survey</t>
  </si>
  <si>
    <t>Social media</t>
  </si>
  <si>
    <t>E-mailing</t>
  </si>
  <si>
    <t>Other (please specify if you wish)</t>
  </si>
  <si>
    <t>E-mailing</t>
  </si>
  <si>
    <t>Newsletter</t>
  </si>
  <si>
    <t>E-mailing</t>
  </si>
  <si>
    <t>Newsletter</t>
  </si>
  <si>
    <t>Social media</t>
  </si>
  <si>
    <t>Another person suggested that I fill out the survey</t>
  </si>
  <si>
    <t>Newsletter</t>
  </si>
  <si>
    <t>Social media</t>
  </si>
  <si>
    <t>Une autre personne m'a suggéré de remplir le sondage</t>
  </si>
  <si>
    <t>Réseaux sociaux</t>
  </si>
  <si>
    <t>Une autre personne m'a suggéré de remplir le sondage</t>
  </si>
  <si>
    <t>Autre</t>
  </si>
  <si>
    <t>Réseaux sociaux</t>
  </si>
  <si>
    <t>Autre</t>
  </si>
  <si>
    <t>Envoi d'e-mails</t>
  </si>
  <si>
    <t>Une autre personne m'a suggéré de remplir le sondage</t>
  </si>
  <si>
    <t>Autre</t>
  </si>
  <si>
    <t>Une autre personne m'a suggéré de remplir le sondage</t>
  </si>
  <si>
    <t>Envoi d'e-mails</t>
  </si>
  <si>
    <t>Une autre personne m'a suggéré de remplir le sondage</t>
  </si>
  <si>
    <t>Envoi d'e-mails</t>
  </si>
  <si>
    <t>Une autre personne m'a suggéré de remplir le sondage</t>
  </si>
  <si>
    <t>Autre</t>
  </si>
  <si>
    <t>Envoi d'e-mails</t>
  </si>
  <si>
    <t>Une autre personne m'a suggéré de remplir le sondage</t>
  </si>
  <si>
    <t>Envoi d'e-mails</t>
  </si>
  <si>
    <t>Autre</t>
  </si>
  <si>
    <t>Envoi d'e-mails</t>
  </si>
  <si>
    <t>Autre</t>
  </si>
  <si>
    <t>Newsletter</t>
  </si>
  <si>
    <t>Une autre personne m'a suggéré de remplir le sondage</t>
  </si>
  <si>
    <t>Autre</t>
  </si>
  <si>
    <t>Envoi d'e-mails</t>
  </si>
  <si>
    <t>Une autre personne m'a suggéré de remplir le sondage</t>
  </si>
  <si>
    <t>Newsletter</t>
  </si>
  <si>
    <t>Autre</t>
  </si>
  <si>
    <t>Envoi d'e-mails</t>
  </si>
  <si>
    <t>Une autre personne m'a suggéré de remplir le sondage</t>
  </si>
  <si>
    <t>Envoi d'e-mails</t>
  </si>
  <si>
    <t>Newsletter</t>
  </si>
  <si>
    <t>Envoi d'e-mails</t>
  </si>
  <si>
    <t>Newsletter</t>
  </si>
  <si>
    <t>Envoi d'e-mails</t>
  </si>
  <si>
    <t>Autre</t>
  </si>
  <si>
    <t>Une autre personne m'a suggéré de remplir le sondage</t>
  </si>
  <si>
    <t>Envoi d'e-mails</t>
  </si>
  <si>
    <t>Une autre personne m'a suggéré de remplir le sondage</t>
  </si>
  <si>
    <t>Envoi d'e-mails</t>
  </si>
  <si>
    <t>Autre</t>
  </si>
  <si>
    <t>Réseaux sociaux</t>
  </si>
  <si>
    <t>Newsletter</t>
  </si>
  <si>
    <t>Autre</t>
  </si>
  <si>
    <t>Une autre personne m'a suggéré de remplir le sondage</t>
  </si>
  <si>
    <t>Réseaux sociaux</t>
  </si>
  <si>
    <t>Envoi d'e-mails</t>
  </si>
  <si>
    <t>Newsletter</t>
  </si>
  <si>
    <t>Une autre personne m'a suggéré de remplir le sondage</t>
  </si>
  <si>
    <t>Réseaux sociaux</t>
  </si>
  <si>
    <t>Autre</t>
  </si>
  <si>
    <t>Une autre personne m'a suggéré de remplir le sondage</t>
  </si>
  <si>
    <t>Autre</t>
  </si>
  <si>
    <t>Une autre personne m'a suggéré de remplir le sondage</t>
  </si>
  <si>
    <t>Autre</t>
  </si>
  <si>
    <t>Une autre personne m'a suggéré de remplir le sondage</t>
  </si>
  <si>
    <t>Envoi d'e-mails</t>
  </si>
  <si>
    <t>Une autre personne m'a suggéré de remplir le sondage</t>
  </si>
  <si>
    <t>Envoi d'e-mails</t>
  </si>
  <si>
    <t>Une autre personne m'a suggéré de remplir le sondage</t>
  </si>
  <si>
    <t>Druga osoba mi je predložila da popunim upitnik</t>
  </si>
  <si>
    <t>Elektronska pošta</t>
  </si>
  <si>
    <t>Druga osoba mi je predložila da popunim upitnik</t>
  </si>
  <si>
    <t>Elektronska pošta</t>
  </si>
  <si>
    <t>Ostalo (naznačite)</t>
  </si>
  <si>
    <t>Informativni bilten</t>
  </si>
  <si>
    <t>Ostalo (naznačite)</t>
  </si>
  <si>
    <t>Druga osoba mi je predložila da popunim upitnik</t>
  </si>
  <si>
    <t>Informativni bilten</t>
  </si>
  <si>
    <t>Druga osoba mi je predložila da popunim upitnik</t>
  </si>
  <si>
    <t>Elektronska pošta</t>
  </si>
  <si>
    <t>Druga osoba mi je predložila da popunim upitnik</t>
  </si>
  <si>
    <t>Un’altra persona mi ha suggerito di rispondere all’intervista</t>
  </si>
  <si>
    <t>E-mail</t>
  </si>
  <si>
    <t>Newsletter</t>
  </si>
  <si>
    <t>Un’altra persona mi ha suggerito di rispondere all’intervista</t>
  </si>
  <si>
    <t>Social media</t>
  </si>
  <si>
    <t>Un’altra persona mi ha suggerito di rispondere all’intervista</t>
  </si>
  <si>
    <t>Social media</t>
  </si>
  <si>
    <t>Un’altra persona mi ha suggerito di rispondere all’intervista</t>
  </si>
  <si>
    <t>E-mail</t>
  </si>
  <si>
    <t>Media społecznościowe</t>
  </si>
  <si>
    <t>Biuletyn Informacyjny</t>
  </si>
  <si>
    <t>Inna osoba zasugerowała wypełnienie ankiety</t>
  </si>
  <si>
    <t>Media społecznościowe</t>
  </si>
  <si>
    <t>Biuletyn Informacyjny</t>
  </si>
  <si>
    <t>Media społecznościowe</t>
  </si>
  <si>
    <t>Inna osoba zasugerowała wypełnienie ankiety</t>
  </si>
  <si>
    <t>Media społecznościowe</t>
  </si>
  <si>
    <t>Inne (proszę określić, jeśli chcesz)</t>
  </si>
  <si>
    <t>Media społecznościowe</t>
  </si>
  <si>
    <t>Inne (proszę określić, jeśli chcesz)</t>
  </si>
  <si>
    <t>E-mailing</t>
  </si>
  <si>
    <t>Media społecznościowe</t>
  </si>
  <si>
    <t>Inna osoba zasugerowała wypełnienie ankiety</t>
  </si>
  <si>
    <t>Biuletyn Informacyjny</t>
  </si>
  <si>
    <t>Media społecznościowe</t>
  </si>
  <si>
    <t>Inna osoba zasugerowała wypełnienie ankiety</t>
  </si>
  <si>
    <t>Media społecznościowe</t>
  </si>
  <si>
    <t>Inne (proszę określić, jeśli chcesz)</t>
  </si>
  <si>
    <t>Media społecznościowe</t>
  </si>
  <si>
    <t>Inna osoba zasugerowała wypełnienie ankiety</t>
  </si>
  <si>
    <t>Media społecznościowe</t>
  </si>
  <si>
    <t>Inna osoba zasugerowała wypełnienie ankiety</t>
  </si>
  <si>
    <t>Media społecznościowe</t>
  </si>
  <si>
    <t>Inna osoba zasugerowała wypełnienie ankiety</t>
  </si>
  <si>
    <t>Inne (proszę określić, jeśli chcesz)</t>
  </si>
  <si>
    <t>Inna osoba zasugerowała wypełnienie ankiety</t>
  </si>
  <si>
    <t>Inne (proszę określić, jeśli chcesz)</t>
  </si>
  <si>
    <t>Media społecznościowe</t>
  </si>
  <si>
    <t>E-mailing</t>
  </si>
  <si>
    <t>Inna osoba zasugerowała wypełnienie ankiety</t>
  </si>
  <si>
    <t>E-mailing</t>
  </si>
  <si>
    <t>Inna osoba zasugerowała wypełnienie ankiety</t>
  </si>
  <si>
    <t>E-mailing</t>
  </si>
  <si>
    <t>Media społecznościowe</t>
  </si>
  <si>
    <t>E-mailing</t>
  </si>
  <si>
    <t>Inna osoba zasugerowała wypełnienie ankiety</t>
  </si>
  <si>
    <t>E-mailing</t>
  </si>
  <si>
    <t>Inna osoba zasugerowała wypełnienie ankiety</t>
  </si>
  <si>
    <t>E-mailing</t>
  </si>
  <si>
    <t>Inna osoba zasugerowała wypełnienie ankiety</t>
  </si>
  <si>
    <t>E-mailing</t>
  </si>
  <si>
    <t>Inna osoba zasugerowała wypełnienie ankiety</t>
  </si>
  <si>
    <t>E-mailing</t>
  </si>
  <si>
    <t>Inna osoba zasugerowała wypełnienie ankiety</t>
  </si>
  <si>
    <t>E-mailing</t>
  </si>
  <si>
    <t>Inne (proszę określić, jeśli chcesz)</t>
  </si>
  <si>
    <t>Inna osoba zasugerowała wypełnienie ankiety</t>
  </si>
  <si>
    <t>E-mailing</t>
  </si>
  <si>
    <t>Inna osoba zasugerowała wypełnienie ankiety</t>
  </si>
  <si>
    <t>E-mailing</t>
  </si>
  <si>
    <t>Inne (proszę określić, jeśli chcesz)</t>
  </si>
  <si>
    <t>E-mailing</t>
  </si>
  <si>
    <t>Inna osoba zasugerowała wypełnienie ankiety</t>
  </si>
  <si>
    <t>E-mailing</t>
  </si>
  <si>
    <t>Inna osoba zasugerowała wypełnienie ankiety</t>
  </si>
  <si>
    <t>E-mailing</t>
  </si>
  <si>
    <t>Inna osoba zasugerowała wypełnienie ankiety</t>
  </si>
  <si>
    <t>Inne (proszę określić, jeśli chcesz)</t>
  </si>
  <si>
    <t>Biuletyn Informacyjny</t>
  </si>
  <si>
    <t>E-mailing</t>
  </si>
  <si>
    <t>Otra persona me sugirió rellenar la encuesta</t>
  </si>
  <si>
    <t>Redes sociales</t>
  </si>
  <si>
    <t>Correo electrónico</t>
  </si>
  <si>
    <t>Otra persona me sugirió rellenar la encuesta</t>
  </si>
  <si>
    <t>Redes sociales</t>
  </si>
  <si>
    <t>Otra persona me sugirió rellenar la encuesta</t>
  </si>
  <si>
    <t>Correo electrónico</t>
  </si>
  <si>
    <t>Otra persona me sugirió rellenar la encuesta</t>
  </si>
  <si>
    <t>Correo electrónico</t>
  </si>
  <si>
    <t>Otra persona me sugirió rellenar la encuesta</t>
  </si>
  <si>
    <t>Correo electrónico</t>
  </si>
  <si>
    <t>Otra persona me sugirió rellenar la encuesta</t>
  </si>
  <si>
    <t>Boletín de noticias</t>
  </si>
  <si>
    <t>Correo electrónico</t>
  </si>
  <si>
    <t>Boletín de noticias</t>
  </si>
  <si>
    <t>Otra persona me sugirió rellenar la encuesta</t>
  </si>
  <si>
    <t>Redes sociales</t>
  </si>
  <si>
    <t>Otra persona me sugirió rellenar la encuesta</t>
  </si>
  <si>
    <t>Correo electrónico</t>
  </si>
  <si>
    <t>Otra persona me sugirió rellenar la encuesta</t>
  </si>
  <si>
    <t>Correo electrónico</t>
  </si>
  <si>
    <t>Otra persona me sugirió rellenar la encuesta</t>
  </si>
  <si>
    <t>Redes sociales</t>
  </si>
  <si>
    <t>Otra persona me sugirió rellenar la encuesta</t>
  </si>
  <si>
    <t>Correo electrónico</t>
  </si>
  <si>
    <t>Otra persona me sugirió rellenar la encuesta</t>
  </si>
  <si>
    <t>Boletín de noticias</t>
  </si>
  <si>
    <t>Otra persona me sugirió rellenar la encuesta</t>
  </si>
  <si>
    <t>Otro (especifica, si así lo deseas)</t>
  </si>
  <si>
    <t>Correo electrónico</t>
  </si>
  <si>
    <t>Otra persona me sugirió rellenar la encuesta</t>
  </si>
  <si>
    <t>Redes sociales</t>
  </si>
  <si>
    <t>Correo electrónico</t>
  </si>
  <si>
    <t>Otra persona me sugirió rellenar la encuesta</t>
  </si>
  <si>
    <t>Redes sociales</t>
  </si>
  <si>
    <t>Otra persona me sugirió rellenar la encuesta</t>
  </si>
  <si>
    <t>Otro (especifica, si así lo deseas)</t>
  </si>
  <si>
    <t>Whichofthesecharacteristicsismoreimportantfromyourpointofview</t>
  </si>
  <si>
    <t>Which of these characteristics is more important from your point of view?</t>
  </si>
  <si>
    <t>Service availability and efficiency</t>
  </si>
  <si>
    <t>Of equal importance</t>
  </si>
  <si>
    <t>Information provision</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</si>
  <si>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</si>
  <si>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</si>
  <si>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</si>
  <si>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</si>
  <si>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</si>
  <si>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</si>
  <si>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</si>
  <si>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</si>
  <si>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</si>
  <si>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</si>
  <si>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</si>
  <si>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</si>
  <si>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</si>
  <si>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</si>
  <si>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</si>
  <si>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</si>
  <si>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</si>
  <si>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</si>
  <si>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</si>
  <si>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</si>
  <si>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</si>
  <si>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</si>
  <si>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</si>
  <si>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</si>
  <si>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</si>
  <si>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</si>
  <si>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</si>
  <si>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</si>
  <si>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Information provision</t>
  </si>
  <si>
    <t>Service availability and efficiency</t>
  </si>
  <si>
    <t>D'importance égale</t>
  </si>
  <si>
    <t>Disposition d'informations</t>
  </si>
  <si>
    <t>D'importance égale</t>
  </si>
  <si>
    <t>Disposition d'informations</t>
  </si>
  <si>
    <t>Disponibilité et efficacité du service</t>
  </si>
  <si>
    <t>D'importance égale</t>
  </si>
  <si>
    <t>Disponibilité et efficacité du service</t>
  </si>
  <si>
    <t>D'importance égale</t>
  </si>
  <si>
    <t>Disponibilité et efficacité du service</t>
  </si>
  <si>
    <t>Disposition d'informations</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</si>
  <si>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</si>
  <si>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</si>
  <si>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</si>
  <si>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</si>
  <si>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</si>
  <si>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</si>
  <si>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</si>
  <si>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</si>
  <si>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Disposition d'informations</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</si>
  <si>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</si>
  <si>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</si>
  <si>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</si>
  <si>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</si>
  <si>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</si>
  <si>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</si>
  <si>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</si>
  <si>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</si>
  <si>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</si>
  <si>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</si>
  <si>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</si>
  <si>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Disposition d'informations</t>
  </si>
  <si>
    <t>D'importance égale</t>
  </si>
  <si>
    <t>Disposition d'informations</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</si>
  <si>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</si>
  <si>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</si>
  <si>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</si>
  <si>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</si>
  <si>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</si>
  <si>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</si>
  <si>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</si>
  <si>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</si>
  <si>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</si>
  <si>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</si>
  <si>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</si>
  <si>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</si>
  <si>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</si>
  <si>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</si>
  <si>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Disposition d'informations</t>
  </si>
  <si>
    <t>Disponibilité et efficacité du service</t>
  </si>
  <si>
    <t>D'importance égale</t>
  </si>
  <si>
    <t>Disponibilité et efficacité du service</t>
  </si>
  <si>
    <t>D'importance égale</t>
  </si>
  <si>
    <t>Disponibilité et efficacité du service</t>
  </si>
  <si>
    <t>Raspoloživost usluge i efikasnost</t>
  </si>
  <si>
    <t>Jednako važno</t>
  </si>
  <si>
    <t>Raspoloživost usluge i efikasnost</t>
  </si>
  <si>
    <t>Jednako važno</t>
  </si>
  <si>
    <t>Raspoloživost usluge i efikasnost</t>
  </si>
  <si>
    <t>Dostupnost informacija</t>
  </si>
  <si>
    <t>Jednako važno</t>
  </si>
  <si>
    <t>Raspoloživost usluge i efikasnost</t>
  </si>
  <si>
    <t>Jednako važno</t>
  </si>
  <si>
    <t>Dostupnost informacija</t>
  </si>
  <si>
    <t>Jednako važno</t>
  </si>
  <si>
    <t>Di uguale importanza</t>
  </si>
  <si>
    <t>Disponibilità ed efficienza del servizio</t>
  </si>
  <si>
    <t>Di uguale importanza</t>
  </si>
  <si>
    <t>Disponibilità ed efficienza del servizio</t>
  </si>
  <si>
    <t>Di uguale importanza</t>
  </si>
  <si>
    <t>Disponibilità ed efficienza del servizio</t>
  </si>
  <si>
    <t>Fornitura d’informazioni</t>
  </si>
  <si>
    <t>Disponibilità ed efficienza del servizio</t>
  </si>
  <si>
    <t>Di uguale importanza</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</si>
  <si>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</si>
  <si>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</si>
  <si>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</si>
  <si>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</si>
  <si>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</si>
  <si>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</si>
  <si>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</si>
  <si>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</si>
  <si>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</si>
  <si>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</si>
  <si>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</si>
  <si>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</si>
  <si>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</si>
  <si>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</si>
  <si>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</si>
  <si>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</si>
  <si>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</si>
  <si>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</si>
  <si>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</si>
  <si>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</si>
  <si>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</si>
  <si>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</si>
  <si>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</si>
  <si>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</si>
  <si>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</si>
  <si>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</si>
  <si>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</si>
  <si>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</si>
  <si>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</si>
  <si>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</si>
  <si>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</si>
  <si>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</si>
  <si>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</si>
  <si>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</si>
  <si>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</si>
  <si>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</si>
  <si>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</si>
  <si>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</si>
  <si>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</si>
  <si>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</si>
  <si>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</si>
  <si>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</si>
  <si>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</si>
  <si>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</si>
  <si>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</si>
  <si>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</si>
  <si>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</si>
  <si>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</si>
  <si>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</si>
  <si>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</si>
  <si>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</si>
  <si>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Przepisy informacyjne</t>
  </si>
  <si>
    <t>Dostępność i wydajność usługi</t>
  </si>
  <si>
    <t>Równie ważne</t>
  </si>
  <si>
    <t>Dostępność i wydajność usługi</t>
  </si>
  <si>
    <t>Równie ważne</t>
  </si>
  <si>
    <t>Dostępność i wydajność usługi</t>
  </si>
  <si>
    <t>Równie ważne</t>
  </si>
  <si>
    <t>Dostępność i wydajność usługi</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</si>
  <si>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</si>
  <si>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</si>
  <si>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</si>
  <si>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</si>
  <si>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</si>
  <si>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</si>
  <si>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</si>
  <si>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</si>
  <si>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</si>
  <si>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</si>
  <si>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</si>
  <si>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</si>
  <si>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</si>
  <si>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claridad de la información</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</si>
  <si>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</si>
  <si>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</si>
  <si>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</si>
  <si>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</si>
  <si>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</si>
  <si>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</si>
  <si>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</si>
  <si>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</si>
  <si>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</si>
  <si>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</si>
  <si>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</si>
  <si>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</si>
  <si>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</si>
  <si>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</si>
  <si>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</si>
  <si>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</si>
  <si>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Disponibilidad y claridad de la información</t>
  </si>
  <si>
    <t>De igual importancia</t>
  </si>
  <si>
    <t>Disponibilidad y eficiencia del servicio</t>
  </si>
  <si>
    <t>YouchoseServiceavailabilityandefficiencyHowmuchmoreimportantisS</t>
  </si>
  <si>
    <t>YouchoseInformationprovisionHowmuchmoreimportantisInformationpr</t>
  </si>
  <si>
    <t>Whyoptional</t>
  </si>
  <si>
    <t>Why? (optional)</t>
  </si>
  <si>
    <t>If services are useful for more of your journeys and run to a consistent regular &amp; frequent timetable they are part of your routine and you don't need so much information. If they are reliable you don't need information about alternative services so often.</t>
  </si>
  <si>
    <t>I don't mind having to dig a bit for information although it's frustrating, but if the service connections aren't there, then it's not a functional service</t>
  </si>
  <si>
    <t>If I know that the network is efficient (good connexions, high frequence) I feel less necessary having real time information</t>
  </si>
  <si>
    <t>Save time for private life</t>
  </si>
  <si>
    <t>Efficiency</t>
  </si>
  <si>
    <t>made for masses</t>
  </si>
  <si>
    <t>If the services are well connected and well run it doesn't matter so much to receive constant information about schedules, etc. We can rely on the service not to make its users wait too long between modes of transport.</t>
  </si>
  <si>
    <t>p</t>
  </si>
  <si>
    <t>It is crucial to me, as a passenger, that railway/metro transportation is available and arrives on time. Knowing that a particular train is delayed doesn't help me.</t>
  </si>
  <si>
    <t>Without offer information is useless</t>
  </si>
  <si>
    <t>Without a good service availability the use will be much more limited, event if there is a good information available</t>
  </si>
  <si>
    <t>More means of transport less likely to check information if running</t>
  </si>
  <si>
    <t>If there is no service, I don't need any information!</t>
  </si>
  <si>
    <t>It's nice to have easy assisted route-finding, but that doesn't matter if the transit isn't convenient in the first place</t>
  </si>
  <si>
    <t>Information without service is useless. If there is a service, I assume some kind of information will exist.</t>
  </si>
  <si>
    <t>.</t>
  </si>
  <si>
    <t>if the service is efficient, information is less needed (information is mostly about disruptions or strikes!)</t>
  </si>
  <si>
    <t>Because I need an efficient, reliable servive to travel and get about my daily business</t>
  </si>
  <si>
    <t>If the service isn't efficient and fit for purpose, it doesn't matter how much information you have available to you.</t>
  </si>
  <si>
    <t>Information does not compensate for the service not being available (enough) when you need it, and not connecting etc...</t>
  </si>
  <si>
    <t>I'd rather know that a service exists and offers convenient trips with limited information about schedules than have precise information about poor services.</t>
  </si>
  <si>
    <t>I need to get where I am going to but not so much concerned about delays</t>
  </si>
  <si>
    <t>'-</t>
  </si>
  <si>
    <t>Without excellent accessibility information there is no point in even considering taking the train.</t>
  </si>
  <si>
    <t>J'habite dans Paris et seule la connexion métro/bus me concerne réellement</t>
  </si>
  <si>
    <t>expérience client</t>
  </si>
  <si>
    <t>lutter contre les factures territoriales</t>
  </si>
  <si>
    <t>si les trains sont disponibles et à l'heure; pas besoin d'avoir beaucoup d'informations</t>
  </si>
  <si>
    <t>Pour un gagne temps</t>
  </si>
  <si>
    <t>Je me sers le plus souvent de mon portable.</t>
  </si>
  <si>
    <t>Les informations sur les itinéraires sont plus accessibles (application, plans dans les différentes stations et transports), tandis qu'à certaines stations la disponibilité (temps d'attente d'un métro) n'est pas toujours affiché.</t>
  </si>
  <si>
    <t>Nous n avons pas besoin d info si tout se déroule normalement</t>
  </si>
  <si>
    <t>Avec une bonne interconnexion il y aura moins d'attente. Il sera toujours temps de regarder les informations après mais sur le quai tout est déjà bien indiqué.</t>
  </si>
  <si>
    <t>Pour se déplacer facilement.</t>
  </si>
  <si>
    <t>besoin d'alternatives</t>
  </si>
  <si>
    <t>les horaires sont tenus, hormis en cas de grève, ce qui n'est pas exceptionnel</t>
  </si>
  <si>
    <t>Parce que quand cela marche, pas besoin d'infos</t>
  </si>
  <si>
    <t>afin de fluidifier les flux et assurer le service auquel les voyageurs s'attendent</t>
  </si>
  <si>
    <t>unique moyen de se rendre au bureau</t>
  </si>
  <si>
    <t>Facilité de transports et rapidité</t>
  </si>
  <si>
    <t>Je ne répond pas</t>
  </si>
  <si>
    <t>car si le service est bien et fluide mais qu'on a peu d'informations on ne peut pas bien utiliser le service donc cela ne sert à rien qu'il soit forcément efficace</t>
  </si>
  <si>
    <t>Ça permet de s’adapter et de gagner du temps</t>
  </si>
  <si>
    <t>Si le service est régulier, le besoin d'information en temps réel diminue</t>
  </si>
  <si>
    <t>Les deux sont importants. Mais j'ia une petite préférence pour la qua</t>
  </si>
  <si>
    <t>$</t>
  </si>
  <si>
    <t>Si les transports sont efficaces, la confiance des usagers et plus forte et le besoin d'information est moins important</t>
  </si>
  <si>
    <t>s'il y a un volume d'offre important, l'information devient moins importante; quand l'offre est faible (peu fréquente notamment), l'information devient alors incontournable</t>
  </si>
  <si>
    <t>si le service est efficace et fiable, il n'y a pas besoin d'informations</t>
  </si>
  <si>
    <t>Je préfère avoir un train a l'heure plutôt qu'une application qui me dit qu'il n'y en a pas.</t>
  </si>
  <si>
    <t>Il faut d'abord un bon réseau, c'est l'essentiel</t>
  </si>
  <si>
    <t>car sans Service pas de transport</t>
  </si>
  <si>
    <t>Si le service est disponible et efficace, il y a moins besoin d'informations sur les problèmes rencontrés (travaux, pannes...) et on peut mieux planifier les trajets ou arriver plus vite et plus facilement sans avoir besoin de décortiquer chaque trajet (ou faire des détours pour éviter ou compenser les problèmes).</t>
  </si>
  <si>
    <t>ponctualité</t>
  </si>
  <si>
    <t>plus de liberté, flexibilité</t>
  </si>
  <si>
    <t>on doit pouvoir compter dessus</t>
  </si>
  <si>
    <t>...</t>
  </si>
  <si>
    <t>L'accessibilité au réseau et le maillage sont essentiels pour une meilleure utilisation</t>
  </si>
  <si>
    <t>Pour optimiser les temps de trajet vers Paris ou hors Paris</t>
  </si>
  <si>
    <t>La certitude d’être toujours servi</t>
  </si>
  <si>
    <t>ponctualité dans les déplacements professionnels</t>
  </si>
  <si>
    <t>Metro je super</t>
  </si>
  <si>
    <t>.</t>
  </si>
  <si>
    <t>Dostupnost informacija ne znači mnogo bez raspoloživosti usluge.</t>
  </si>
  <si>
    <t>Ukoliko raspolazemo pravim informacijama, mozemo planirati svoje putovanje koriscenjem razlicitih vidova transporta.</t>
  </si>
  <si>
    <t>per i viaggi ssitematici è più utile l'affidabilità che la conoscenza dei dettagli</t>
  </si>
  <si>
    <t>Bez dostępu do kolei informacje nie są ważne.</t>
  </si>
  <si>
    <t>co mi po dobrej informacji, skoro nie mogę się dostać do środka transportu</t>
  </si>
  <si>
    <t>Większość stałych użytkowników jeździ na pamięć i nie potrzebuje stałych informacji o opóźnieniu 1 minuta</t>
  </si>
  <si>
    <t>ewentualne opóźnienia mają mniejsze znaczenie, jeśli częstotliwość połączeń jest wysoka. Podobnie z przesiadkami</t>
  </si>
  <si>
    <t>Jeśli wiem, że system działa, informacja w jaki sposób jest dla mnie wtórna</t>
  </si>
  <si>
    <t>Bo ja chce dojechać a nie dowiedzieć się o możliwości dojechania</t>
  </si>
  <si>
    <t>tak</t>
  </si>
  <si>
    <t>Jeśli autobus dowożący do metra jezdzi co 20 minut, to trudno wybrac taką opcję transportu. Tylko, jeśli się nie spieszę i nie muszę przesiadać 3 razy, wybieram komunikację zbiorową.</t>
  </si>
  <si>
    <t>Wolę, żeby transport przyjechał, niż poinformował mnie, że będzie za pół godziny.</t>
  </si>
  <si>
    <t>An efficient and wide-spread metro/railway network is a base on which it is possible to create tools allowing users to have a live preview of transport.</t>
  </si>
  <si>
    <t>Ponieważ nie wpływa to znacząco na mój czas podróży.</t>
  </si>
  <si>
    <t>Podróżny zwraca większą uwagę do realnej dostępności, często pomijając przepisy informacyjne</t>
  </si>
  <si>
    <t>Lepiej szybciej dojechać do celu np. po pracy. Inne info można wyszukać.</t>
  </si>
  <si>
    <t>Dostępność jest kluczowa.</t>
  </si>
  <si>
    <t>To podstawa. System informacji jest bardzo ważny, ale bez infrastruktury nie ma sensu.</t>
  </si>
  <si>
    <t>bo przepisy też należy znać</t>
  </si>
  <si>
    <t>Nie każdy będzie i tak mógł skorzystać z realnego update-u dot. podróży, min. wiele osób starszych, poza tym większość jeżdzących uzywa codziennie tych samych linii, które zazwyczaj działają na tych samych warunkach i podobnych kondycjach. Metro natomiast nie dojeżdza do wielu części warszawy - np. Mokotowa Dolnego</t>
  </si>
  <si>
    <t>Bez dobrych połączeń z innymi środkami transportu w pewnych godzinach używanie danego transportu może być bezużyteczne</t>
  </si>
  <si>
    <t>ponieważ priorytetem jest moim zdaniem stworzenie wydajności i interkonektywności - dopiero w takich warunkach informacja zyskuje nowe znaczenie</t>
  </si>
  <si>
    <t>Bez dostępności najlepsza informacja nic nie znaczy.</t>
  </si>
  <si>
    <t>szybkośc przemieszczania się</t>
  </si>
  <si>
    <t>Połączenie komunikacyjne z przedmieściami jest bardzo istotne coraz więcej osób mieszka na przedmieściach a pracuje w centrum Warszawy, dojazd komunikacją jest kluczową kwestią.</t>
  </si>
  <si>
    <t>pozwala szybko dotrzec do celu</t>
  </si>
  <si>
    <t>pewność co do usług</t>
  </si>
  <si>
    <t>rozkłady jazdy zawsze gdzieś znajdę</t>
  </si>
  <si>
    <t>Obie są wązne</t>
  </si>
  <si>
    <t>szybka możliwość dojazdu do pracy. połączenia z pozostała komunikacją miejską zlokalizowane przy stacjach kolejowych.</t>
  </si>
  <si>
    <t>dotarcie do celu w jak najszybszy i najłatwiejszy sposób</t>
  </si>
  <si>
    <t>z punktu widzenia stworzenia globalnego systemu komunikacji miejskiej i dostepności rożnych opcji przejazdu</t>
  </si>
  <si>
    <t>Przy optymalnie kursujących pojazdach oraz wysokiej częstotliwości lub równych odstępach pomiędzy kursami na dalszy plan schodzi konieczność wiedzy o konkretnej godzinie odjazdu, pozostaje wiedza np w formie aplikacji o rzeczywistej lokalizacji pojazdu</t>
  </si>
  <si>
    <t>Aby szybko i w odpowiednich warunkach dojechać z i do pracy.</t>
  </si>
  <si>
    <t>Bo chodzi o to, a by dojechać</t>
  </si>
  <si>
    <t>Uważam, że aby udostępniać informacje nt. przejazdów i połączeń, najpierw muszą one być dogodnie zsynchronizowane</t>
  </si>
  <si>
    <t>A</t>
  </si>
  <si>
    <t>T</t>
  </si>
  <si>
    <t>Oferta przewozowa ma większy wpływ na chęć korzystania z transportu niż kwestie związane z informacjami na temat jego funkcjonowania.</t>
  </si>
  <si>
    <t>Bezpieczny dojazd do celu</t>
  </si>
  <si>
    <t>informacja jest istotna  dla pasażerów</t>
  </si>
  <si>
    <t>Ważny jest komfort</t>
  </si>
  <si>
    <t>b.o</t>
  </si>
  <si>
    <t>Ważniejsze jechać aniżeli czytać....</t>
  </si>
  <si>
    <t>Ponieważ ważniejsza jest dla mnie sama usługo niż informacja o niej w czasie rzeczywistym.</t>
  </si>
  <si>
    <t>Sama usługa jest najważniejsza, informacje są wtórne do podstawowoej usługi</t>
  </si>
  <si>
    <t>liczy się punktualność i komfort</t>
  </si>
  <si>
    <t>Porque hay mucha gente que vive a las afuera de Barcelona pero trabaja en Barcelona, las conexiones son muy malas, y tardas mas del doble de tiempo en ir en transporte que en coche, por lo que acabas optando por vehículo privado que contamina mas.</t>
  </si>
  <si>
    <t>llegar puntual</t>
  </si>
  <si>
    <t>necesidad personal</t>
  </si>
  <si>
    <t>Perquè per mi és prioritari que el transport públic arribi com a més població millor, amb una eficiència del servei. La informació sobre horaris, i funcionament si tot va bé, es necessita només puntualment.</t>
  </si>
  <si>
    <t>Porqué si no es eficiente, si no hay conexiones con otros medios, frecuencias elevadas, etc. no hay nada de qué informar.</t>
  </si>
  <si>
    <t>porque por muy buena que sea la información, si no hay un buen servicio no sirve para facilitar la movilidad</t>
  </si>
  <si>
    <t>porque personalmente me afectan más los retrasos constantes de la Renfe que el llegar a zonas apartadas/menos comunicadas, y si me lo comunican a tiempo real, es mejor para organizarme.</t>
  </si>
  <si>
    <t>X</t>
  </si>
  <si>
    <t>Por comodidad</t>
  </si>
  <si>
    <t>Necesidad de Infraestructuras rápidas.</t>
  </si>
  <si>
    <t>SI  NO HAY INFORMACION LA EFICIENCIA NO SIRVE</t>
  </si>
  <si>
    <t>Porque si</t>
  </si>
  <si>
    <t>Aunque  tener información en tiempo real es importante para gestionar el tiempo que necesito para ir al trabajo, a casa o a comprar. Pero si hay buenas conexiones con un medio de transportes o varios, es mucho más importante. Cuantas más conexiones y disponibilidad, menos tiempo necesitaré para viajar.</t>
  </si>
  <si>
    <t>Whichofthesecharacteristicsismoreimportantfromyourpointofview1</t>
  </si>
  <si>
    <t>Which of these characteristics is more important from your point of view?</t>
  </si>
  <si>
    <t>Of equal importance</t>
  </si>
  <si>
    <t>Service availability and efficiency</t>
  </si>
  <si>
    <t>Ticketing options and fares</t>
  </si>
  <si>
    <t>Service availability and efficiency</t>
  </si>
  <si>
    <t>Of equal importance</t>
  </si>
  <si>
    <t>Ticketing options and fares</t>
  </si>
  <si>
    <t>Service availability and efficiency</t>
  </si>
  <si>
    <t>Of equal importance</t>
  </si>
  <si>
    <t>Service availability and efficiency</t>
  </si>
  <si>
    <t>Ticketing options and fares</t>
  </si>
  <si>
    <t>Service availability and efficiency</t>
  </si>
  <si>
    <t>Of equal importance</t>
  </si>
  <si>
    <t>Ticketing options and fares</t>
  </si>
  <si>
    <t>Of equal importance</t>
  </si>
  <si>
    <t>Service availability and efficiency</t>
  </si>
  <si>
    <t>Of equal importance</t>
  </si>
  <si>
    <t>Ticketing options and fares</t>
  </si>
  <si>
    <t>Of equal importance</t>
  </si>
  <si>
    <t>Service availability and efficiency</t>
  </si>
  <si>
    <t>Of equal importance</t>
  </si>
  <si>
    <t>Ticketing options and fares</t>
  </si>
  <si>
    <t>Of equal importance</t>
  </si>
  <si>
    <t>Ticketing options and fares</t>
  </si>
  <si>
    <t>Service availability and efficiency</t>
  </si>
  <si>
    <t>Of equal importance</t>
  </si>
  <si>
    <t>Service availability and efficiency</t>
  </si>
  <si>
    <t>Of equal importance</t>
  </si>
  <si>
    <t>Service availability and efficiency</t>
  </si>
  <si>
    <t>Of equal importance</t>
  </si>
  <si>
    <t>Service availability and efficiency</t>
  </si>
  <si>
    <t>Ticketing options and fares</t>
  </si>
  <si>
    <t>Of equal importance</t>
  </si>
  <si>
    <t>Service availability and efficiency</t>
  </si>
  <si>
    <t>Of equal importance</t>
  </si>
  <si>
    <t>Service availability and efficiency</t>
  </si>
  <si>
    <t>Of equal importance</t>
  </si>
  <si>
    <t>Service availability and efficiency</t>
  </si>
  <si>
    <t>Of equal importance</t>
  </si>
  <si>
    <t>Ticketing options and fares</t>
  </si>
  <si>
    <t>Service availability and efficiency</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</si>
  <si>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</si>
  <si>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</si>
  <si>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</si>
  <si>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</si>
  <si>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</si>
  <si>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</si>
  <si>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</si>
  <si>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</si>
  <si>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</si>
  <si>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</si>
  <si>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</si>
  <si>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</si>
  <si>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</si>
  <si>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Options et tarifs des billets</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</si>
  <si>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</si>
  <si>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</si>
  <si>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</si>
  <si>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</si>
  <si>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</si>
  <si>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</si>
  <si>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</si>
  <si>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</si>
  <si>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</si>
  <si>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</si>
  <si>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</si>
  <si>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Options et tarifs des billets</t>
  </si>
  <si>
    <t>Disponibilité et efficacité du service</t>
  </si>
  <si>
    <t>D'importance égale</t>
  </si>
  <si>
    <t>Disponibilité et efficacité du service</t>
  </si>
  <si>
    <t>Options et tarifs des billets</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</si>
  <si>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</si>
  <si>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</si>
  <si>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</si>
  <si>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</si>
  <si>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</si>
  <si>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</si>
  <si>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</si>
  <si>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</si>
  <si>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Options et tarifs des billets</t>
  </si>
  <si>
    <t>D'importance égale</t>
  </si>
  <si>
    <t>Options et tarifs des billets</t>
  </si>
  <si>
    <t>Disponibilité et efficacité du service</t>
  </si>
  <si>
    <t>Options et tarifs des billets</t>
  </si>
  <si>
    <t>Disponibilité et efficacité du service</t>
  </si>
  <si>
    <t>D'importance égale</t>
  </si>
  <si>
    <t>Options et tarifs des billets</t>
  </si>
  <si>
    <t>Disponibilité et efficacité du service</t>
  </si>
  <si>
    <t>D'importance égale</t>
  </si>
  <si>
    <t>Disponibilité et efficacité du service</t>
  </si>
  <si>
    <t>Options et tarifs des billets</t>
  </si>
  <si>
    <t>Disponibilité et efficacité du service</t>
  </si>
  <si>
    <t>Options et tarifs des billets</t>
  </si>
  <si>
    <t>Disponibilité et efficacité du service</t>
  </si>
  <si>
    <t>D'importance égale</t>
  </si>
  <si>
    <t>Disponibilité et efficacité du service</t>
  </si>
  <si>
    <t>D'importance égale</t>
  </si>
  <si>
    <t>Options et tarifs des billets</t>
  </si>
  <si>
    <t>Disponibilité et efficacité du service</t>
  </si>
  <si>
    <t>Jednako važno</t>
  </si>
  <si>
    <t>Raspoloživost usluge i efikasnost</t>
  </si>
  <si>
    <t>Jednako važno</t>
  </si>
  <si>
    <t>Raspoloživost usluge i efikasnost</t>
  </si>
  <si>
    <t>Jednako važno</t>
  </si>
  <si>
    <t>Raspoloživost usluge i efikasnost</t>
  </si>
  <si>
    <t>Cene karata i fleksibilnost tarifske politike</t>
  </si>
  <si>
    <t>Raspoloživost usluge i efikasnost</t>
  </si>
  <si>
    <t>Jednako važno</t>
  </si>
  <si>
    <t>Raspoloživost usluge i efikasnost</t>
  </si>
  <si>
    <t>Jednako važno</t>
  </si>
  <si>
    <t>Raspoloživost usluge i efikasnost</t>
  </si>
  <si>
    <t>Jednako važno</t>
  </si>
  <si>
    <t>Raspoloživost usluge i efikasnost</t>
  </si>
  <si>
    <t>Jednako važno</t>
  </si>
  <si>
    <t>Disponibilità ed efficienza del servizio</t>
  </si>
  <si>
    <t>Di uguale importanza</t>
  </si>
  <si>
    <t>Biglietteria e tariffe</t>
  </si>
  <si>
    <t>Disponibilità ed efficienza del servizio</t>
  </si>
  <si>
    <t>Di uguale importanza</t>
  </si>
  <si>
    <t>Disponibilità ed efficienza del servizio</t>
  </si>
  <si>
    <t>Dostępność i wydajność usługi</t>
  </si>
  <si>
    <t>Równie ważne</t>
  </si>
  <si>
    <t>Dostępność i wydajność usługi</t>
  </si>
  <si>
    <t>Równie ważne</t>
  </si>
  <si>
    <t>Opcje i taryfy biletowe</t>
  </si>
  <si>
    <t>Dostępność i wydajność usługi</t>
  </si>
  <si>
    <t>Równie ważne</t>
  </si>
  <si>
    <t>Dostępność i wydajność usługi</t>
  </si>
  <si>
    <t>Równie ważne</t>
  </si>
  <si>
    <t>Dostępność i wydajność usługi</t>
  </si>
  <si>
    <t>Równie ważne</t>
  </si>
  <si>
    <t>Dostępność i wydajność usługi</t>
  </si>
  <si>
    <t>Równie ważne</t>
  </si>
  <si>
    <t>Opcje i taryfy biletowe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</si>
  <si>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</si>
  <si>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</si>
  <si>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</si>
  <si>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</si>
  <si>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</si>
  <si>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</si>
  <si>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</si>
  <si>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</si>
  <si>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</si>
  <si>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</si>
  <si>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</si>
  <si>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</si>
  <si>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</si>
  <si>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Opcje i taryfy biletowe</t>
  </si>
  <si>
    <t>Dostępność i wydajność usługi</t>
  </si>
  <si>
    <t>Równie ważne</t>
  </si>
  <si>
    <t>Dostępność i wydajność usługi</t>
  </si>
  <si>
    <t>Równie ważne</t>
  </si>
  <si>
    <t>Dostępność i wydajność usługi</t>
  </si>
  <si>
    <t>Opcje i taryfy biletowe</t>
  </si>
  <si>
    <t>Dostępność i wydajność usługi</t>
  </si>
  <si>
    <t>Równie ważne</t>
  </si>
  <si>
    <t>Opcje i taryfy biletowe</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</si>
  <si>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</si>
  <si>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</si>
  <si>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</si>
  <si>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</si>
  <si>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</si>
  <si>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</si>
  <si>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</si>
  <si>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</si>
  <si>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</si>
  <si>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Opcje i taryfy biletowe</t>
  </si>
  <si>
    <t>Równie ważne</t>
  </si>
  <si>
    <t>Dostępność i wydajność usługi</t>
  </si>
  <si>
    <t>Równie ważne</t>
  </si>
  <si>
    <t>Dostępność i wydajność usługi</t>
  </si>
  <si>
    <t>Równie ważne</t>
  </si>
  <si>
    <t>Opcje i taryfy biletowe</t>
  </si>
  <si>
    <t>Równie ważne</t>
  </si>
  <si>
    <t>Opcje i taryfy biletowe</t>
  </si>
  <si>
    <t>Równie ważne</t>
  </si>
  <si>
    <t>Dostępność i wydajność usługi</t>
  </si>
  <si>
    <t>Opcje i taryfy biletowe</t>
  </si>
  <si>
    <t>Dostępność i wydajność usługi</t>
  </si>
  <si>
    <t>Opcje i taryfy biletowe</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</si>
  <si>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</si>
  <si>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</si>
  <si>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</si>
  <si>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</si>
  <si>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</si>
  <si>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</si>
  <si>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</si>
  <si>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</si>
  <si>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</si>
  <si>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De igual importancia</t>
  </si>
  <si>
    <t>Disponibilidad y eficiencia del servicio</t>
  </si>
  <si>
    <t>De igual importancia</t>
  </si>
  <si>
    <t>Billetes y tarifas</t>
  </si>
  <si>
    <t>De igual importancia</t>
  </si>
  <si>
    <t>Billetes y tarifas</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</si>
  <si>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</si>
  <si>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</si>
  <si>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</si>
  <si>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</si>
  <si>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</si>
  <si>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</si>
  <si>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</si>
  <si>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</si>
  <si>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</si>
  <si>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</si>
  <si>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</si>
  <si>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</si>
  <si>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</si>
  <si>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</si>
  <si>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Billetes y tarifas</t>
  </si>
  <si>
    <t>De igual importancia</t>
  </si>
  <si>
    <t>Disponibilidad y eficiencia del servicio</t>
  </si>
  <si>
    <t>De igual importancia</t>
  </si>
  <si>
    <t>Disponibilidad y eficiencia del servicio</t>
  </si>
  <si>
    <t>Billetes y tarifas</t>
  </si>
  <si>
    <t>De igual importancia</t>
  </si>
  <si>
    <t>Billetes y tarifas</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</si>
  <si>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</si>
  <si>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</si>
  <si>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</si>
  <si>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</si>
  <si>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</si>
  <si>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</si>
  <si>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</si>
  <si>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</si>
  <si>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</si>
  <si>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YouchoseServiceavailabilityandefficiencyHowmuchmoreimportantis1</t>
  </si>
  <si>
    <t>YouchoseTicketingoptionsandfaresHowmuchmoreimportantisTicketing</t>
  </si>
  <si>
    <t>Whyoptional1</t>
  </si>
  <si>
    <t>Why? (optional)</t>
  </si>
  <si>
    <t>same</t>
  </si>
  <si>
    <t>I can work around service times and efficiencies of the transport mode. If it’s too expensive for the ticketing is not appropriate I simply won’t use the service.</t>
  </si>
  <si>
    <t>Transports have to be free</t>
  </si>
  <si>
    <t>Cost is low</t>
  </si>
  <si>
    <t>p</t>
  </si>
  <si>
    <t>As of now, it is cheaper to take a private car over a train when there are two adults travelling. In order to reduce carbon footprint related to transportation, prices of public transportation should be vastly reduced so that it is affordable for a family to take train.</t>
  </si>
  <si>
    <t>I need to know I can rely on the service above the price</t>
  </si>
  <si>
    <t>I believe public transit should be free but it will only be used if it has good service as well</t>
  </si>
  <si>
    <t>reliable service important with with affordable and not having to waste time searching out deals.</t>
  </si>
  <si>
    <t>vulnerable categories (of passengers) have often limited access to jobs and equal payment due to their condition</t>
  </si>
  <si>
    <t>doesn’t matter how many people the service reaches if they can’t pay for it. in my community this is a major problem</t>
  </si>
  <si>
    <t>Transit needs to be financially accessible, or it will be failing most of its intended ridership</t>
  </si>
  <si>
    <t>My income is sufficient that current fares are affordable and there is sufficient range of fare options to meet my needs</t>
  </si>
  <si>
    <t>Save time</t>
  </si>
  <si>
    <t>as a customer and not a manager of transport, I care more about efficiency. I am lucky enough to be able to pay for my fare so price is not the main issue for me</t>
  </si>
  <si>
    <t>Connections are crucial. I live in a rural area but with in the city centre over an hour away</t>
  </si>
  <si>
    <t>service valued greater than price</t>
  </si>
  <si>
    <t>As long as it's reasonable prices, I'm ready to pay for efficient public transport</t>
  </si>
  <si>
    <t>I need to use public transport - how it is funded is not as important as long as it is affordable</t>
  </si>
  <si>
    <t>Availability is more important</t>
  </si>
  <si>
    <t>'-</t>
  </si>
  <si>
    <t>If rail options don't conveniently connect end to end, with other accessible transport options, it is not possible to use the train.</t>
  </si>
  <si>
    <t>Je dispose d'un pass Navigo annuel qui m'est remboursé à 100 % par mon entreprise donc les tarifs m'importent peu</t>
  </si>
  <si>
    <t>Parce que quel que soit son prix je ne voudrai pas payer pour un service qui ne marche pas...</t>
  </si>
  <si>
    <t>pour gérer son temps efficacement (éviter les retards, les incidents techniques, etc)</t>
  </si>
  <si>
    <t>Parce qu'il faut d'abord un service performant et adapté aux besoins, sans quoi la question du tarif n'a pas de pertinence</t>
  </si>
  <si>
    <t>Les transports gratuits ça permet de réduire les émissions de gaz à effet de serre !</t>
  </si>
  <si>
    <t>Le service rend la mobilitté possible</t>
  </si>
  <si>
    <t>C</t>
  </si>
  <si>
    <t>Parce qu'il est important que cela fonctionne</t>
  </si>
  <si>
    <t>afin de limiter le temps de trajet et fluidifier les accès à la banlieue sans pour autant passer par paris</t>
  </si>
  <si>
    <t>Je veux arriver chez moi sereine avant toute chose</t>
  </si>
  <si>
    <t>essentiel de pouvoir aller travailler</t>
  </si>
  <si>
    <t>Pour les mêmes raisons que précèdent - le coût sera toujours moins élevé que la voiture et permettra à chacun d’atteindre son lieu de travail</t>
  </si>
  <si>
    <t>Car c’est plus pratique. 
Moins de temps de transport  plus de faciliter pour voyager Améliore la qualité de vie de chacun</t>
  </si>
  <si>
    <t>Accès à un service en contrepartie d’un tarif à la hauteur.</t>
  </si>
  <si>
    <t>en temps qu'étudiante il est vrai que ça serait bien que les titres de transports soit moins cher</t>
  </si>
  <si>
    <t>Je préfère savoir que le réseau fonctionne bien avec des passages fréquents.</t>
  </si>
  <si>
    <t>Parce que la qualité du réseau de transport permet une plus grande liberté, de meilleurs conditions de trajet (moins de risque) et un gain de temps. evidemment il est important également d'avoir des informations sur l'état de fonctionnement mais cela n'a d'importance que si la première condition existe déjà.</t>
  </si>
  <si>
    <t>prête à payer pour un service de qualité</t>
  </si>
  <si>
    <t>Importance un peu plus haute du prix mais de peu.</t>
  </si>
  <si>
    <t>Un système efficient et complet mais non abordable avec une tarification très élevée n'est pas utile car excluant pour une grande partie de la population</t>
  </si>
  <si>
    <t>'-</t>
  </si>
  <si>
    <t>Je suis prête à payer le coût d'un service efficace et disponible.</t>
  </si>
  <si>
    <t>plus important d'avoir un transport/Service que d'avoir beaucoup d'options de tarifs</t>
  </si>
  <si>
    <t>En région parisienne, il y a un gros problème de disponibilité réelle du transport ferroviaire.</t>
  </si>
  <si>
    <t>ponctualité</t>
  </si>
  <si>
    <t>pouvoir d'achat</t>
  </si>
  <si>
    <t>être sûr d'avoir un moyen de transport est indispensable</t>
  </si>
  <si>
    <t>Plus logique</t>
  </si>
  <si>
    <t>Budget</t>
  </si>
  <si>
    <t>La practicité et le gain de temps ont plus d'importance que le coût direct.</t>
  </si>
  <si>
    <t>Prête à payer plus cher pour que les investissements dans des trajets utiles (pas touristiques) soient enfin mis au jour. un trajet touristique est un trajet par le biais d'un moyen de transport qui ne va même pas à sa vitesse nominale ou ex du tramway L9 qui passe à Velizy. Il valait mieux passer par Musée de Sèvres, prendre un bus puis reprendre le tram à Vélizy plutôt que de prendre le tram au bout de la ligne. Les ascenseurs attendent plusieurs secondes avant de démarrer. Actifs et retraités se croisent. Un moyen de transport doit nous permettre d'aller vite.</t>
  </si>
  <si>
    <t>Zato</t>
  </si>
  <si>
    <t>'-</t>
  </si>
  <si>
    <t>Cene su manje važne ukoliko je fleksibilnost dobra.</t>
  </si>
  <si>
    <t>Vreme</t>
  </si>
  <si>
    <t>Prihvatljivo je da cena prevoza bude veća, ako bi se ukupno vreme na ruti od posla do mesta stanovanja skratio, i istovremeno bio prakticniji.</t>
  </si>
  <si>
    <t>la tariffazione è secondaria</t>
  </si>
  <si>
    <t>Perché un servizio che funziona bene giustifica la tariffa del biglietto/abbonamento</t>
  </si>
  <si>
    <t>Una rete di trasporto più ampia permette l'accesso a più persone. Credo che una valutazione realistica di costi e tariffe sia possibile solo in seguito all'ampliamento della rete.</t>
  </si>
  <si>
    <t>Bez dostępu do kolei taryfa nie jest tak ważna (choć nie bez znaczenia)</t>
  </si>
  <si>
    <t>Korzystam z biletów długookresowych, nie zależy mi aż tak na elastyczności taryfy krótkookresowej. Często podróżuję poza godzinami szczytu.</t>
  </si>
  <si>
    <t>Kwestie finansowe powinny być regulowane na podstawie szczegółowych badań dotyczących siły nabywczej pasażerów i ich możliwości finansowych. Bez dobrze zorganizowanego transportu trudno odnieść się do tego, jak go wycenic</t>
  </si>
  <si>
    <t>N/a</t>
  </si>
  <si>
    <t>\|</t>
  </si>
  <si>
    <t>Słabą dostępność komunikacji mogą zrekompensować odpowiednio dobrane bilety</t>
  </si>
  <si>
    <t>Jak poprzednio - jeśli samochodem jestem zawsze 2 lub 3 razy szybciej niz komunikacją miejską (nawet w weekendy, kiedy nie ma korków!), to oczywiście wybiorę samochód.</t>
  </si>
  <si>
    <t>Żeby ludzie chcieli kupować bilety, muszą mieć na co.</t>
  </si>
  <si>
    <t>The most important objective of public communication is to provide effective means of transport. It is, especially in huge, busy cities, highly difficult to keep the ticket prices low, not even mentioning an idea of public transport being completely free of charge.</t>
  </si>
  <si>
    <t>Bo bez dostępności usługi zniżka się nie przyda</t>
  </si>
  <si>
    <t>Ważniejszym elementem jest dostępność do usługi, w drugiej kolejności elestyczność taryfy itp.</t>
  </si>
  <si>
    <t>Cena również jest ważna, ale pasażerowie w mojej opinii bardziej sobie cenią wygodę.</t>
  </si>
  <si>
    <t>Za wreszcie dobry dojazd z przedmieść i na nie także w nocy jestem w stanie więcej zapłacić</t>
  </si>
  <si>
    <t>Jeśli miałabym super dogodne połączenia, pewnie byłabym w stanie zapłacić nieco więcej.</t>
  </si>
  <si>
    <t>Cena nie gra roli, jeżeli produkt (w tym przypadku bilet/transport) jest na poziomie zadowalającym mnie i ułatwiającym życie.</t>
  </si>
  <si>
    <t>Cena biletów ma dla mnie mniejsze znaczenie jeżeli połączenie jest korzystne</t>
  </si>
  <si>
    <t>bo przepisy też są ważne</t>
  </si>
  <si>
    <t>Bo teraz są słabe</t>
  </si>
  <si>
    <t>Transport publiczny jest ważny ze względu na swoją powszechność i możliwość dotarcia do wszystkich zakątków miasta. Ulgi nie sprawią, że transport będzie się szybciej rozwijał, a spowolni to ten proces.</t>
  </si>
  <si>
    <t>Wydajność transportu zbiorowego i ekologia (ograniczenie transportu samochodowego) dla mnie jako osoby średniozamożnej i świadomej jest istotniejsza niż elastyczność biletowa</t>
  </si>
  <si>
    <t>szybkość dojazdu</t>
  </si>
  <si>
    <t>Dostępność środków komunikacji i brak korków są w stanie zrekompensować stawki biletowe.</t>
  </si>
  <si>
    <t>pewność</t>
  </si>
  <si>
    <t>Zwykle stać mnie na bilet, więc nie zastanawiam się za długo nad opcją taryfową ,a raczej nad trasą przejazdu.</t>
  </si>
  <si>
    <t>Bo bez tego taryfy nie mają znaczenia bo i tak nikt nie będzie chciał z tego korzystac</t>
  </si>
  <si>
    <t>Zintegrowana taryfa biletowa</t>
  </si>
  <si>
    <t>stworzenie większej możliwości podróżowania</t>
  </si>
  <si>
    <t>Bo jesli nie ma infrastruktury, to ceny też nie są ważne.</t>
  </si>
  <si>
    <t>Wolę mieć dobrze połączone sposoby dojazdu, niż tańsze bilety a brak komunikacji</t>
  </si>
  <si>
    <t>Koszty</t>
  </si>
  <si>
    <t>T</t>
  </si>
  <si>
    <t>Ochrona środowiska</t>
  </si>
  <si>
    <t>dostępność jest ważna</t>
  </si>
  <si>
    <t>b.o</t>
  </si>
  <si>
    <t>cena usługi jest ważna, ale nie może być ważniejsza od samej usługi</t>
  </si>
  <si>
    <t>liczy się dostępność a nie przepisy</t>
  </si>
  <si>
    <t>Porque estoy dispuesta a pagar lo que se establezca si el servicio es bueno, sin embargo si no es bueno me quejaré siempre del precio</t>
  </si>
  <si>
    <t>Para que haya un cambio de uso de transporte privado a público hay que convencer a la población, y lo que más convence es el ahorro. Si es mucho mas barato el transporte público, la gente optará por este medio de transporte</t>
  </si>
  <si>
    <t>Vivo a las afueras de una capital</t>
  </si>
  <si>
    <t>porque un servicio malo aunque sea barato será malo. Un servicio bueno, aunque más caros, será bueno.</t>
  </si>
  <si>
    <t>llegar puntual</t>
  </si>
  <si>
    <t>No sé si entenc bé el concepte de "billetes y tarifas", però m'ha semblat entendre que vol dir que s'ha de recuperar el cost del servei mitjançant el preu dels bitllets, cosa que em sembla totalment discriminatòria per a les zones rurals amb poca població on els serveis seran sempre deficitaris.</t>
  </si>
  <si>
    <t>Para tener opciones reales y eficientes de desplazamiento</t>
  </si>
  <si>
    <t>Porque si no es un servicio disponible y efectivo, deja de ser interesante, sin importar las tarifas.</t>
  </si>
  <si>
    <t>PORQUE SI NO ES EFICIENTE PARA QUE QUIERO TARIFAS BAJAS</t>
  </si>
  <si>
    <t>EL COSTE DEBE ASUMIRSE</t>
  </si>
  <si>
    <t>El transporte público es un servicio público y, por tanto, debe llegar al mayor número de población posible. Una mayor eficiencia y/o alcance contribuiría a aumentar el número de usuarios más que una política tarifaria atractiva (si no se atiende a la demanda, no se usará y, por tanto, no se recuperarán los costes del transporte).</t>
  </si>
  <si>
    <t>Porque si</t>
  </si>
  <si>
    <t>Con un buen servicio la gente no mira tanto el precio si le facilita la vida</t>
  </si>
  <si>
    <t>El precio es importante a la hora de elegir el modo de transporte que uso, pero considero que, cuantas mejores conexiones haya, tendrá más posibilidad de usar el metro/tren (probablemente prefiera el transporte público si llego rápido a donde quiero ir, con buenas y frecuentes conexiones multimodales y por un precio razonable)</t>
  </si>
  <si>
    <t>Whichofthesecharacteristicsismoreimportantfromyourpointofview2</t>
  </si>
  <si>
    <t>Which of these characteristics is more important from your point of view?</t>
  </si>
  <si>
    <t>Service availability and efficiency</t>
  </si>
  <si>
    <t>Of equal importance</t>
  </si>
  <si>
    <t>Service availability and efficiency</t>
  </si>
  <si>
    <t>Of equal importance</t>
  </si>
  <si>
    <t>Service availability and efficiency</t>
  </si>
  <si>
    <t>Travel purpose</t>
  </si>
  <si>
    <t>Service availability and efficiency</t>
  </si>
  <si>
    <t>Travel purpose</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</si>
  <si>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</si>
  <si>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</si>
  <si>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</si>
  <si>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</si>
  <si>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</si>
  <si>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</si>
  <si>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</si>
  <si>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</si>
  <si>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</si>
  <si>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</si>
  <si>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Of equal importance</t>
  </si>
  <si>
    <t>Service availability and efficiency</t>
  </si>
  <si>
    <t>Disponibilité et efficacité du service</t>
  </si>
  <si>
    <t>But du voyage</t>
  </si>
  <si>
    <t>Disponibilité et efficacité du service</t>
  </si>
  <si>
    <t>D’importance égale</t>
  </si>
  <si>
    <t>But du voyage</t>
  </si>
  <si>
    <t>Disponibilité et efficacité du service</t>
  </si>
  <si>
    <t>But du voyage</t>
  </si>
  <si>
    <t>Disponibilité et efficacité du service</t>
  </si>
  <si>
    <t>D’importance égale</t>
  </si>
  <si>
    <t>Disponibilité et efficacité du service</t>
  </si>
  <si>
    <t>D’importance égale</t>
  </si>
  <si>
    <t>Disponibilité et efficacité du service</t>
  </si>
  <si>
    <t>But du voyage</t>
  </si>
  <si>
    <t>D’importance égale</t>
  </si>
  <si>
    <t>But du voyage</t>
  </si>
  <si>
    <t>D’importance égale</t>
  </si>
  <si>
    <t>But du voyage</t>
  </si>
  <si>
    <t>D’importance égale</t>
  </si>
  <si>
    <t>Disponibilité et efficacité du service</t>
  </si>
  <si>
    <t>D’importance égale</t>
  </si>
  <si>
    <t>But du voyage</t>
  </si>
  <si>
    <t>Disponibilité et efficacité du service</t>
  </si>
  <si>
    <t>D’importance égale</t>
  </si>
  <si>
    <t>Disponibilité et efficacité du service</t>
  </si>
  <si>
    <t>But du voyage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</si>
  <si>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</si>
  <si>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</si>
  <si>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</si>
  <si>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</si>
  <si>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</si>
  <si>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</si>
  <si>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</si>
  <si>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</si>
  <si>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</si>
  <si>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</si>
  <si>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</si>
  <si>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</si>
  <si>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Disponibilité et efficacité du service</t>
  </si>
  <si>
    <t>D’importance égale</t>
  </si>
  <si>
    <t>But du voyage</t>
  </si>
  <si>
    <t>Disponibilité et efficacité du service</t>
  </si>
  <si>
    <t>D’importance égale</t>
  </si>
  <si>
    <t>Disponibilité et efficacité du service</t>
  </si>
  <si>
    <t>But du voyage</t>
  </si>
  <si>
    <t>D’importance égale</t>
  </si>
  <si>
    <t>Disponibilité et efficacité du service</t>
  </si>
  <si>
    <t>But du voyage</t>
  </si>
  <si>
    <t>Disponibilité et efficacité du service</t>
  </si>
  <si>
    <t>D’importance égale</t>
  </si>
  <si>
    <t>Disponibilité et efficacité du service</t>
  </si>
  <si>
    <t>But du voyage</t>
  </si>
  <si>
    <t>D’importance égale</t>
  </si>
  <si>
    <t>Disponibilité et efficacité du service</t>
  </si>
  <si>
    <t>D’importance égale</t>
  </si>
  <si>
    <t>Disponibilité et efficacité du service</t>
  </si>
  <si>
    <t>But du voyage</t>
  </si>
  <si>
    <t>Raspoloživost usluge i efikasnost</t>
  </si>
  <si>
    <t>Jednako važno</t>
  </si>
  <si>
    <t>Raspoloživost usluge i efikasnost</t>
  </si>
  <si>
    <t>Jednako važno</t>
  </si>
  <si>
    <t>Raspoloživost usluge i efikasnost</t>
  </si>
  <si>
    <t>Jednako važno</t>
  </si>
  <si>
    <t>Raspoloživost usluge i efikasnost</t>
  </si>
  <si>
    <t>Svrha putovanja</t>
  </si>
  <si>
    <t>Jednako važno</t>
  </si>
  <si>
    <t>Raspoloživost usluge i efikasnost</t>
  </si>
  <si>
    <t>Jednako važno</t>
  </si>
  <si>
    <t>Raspoloživost usluge i efikasnost</t>
  </si>
  <si>
    <t>Disponibilità ed efficienza del servizio</t>
  </si>
  <si>
    <t>Di uguale importanza</t>
  </si>
  <si>
    <t>Disponibilità ed efficienza del servizio</t>
  </si>
  <si>
    <t>Di uguale importanza</t>
  </si>
  <si>
    <t>Disponibilità ed efficienza del servizio</t>
  </si>
  <si>
    <t>Di uguale importanza</t>
  </si>
  <si>
    <t>Disponibilità ed efficienza del servizio</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</si>
  <si>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</si>
  <si>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</si>
  <si>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</si>
  <si>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</si>
  <si>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</si>
  <si>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</si>
  <si>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</si>
  <si>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</si>
  <si>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</si>
  <si>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</si>
  <si>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Cel podróży</t>
  </si>
  <si>
    <t>Równie ważne</t>
  </si>
  <si>
    <t>Dostępność i wydajność usługi</t>
  </si>
  <si>
    <t>Równie ważne</t>
  </si>
  <si>
    <t>Dostępność i wydajność usługi</t>
  </si>
  <si>
    <t>Cel podróży</t>
  </si>
  <si>
    <t>Równie ważne</t>
  </si>
  <si>
    <t>Dostępność i wydajność usługi</t>
  </si>
  <si>
    <t>Równie ważne</t>
  </si>
  <si>
    <t>Dostępność i wydajność usługi</t>
  </si>
  <si>
    <t>Cel podróży</t>
  </si>
  <si>
    <t>Równie ważne</t>
  </si>
  <si>
    <t>Dostępność i wydajność usługi</t>
  </si>
  <si>
    <t>Równie ważne</t>
  </si>
  <si>
    <t>Cel podróży</t>
  </si>
  <si>
    <t>Równie ważne</t>
  </si>
  <si>
    <t>Dostępność i wydajność usługi</t>
  </si>
  <si>
    <t>Cel podróży</t>
  </si>
  <si>
    <t>Dostępność i wydajność usługi</t>
  </si>
  <si>
    <t>Równie ważne</t>
  </si>
  <si>
    <t>Cel podróży</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</si>
  <si>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</si>
  <si>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</si>
  <si>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</si>
  <si>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</si>
  <si>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</si>
  <si>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</si>
  <si>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</si>
  <si>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</si>
  <si>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</si>
  <si>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</si>
  <si>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Równie ważne</t>
  </si>
  <si>
    <t>Dostępność i wydajność usługi</t>
  </si>
  <si>
    <t>Cel podróży</t>
  </si>
  <si>
    <t>Równie ważne</t>
  </si>
  <si>
    <t>Dostępność i wydajność usługi</t>
  </si>
  <si>
    <t>Cel podróży</t>
  </si>
  <si>
    <t>Dostępność i wydajność usługi</t>
  </si>
  <si>
    <t>Równie ważne</t>
  </si>
  <si>
    <t>Dostępność i wydajność usługi</t>
  </si>
  <si>
    <t>Cel podróży</t>
  </si>
  <si>
    <t>Dostępność i wydajność usługi</t>
  </si>
  <si>
    <t>Cel podróży</t>
  </si>
  <si>
    <t>Równie ważne</t>
  </si>
  <si>
    <t>Dostępność i wydajność usługi</t>
  </si>
  <si>
    <t>Równie ważne</t>
  </si>
  <si>
    <t>Dostępność i wydajność usługi</t>
  </si>
  <si>
    <t>Równie ważne</t>
  </si>
  <si>
    <t>Dostępność i wydajność usługi</t>
  </si>
  <si>
    <t>Równie ważne</t>
  </si>
  <si>
    <t>Dostępność i wydajność usługi</t>
  </si>
  <si>
    <t>Cel podróży</t>
  </si>
  <si>
    <t>Równie ważne</t>
  </si>
  <si>
    <t>Dostępność i wydajność usługi</t>
  </si>
  <si>
    <t>De igual importancia</t>
  </si>
  <si>
    <t>Disponibilidad y eficiencia del servicio</t>
  </si>
  <si>
    <t>De igual importancia</t>
  </si>
  <si>
    <t>Finalidad del desplazamiento</t>
  </si>
  <si>
    <t>Disponibilidad y eficiencia del servicio</t>
  </si>
  <si>
    <t>De igual importancia</t>
  </si>
  <si>
    <t>Finalidad del desplazamiento</t>
  </si>
  <si>
    <t>Disponibilidad y eficiencia del servicio</t>
  </si>
  <si>
    <t>De igual importancia</t>
  </si>
  <si>
    <t>Disponibilidad y eficiencia del servicio</t>
  </si>
  <si>
    <t>Finalidad del desplazamiento</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</si>
  <si>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</si>
  <si>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</si>
  <si>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</si>
  <si>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</si>
  <si>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</si>
  <si>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</si>
  <si>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</si>
  <si>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</si>
  <si>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</si>
  <si>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</si>
  <si>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</si>
  <si>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</si>
  <si>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</si>
  <si>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</si>
  <si>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</si>
  <si>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</si>
  <si>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Disponibilidad y eficiencia del servicio</t>
  </si>
  <si>
    <t>De igual importancia</t>
  </si>
  <si>
    <t>Finalidad del desplazamiento</t>
  </si>
  <si>
    <t>De igual importancia</t>
  </si>
  <si>
    <t>Disponibilidad y eficiencia del servicio</t>
  </si>
  <si>
    <t>YouchoseServiceavailabilityandefficiencyHowmuchmoreimportantis2</t>
  </si>
  <si>
    <t>YouchoseTravelpurposeHowmuchmoreimportantisTravelpurposeversusS</t>
  </si>
  <si>
    <t>Whyoptional2</t>
  </si>
  <si>
    <t>Why? (optional)</t>
  </si>
  <si>
    <t>If services are available and reliable AND affordable they are suitable for lots of different journey reasons. The one factor that hasn't been mentioned yet is luggage space - that has a very big influence on leisure journey transport choice.</t>
  </si>
  <si>
    <t>A good efficienty on my network is the most important</t>
  </si>
  <si>
    <t>Sometimes your purpose is influenced by the efficiency of the transport system e.g. do I go to the cinema or to the park? Which one is more accessible/safe?</t>
  </si>
  <si>
    <t>Multiple services availabiliy serves for diverse travel scopes</t>
  </si>
  <si>
    <t>If the service is well planned it will already take into account all the possible needs of users.</t>
  </si>
  <si>
    <t>p</t>
  </si>
  <si>
    <t>I decide my route depending on where and when I'm going</t>
  </si>
  <si>
    <t>It's more important to have a good way to get somewhere than the means of getting there</t>
  </si>
  <si>
    <t>as long as  comfortable transport gets you to where you want does not matter what it is.</t>
  </si>
  <si>
    <t>Depending on the travel purpose a person's "total ability" to move may be strongly affected, resulting in a different perception of accessibility (travel with load - tourists, migrants or people carrying groceries / temporary impairment - loss of eyeglasses, small accident, mobile device lost or offline, intoxicated condition).</t>
  </si>
  <si>
    <t>With an efficient system, at least it would leave people the choice to choose</t>
  </si>
  <si>
    <t>I tend to use the same modes irrespective of journey purpose</t>
  </si>
  <si>
    <t>D</t>
  </si>
  <si>
    <t>.</t>
  </si>
  <si>
    <t>Trains need to connect with buses and other modes of transport as integrated travel options are vital.</t>
  </si>
  <si>
    <t>Convenience and cost have the biggest influence on how i travel, regardless of the purpose of travel</t>
  </si>
  <si>
    <t>Service gives choices on how I travel</t>
  </si>
  <si>
    <t>If there is efficient transport services to all places, it doesn't matter where I travel to</t>
  </si>
  <si>
    <t>It’s nobody’s business why I travel</t>
  </si>
  <si>
    <t>Getting to where I need to be is far more important than how I travel at any particular time or for any particular purpose</t>
  </si>
  <si>
    <t>Si meilleures dessertes, alors les transports peuvent être privilégiés quelque soit le but du voyage.</t>
  </si>
  <si>
    <t>Le but de mon voyage n'influence pas le choix de transport</t>
  </si>
  <si>
    <t>même si on a le choix du moyen de transport, il faut qu'il soit sûr et efficace</t>
  </si>
  <si>
    <t>Le but de mon voyage est privé ou pro et j ai peur de recevoir des pubs inutiles</t>
  </si>
  <si>
    <t>parcours client réussi</t>
  </si>
  <si>
    <t>Parce que si la disponibilité et l'efficacité sont excellents, cela règle automatiquement l'autre point</t>
  </si>
  <si>
    <t>Le but d'un voyage doit pouvoir être assuré en continu. Pas de priorisatiin de l'un par rapport à l'autre</t>
  </si>
  <si>
    <t>Je gère seule selon mon but du voyage. Pas de besoin de prise ne charge.</t>
  </si>
  <si>
    <t>J'adapte le moyen de transport au but et aux circonstances</t>
  </si>
  <si>
    <t>A</t>
  </si>
  <si>
    <t>Il est important que cela fonctionne de façon fiable</t>
  </si>
  <si>
    <t>'-</t>
  </si>
  <si>
    <t>Durant mon temps de trajet possibilité de vaquer a d’autres occupations</t>
  </si>
  <si>
    <t>je pense que peut importe le but si le service est efficace et bien cela rend tout plus simple</t>
  </si>
  <si>
    <t>j'ai besoin de rentrer chez moi en soirée après un concert comme après mon travail</t>
  </si>
  <si>
    <t>Je ne comprends pas que l'on compare es deux critères.</t>
  </si>
  <si>
    <t>Impact sur le temps et stress</t>
  </si>
  <si>
    <t>le but du trajet n'est pas important à partir du moment ou il y a de la place et un service rapide et régulier</t>
  </si>
  <si>
    <t>Le but du voyage me semble un critère non pertinent.</t>
  </si>
  <si>
    <t>Quel que soit l'objectif, si le système n'est pas efficient et bien connecté, ça ne fonctionnera pas</t>
  </si>
  <si>
    <t>'-</t>
  </si>
  <si>
    <t>Le métro/tram permet de répondre à différents buts de voyage, quel qu'il soit. L'important est donc que le service soit optimal</t>
  </si>
  <si>
    <t>sans Service pas de transport</t>
  </si>
  <si>
    <t>On se déplace dans un but précis. Si les transports sont efficaces là ou on ne va pas, ça ne change pas notre problème pour aller où on veut.</t>
  </si>
  <si>
    <t>ponctualité</t>
  </si>
  <si>
    <t>je voyage autant dans le privé que dans le pro avec les mêmes exigences</t>
  </si>
  <si>
    <t>le mode de transport que je choisis dépend du but de mon voyage et je peux alterner ou panacher plusieurs modes de transports</t>
  </si>
  <si>
    <t>Gestion du temps</t>
  </si>
  <si>
    <t>Efficience</t>
  </si>
  <si>
    <t>Idem disponibilité pour gagner du temps.</t>
  </si>
  <si>
    <t>Fiabilité</t>
  </si>
  <si>
    <t>Vreme</t>
  </si>
  <si>
    <t>Lo scopo diventa secondario. Posso andare al lavoro sia con i mezzi che con l'auto privata, scelgo la seconda se la prima non è efficiente</t>
  </si>
  <si>
    <t>Avere una rete di trasporto pubblico capillare, con strategici nodi intermodali, facilita gli spostamenti in ambito urbano e periferico a prescindere dallo scopo del viaggio</t>
  </si>
  <si>
    <t>\</t>
  </si>
  <si>
    <t>Jeśli będzie dobrze skomunikowane to przesiadka nie bedzie problemem</t>
  </si>
  <si>
    <t>Jesli mam kilka celów podrózy, to ze względu na czas i wygodę raczej wybiorę samochód.</t>
  </si>
  <si>
    <t>Nieważne gdzie się jedzie, ważne, żeby transport w ogóle był</t>
  </si>
  <si>
    <t>Żebym wybrała transport publiczny, on musi być dostępny.</t>
  </si>
  <si>
    <t>Public transport is intended to provide its services to all people, therefore, analysing people's behaviour and their communication needs are crucial when it comes to planning and developing a sustainable and productive system.</t>
  </si>
  <si>
    <t>Mając cel podróży może określić czy jest dostęp do usługi</t>
  </si>
  <si>
    <t>Ważniejszy jest duży wybór i łatwy dostęp</t>
  </si>
  <si>
    <t>W sumie nie do końca rozumiem "cel podróży" jako alternatywę. Jednak zecydowanie różne cele podróży wpływają na wybierane przeze mnie środki transportu (np. jeśli mam więcej czasu, wolę iść pieszo bądź jechać rowerem niż gdy się spieszę i mogłabym nie zdążyć).</t>
  </si>
  <si>
    <t>każdy cel powinien być podłączony do sieci transportu publicznego</t>
  </si>
  <si>
    <t>Nie ma znaczenia, gdzie jadę. Ważne, żebym dojechała szybko i nieskomplikowaną trasą.</t>
  </si>
  <si>
    <t>to składa się na całość</t>
  </si>
  <si>
    <t>Cel podróży nie jest istotny jeżeli nie będziesz mógł dotrzeć fizycznie do danego miejsca (nie będzie takiej siatki połączeń).</t>
  </si>
  <si>
    <t>Nie zastanawiałam się nad tym drugim wcześniej. Na zakupy często łatwiej pojechać samochodem żeby nie dźwigać ciezarow. W pozostałych przypadkach zawsze wybiorę transport publiczny</t>
  </si>
  <si>
    <t>ponieważ myślę, że wydajność i interkonektywność środków transportu publicznego wpływają na wybór transportu publicznego do równych celów podróży - ze względu na dostępność i wygodę na przykład</t>
  </si>
  <si>
    <t>Bez dostępności cel nie ma znaczenia</t>
  </si>
  <si>
    <t>lepsza dostępność powoduje szybsze dotarcie do celu podróży</t>
  </si>
  <si>
    <t>..</t>
  </si>
  <si>
    <t>Pewność, rzetelne rozkłady, terminowość</t>
  </si>
  <si>
    <t>Środek transportu musi być dostępny w dojeżdzie do danego celu, więc cel jest drugorzędny - musi być tam transport.</t>
  </si>
  <si>
    <t>ważne abym skutecznie i na czas dojechała</t>
  </si>
  <si>
    <t>Obie opcje są ważne</t>
  </si>
  <si>
    <t>ponieważ dotrę w porządane miejsce</t>
  </si>
  <si>
    <t>jak najlepsze połączenie do celu podróży</t>
  </si>
  <si>
    <t>jak najlepsza możliwość dotarcia do celu</t>
  </si>
  <si>
    <t>Ponieważ jeśli wydajność będzie wyższa, to cel również może ulec zmianie</t>
  </si>
  <si>
    <t>Nie rozumiem tego zestawienia, podróz zawsze jest w jakimś celu...</t>
  </si>
  <si>
    <t>Nieważne dokąd jadę, chcę dojechać w optymalnym czasie</t>
  </si>
  <si>
    <t>A</t>
  </si>
  <si>
    <t>T</t>
  </si>
  <si>
    <t>Jeżeli oferta transportowa jest atrakcyjna, ludzie będą z niego korzystać niezależnie od celu podróży.</t>
  </si>
  <si>
    <t>Dotrę do celu</t>
  </si>
  <si>
    <t>Bo to z czego skorzystam, decyduje mój cel i dalsza jego realizacja.</t>
  </si>
  <si>
    <t>ok</t>
  </si>
  <si>
    <t>b.o</t>
  </si>
  <si>
    <t>Bo jak muszę jechac, to cel jest nie ważny, ważne aby jak najszybciej był pojazd dostępny...</t>
  </si>
  <si>
    <t>Jeżeli siatka połączeń transportu w mieście dobrze zaprojektowana to cel podróży nie będzie miał zbyt dużego znaczenia, gdyż i tak będziemy mieli zapewniony dobry dojazd.</t>
  </si>
  <si>
    <t>Ponieważ dostępność i wydajność transportu sama w sobie zachęca do korzystania z niego w różnych celach.</t>
  </si>
  <si>
    <t>cel jest indywidualny</t>
  </si>
  <si>
    <t>ok</t>
  </si>
  <si>
    <t>...</t>
  </si>
  <si>
    <t>para acceder a diferentes lugares, necesito más opciones</t>
  </si>
  <si>
    <t>usuario habitual en el mismo trayecto</t>
  </si>
  <si>
    <t>Si el servicio es óptimo, uno se puede plantear distintas finalidades; si no, no hay qué plantear.</t>
  </si>
  <si>
    <t>Da igual a que voy, ha de ser un servicio eficiente siempre</t>
  </si>
  <si>
    <t>Porque la finalidad no es tan importante</t>
  </si>
  <si>
    <t>Porque sin importar dónde vayas o cuál es el motivo de tu viaje, tiene que ser óptimo el servicio, para llegar puntual, viajar de forma "cómoda" ya sea al trabajo, una cita médica o una reunión de amigos</t>
  </si>
  <si>
    <t>Normalmente no eliges el medio de transporte público según la finalidad del desplazamiento, sino según la disponibilidad de los medios. Eliges según si existe un medio que te lleve donde y cuándo quieres ir.</t>
  </si>
  <si>
    <t>SI TE ACOSTUMBRAS A UN TRANSPORTE, LO EMPLEAS INDEPENDIENTEMENTE DE LA FINALIDAD</t>
  </si>
  <si>
    <t>Si no llega a los centros de oferta y demanda de transporte, no se usará el transporte público. Sin embargo, puede suceder que a determinadas horas de la noche muchos usuarios opten por el vehículo privado por seguridad.</t>
  </si>
  <si>
    <t>Para llegar antes</t>
  </si>
  <si>
    <t>Por</t>
  </si>
  <si>
    <t>fundamental poder llegar al destino deseado y en tiempo exacto..... esto hace posible cumplir objetivos y tareas que todos debemos hacer cada día de forma eficaz</t>
  </si>
  <si>
    <t>Whichofthesecharacteristicsismoreimportantfromyourpointofview3</t>
  </si>
  <si>
    <t>Which of these characteristics is more important from your point of view?</t>
  </si>
  <si>
    <t>Ticketing options and fares</t>
  </si>
  <si>
    <t>Information provision</t>
  </si>
  <si>
    <t>Ticketing options and fares</t>
  </si>
  <si>
    <t>Information provision</t>
  </si>
  <si>
    <t>Of equal importance</t>
  </si>
  <si>
    <t>Information provision</t>
  </si>
  <si>
    <t>Ticketing options and fares</t>
  </si>
  <si>
    <t>Of equal importance</t>
  </si>
  <si>
    <t>Information provision</t>
  </si>
  <si>
    <t>Ticketing options and fares</t>
  </si>
  <si>
    <t>Information provision</t>
  </si>
  <si>
    <t>Ticketing options and fares</t>
  </si>
  <si>
    <t>Of equal importance</t>
  </si>
  <si>
    <t>Ticketing options and fares</t>
  </si>
  <si>
    <t>Information provision</t>
  </si>
  <si>
    <t>Of equal importance</t>
  </si>
  <si>
    <t>Information provision</t>
  </si>
  <si>
    <t>Of equal importance</t>
  </si>
  <si>
    <t>Ticketing options and fares</t>
  </si>
  <si>
    <t>Of equal importance</t>
  </si>
  <si>
    <t>Ticketing options and fares</t>
  </si>
  <si>
    <t>Of equal importance</t>
  </si>
  <si>
    <t>Ticketing options and fares</t>
  </si>
  <si>
    <t>Of equal importance</t>
  </si>
  <si>
    <t>Ticketing options and fares</t>
  </si>
  <si>
    <t>Information provision</t>
  </si>
  <si>
    <t>Of equal importance</t>
  </si>
  <si>
    <t>Information provision</t>
  </si>
  <si>
    <t>Ticketing options and fares</t>
  </si>
  <si>
    <t>Of equal importance</t>
  </si>
  <si>
    <t>Information provision</t>
  </si>
  <si>
    <t>Ticketing options and fares</t>
  </si>
  <si>
    <t>Of equal importance</t>
  </si>
  <si>
    <t>Ticketing options and fares</t>
  </si>
  <si>
    <t>Information provision</t>
  </si>
  <si>
    <t>Ticketing options and fares</t>
  </si>
  <si>
    <t>Information provision</t>
  </si>
  <si>
    <t>Of equal importance</t>
  </si>
  <si>
    <t>Information provision</t>
  </si>
  <si>
    <t>Ticketing options and fares</t>
  </si>
  <si>
    <t>Information provision</t>
  </si>
  <si>
    <t>Of equal importance</t>
  </si>
  <si>
    <t>Ticketing options and fares</t>
  </si>
  <si>
    <t>Of equal importance</t>
  </si>
  <si>
    <t>Information provision</t>
  </si>
  <si>
    <t>Options et tarifs des billets</t>
  </si>
  <si>
    <t>Disposition d'information</t>
  </si>
  <si>
    <t>D'importance égale</t>
  </si>
  <si>
    <t>Options et tarifs des billets</t>
  </si>
  <si>
    <t>D'importance égale</t>
  </si>
  <si>
    <t>Disposition d'information</t>
  </si>
  <si>
    <t>D'importance égale</t>
  </si>
  <si>
    <t>Options et tarifs des billets</t>
  </si>
  <si>
    <t>D'importance égale</t>
  </si>
  <si>
    <t>Disposition d'information</t>
  </si>
  <si>
    <t>D'importance égale</t>
  </si>
  <si>
    <t>Disposition d'information</t>
  </si>
  <si>
    <t>D'importance égale</t>
  </si>
  <si>
    <t>Disposition d'information</t>
  </si>
  <si>
    <t>D'importance égale</t>
  </si>
  <si>
    <t>Disposition d'information</t>
  </si>
  <si>
    <t>Options et tarifs des billets</t>
  </si>
  <si>
    <t>D'importance égale</t>
  </si>
  <si>
    <t>Options et tarifs des billets</t>
  </si>
  <si>
    <t>D'importance égale</t>
  </si>
  <si>
    <t>Disposition d'information</t>
  </si>
  <si>
    <t>D'importance égale</t>
  </si>
  <si>
    <t>Options et tarifs des billets</t>
  </si>
  <si>
    <t>Disposition d'information</t>
  </si>
  <si>
    <t>D'importance égale</t>
  </si>
  <si>
    <t>Disposition d'information</t>
  </si>
  <si>
    <t>D'importance égale</t>
  </si>
  <si>
    <t>Options et tarifs des billets</t>
  </si>
  <si>
    <t>Disposition d'information</t>
  </si>
  <si>
    <t>Options et tarifs des billets</t>
  </si>
  <si>
    <t>Disposition d'information</t>
  </si>
  <si>
    <t>D'importance égale</t>
  </si>
  <si>
    <t>Options et tarifs des billets</t>
  </si>
  <si>
    <t>D'importance égale</t>
  </si>
  <si>
    <t>Disposition d'information</t>
  </si>
  <si>
    <t>D'importance égale</t>
  </si>
  <si>
    <t>Options et tarifs des billets</t>
  </si>
  <si>
    <t>D'importance égale</t>
  </si>
  <si>
    <t>Disposition d'information</t>
  </si>
  <si>
    <t>D'importance égale</t>
  </si>
  <si>
    <t>Options et tarifs des billets</t>
  </si>
  <si>
    <t>Disposition d'information</t>
  </si>
  <si>
    <t>Options et tarifs des billets</t>
  </si>
  <si>
    <t>Disposition d'information</t>
  </si>
  <si>
    <t>D'importance égale</t>
  </si>
  <si>
    <t>Disposition d'information</t>
  </si>
  <si>
    <t>D'importance égale</t>
  </si>
  <si>
    <t>Options et tarifs des billets</t>
  </si>
  <si>
    <t>Disposition d'information</t>
  </si>
  <si>
    <t>Options et tarifs des billets</t>
  </si>
  <si>
    <t>D'importance égale</t>
  </si>
  <si>
    <t>Disposition d'information</t>
  </si>
  <si>
    <t>D'importance égale</t>
  </si>
  <si>
    <t>Options et tarifs des billets</t>
  </si>
  <si>
    <t>Disposition d'information</t>
  </si>
  <si>
    <t>Options et tarifs des billets</t>
  </si>
  <si>
    <t>Disposition d'information</t>
  </si>
  <si>
    <t>Options et tarifs des billets</t>
  </si>
  <si>
    <t>D'importance égale</t>
  </si>
  <si>
    <t>Jednako važno</t>
  </si>
  <si>
    <t>Dostupnost informacija</t>
  </si>
  <si>
    <t>Cene karata i fleksibilnost tarifske politike</t>
  </si>
  <si>
    <t>Jednako važno</t>
  </si>
  <si>
    <t>Cene karata i fleksibilnost tarifske politike</t>
  </si>
  <si>
    <t>Jednako važno</t>
  </si>
  <si>
    <t>Cene karata i fleksibilnost tarifske politike</t>
  </si>
  <si>
    <t>Dostupnost informacija</t>
  </si>
  <si>
    <t>Jednako važno</t>
  </si>
  <si>
    <t>Cene karata i fleksibilnost tarifske politike</t>
  </si>
  <si>
    <t>Jednako važno</t>
  </si>
  <si>
    <t>Cene karata i fleksibilnost tarifske politike</t>
  </si>
  <si>
    <t>Dostupnost informacija</t>
  </si>
  <si>
    <t>Jednako važno</t>
  </si>
  <si>
    <t>Dostupnost informacija</t>
  </si>
  <si>
    <t>Jednako važno</t>
  </si>
  <si>
    <t>Dostupnost informacija</t>
  </si>
  <si>
    <t>Jednako važno</t>
  </si>
  <si>
    <t>Fornitura d’informazioni</t>
  </si>
  <si>
    <t>Di uguale importanza</t>
  </si>
  <si>
    <t>Fornitura d’informazioni</t>
  </si>
  <si>
    <t>Di uguale importanza</t>
  </si>
  <si>
    <t>Fornitura d’informazioni</t>
  </si>
  <si>
    <t>Biglietteria e tariffe</t>
  </si>
  <si>
    <t>Fornitura d’informazioni</t>
  </si>
  <si>
    <t>Di uguale importanza</t>
  </si>
  <si>
    <t>Fornitura d’informazioni</t>
  </si>
  <si>
    <t>Przepisy informacyjne</t>
  </si>
  <si>
    <t>Ocje i taryfy biletowe</t>
  </si>
  <si>
    <t>Przepisy informacyjne</t>
  </si>
  <si>
    <t>Równie ważne</t>
  </si>
  <si>
    <t>Ocje i taryfy biletowe</t>
  </si>
  <si>
    <t>Równie ważne</t>
  </si>
  <si>
    <t>Ocje i taryfy biletowe</t>
  </si>
  <si>
    <t>Równie ważne</t>
  </si>
  <si>
    <t>Ocje i taryfy biletowe</t>
  </si>
  <si>
    <t>Równie ważne</t>
  </si>
  <si>
    <t>Ocje i taryfy biletowe</t>
  </si>
  <si>
    <t>Równie ważne</t>
  </si>
  <si>
    <t>Ocje i taryfy biletowe</t>
  </si>
  <si>
    <t>Równie ważne</t>
  </si>
  <si>
    <t>Ocje i taryfy biletowe</t>
  </si>
  <si>
    <t>Przepisy informacyjne</t>
  </si>
  <si>
    <t>Ocje i taryfy biletowe</t>
  </si>
  <si>
    <t>Równie ważne</t>
  </si>
  <si>
    <t>Przepisy informacyjne</t>
  </si>
  <si>
    <t>Ocje i taryfy biletowe</t>
  </si>
  <si>
    <t>Przepisy informacyjne</t>
  </si>
  <si>
    <t>Równie ważne</t>
  </si>
  <si>
    <t>Przepisy informacyjne</t>
  </si>
  <si>
    <t>Ocje i taryfy biletowe</t>
  </si>
  <si>
    <t>Równie ważne</t>
  </si>
  <si>
    <t>Przepisy informacyjne</t>
  </si>
  <si>
    <t>Równie ważne</t>
  </si>
  <si>
    <t>Przepisy informacyjne</t>
  </si>
  <si>
    <t>Ocje i taryfy biletowe</t>
  </si>
  <si>
    <t>Równie ważne</t>
  </si>
  <si>
    <t>Ocje i taryfy biletowe</t>
  </si>
  <si>
    <t>Przepisy informacyjne</t>
  </si>
  <si>
    <t>Równie ważne</t>
  </si>
  <si>
    <t>Przepisy informacyjne</t>
  </si>
  <si>
    <t>Równie ważne</t>
  </si>
  <si>
    <t>Przepisy informacyjne</t>
  </si>
  <si>
    <t>Ocje i taryfy biletowe</t>
  </si>
  <si>
    <t>Równie ważne</t>
  </si>
  <si>
    <t>Ocje i taryfy biletowe</t>
  </si>
  <si>
    <t>Przepisy informacyjne</t>
  </si>
  <si>
    <t>Ocje i taryfy biletowe</t>
  </si>
  <si>
    <t>Równie ważne</t>
  </si>
  <si>
    <t>Ocje i taryfy biletowe</t>
  </si>
  <si>
    <t>Równie ważne</t>
  </si>
  <si>
    <t>Ocje i taryfy biletowe</t>
  </si>
  <si>
    <t>Przepisy informacyjne</t>
  </si>
  <si>
    <t>Równie ważne</t>
  </si>
  <si>
    <t>Ocje i taryfy biletowe</t>
  </si>
  <si>
    <t>Równie ważne</t>
  </si>
  <si>
    <t>Ocje i taryfy biletowe</t>
  </si>
  <si>
    <t>Przepisy informacyjne</t>
  </si>
  <si>
    <t>Ocje i taryfy biletowe</t>
  </si>
  <si>
    <t>Przepisy informacyjne</t>
  </si>
  <si>
    <t>Ocje i taryfy biletowe</t>
  </si>
  <si>
    <t>Równie ważne</t>
  </si>
  <si>
    <t>Przepisy informacyjne</t>
  </si>
  <si>
    <t>Ocje i taryfy biletowe</t>
  </si>
  <si>
    <t>Równie ważne</t>
  </si>
  <si>
    <t>Ocje i taryfy biletowe</t>
  </si>
  <si>
    <t>Równie ważne</t>
  </si>
  <si>
    <t>Ocje i taryfy biletowe</t>
  </si>
  <si>
    <t>Równie ważne</t>
  </si>
  <si>
    <t>Ocje i taryfy biletowe</t>
  </si>
  <si>
    <t>Równie ważne</t>
  </si>
  <si>
    <t>Przepisy informacyjne</t>
  </si>
  <si>
    <t>Ocje i taryfy biletowe</t>
  </si>
  <si>
    <t>Równie ważne</t>
  </si>
  <si>
    <t>Przepisy informacyjne</t>
  </si>
  <si>
    <t>Ocje i taryfy biletowe</t>
  </si>
  <si>
    <t>Równie ważne</t>
  </si>
  <si>
    <t>Ocje i taryfy biletowe</t>
  </si>
  <si>
    <t>Równie ważne</t>
  </si>
  <si>
    <t>Ocje i taryfy biletowe</t>
  </si>
  <si>
    <t>Przepisy informacyjne</t>
  </si>
  <si>
    <t>Ocje i taryfy biletowe</t>
  </si>
  <si>
    <t>Równie ważne</t>
  </si>
  <si>
    <t>Ocje i taryfy biletowe</t>
  </si>
  <si>
    <t>Równie ważne</t>
  </si>
  <si>
    <t>Ocje i taryfy biletowe</t>
  </si>
  <si>
    <t>Równie ważne</t>
  </si>
  <si>
    <t>De igual importancia</t>
  </si>
  <si>
    <t>Disponibilidad y claridad de la información</t>
  </si>
  <si>
    <t>De igual importancia</t>
  </si>
  <si>
    <t>Billetes y tarifas</t>
  </si>
  <si>
    <t>De igual importancia</t>
  </si>
  <si>
    <t>Billetes y tarifas</t>
  </si>
  <si>
    <t>De igual importancia</t>
  </si>
  <si>
    <t>Disponibilidad y claridad de la información</t>
  </si>
  <si>
    <t>De igual importancia</t>
  </si>
  <si>
    <t>Billetes y tarifas</t>
  </si>
  <si>
    <t>De igual importancia</t>
  </si>
  <si>
    <t>Disponibilidad y claridad de la información</t>
  </si>
  <si>
    <t>Billetes y tarifas</t>
  </si>
  <si>
    <t>De igual importancia</t>
  </si>
  <si>
    <t>Disponibilidad y claridad de la información</t>
  </si>
  <si>
    <t>Billetes y tarifas</t>
  </si>
  <si>
    <t>Disponibilidad y claridad de la información</t>
  </si>
  <si>
    <t>De igual importancia</t>
  </si>
  <si>
    <t>Billetes y tarifas</t>
  </si>
  <si>
    <t>De igual importancia</t>
  </si>
  <si>
    <t>Disponibilidad y claridad de la información</t>
  </si>
  <si>
    <t>De igual importancia</t>
  </si>
  <si>
    <t>Billetes y tarifas</t>
  </si>
  <si>
    <t>Disponibilidad y claridad de la información</t>
  </si>
  <si>
    <t>Billetes y tarifas</t>
  </si>
  <si>
    <t>De igual importancia</t>
  </si>
  <si>
    <t>Billetes y tarifas</t>
  </si>
  <si>
    <t>Disponibilidad y claridad de la información</t>
  </si>
  <si>
    <t>De igual importancia</t>
  </si>
  <si>
    <t>Disponibilidad y claridad de la información</t>
  </si>
  <si>
    <t>De igual importancia</t>
  </si>
  <si>
    <t>Billetes y tarifas</t>
  </si>
  <si>
    <t>De igual importancia</t>
  </si>
  <si>
    <t>Billetes y tarifas</t>
  </si>
  <si>
    <t>De igual importancia</t>
  </si>
  <si>
    <t>Billetes y tarifas</t>
  </si>
  <si>
    <t>Disponibilidad y claridad de la información</t>
  </si>
  <si>
    <t>De igual importancia</t>
  </si>
  <si>
    <t>Disponibilidad y claridad de la información</t>
  </si>
  <si>
    <t>Billetes y tarifas</t>
  </si>
  <si>
    <t>De igual importancia</t>
  </si>
  <si>
    <t>Billetes y tarifas</t>
  </si>
  <si>
    <t>De igual importancia</t>
  </si>
  <si>
    <t>YouchoseInformationprovisionHowmuchmoreimportantisInformationp1</t>
  </si>
  <si>
    <t>YouchoseTicketingoptionsandfaresHowmuchmoreimportantisTicketin1</t>
  </si>
  <si>
    <t>Whyoptional3</t>
  </si>
  <si>
    <t>Why? (optional)</t>
  </si>
  <si>
    <t>Tickets and fares need to be affordable and a clear and simple fare structure, then much less information is necessary.</t>
  </si>
  <si>
    <t>if a ticket is not affordable, then it's not an option, regardless of how easy the information is to access</t>
  </si>
  <si>
    <t>'-</t>
  </si>
  <si>
    <t>In all these questions ticketing options and fares are bundled together, but I struggle to reply, because fares are clearly much more important than ticketing options</t>
  </si>
  <si>
    <t>Without information you waste time, and then money</t>
  </si>
  <si>
    <t>Transports have to be accessible for everyone</t>
  </si>
  <si>
    <t>A good and reasonable ticketing is very important. If unflexible / very expensive / difficult to obtain ticketing systems are in place influences more than information available</t>
  </si>
  <si>
    <t>fares should have a set rate.</t>
  </si>
  <si>
    <t>I can look for my own information without any help, but I can't decide what the price is</t>
  </si>
  <si>
    <t>Financial accessibility</t>
  </si>
  <si>
    <t>I use public transport because it is convenient, fares are currently affordable for me</t>
  </si>
  <si>
    <t>Save time</t>
  </si>
  <si>
    <t>.</t>
  </si>
  <si>
    <t>Probably more accessibility gained through cheap transportation than through real-time information ?</t>
  </si>
  <si>
    <t>Affordability has a huge impact on peoples ability t use public transport systems.</t>
  </si>
  <si>
    <t>&lt;</t>
  </si>
  <si>
    <t>Cost has a big impact on choices</t>
  </si>
  <si>
    <t>Service gives me options</t>
  </si>
  <si>
    <t>Information needs to be in a way I can access it with my disabilities (severe sight impairment)</t>
  </si>
  <si>
    <t>'-</t>
  </si>
  <si>
    <t>Adapter la tarification suivant l'usage me paraît plus juste</t>
  </si>
  <si>
    <t>si on veut faire la transition énergétique et privilégier les transports collectifs, il faut que les prix soient abordables</t>
  </si>
  <si>
    <t>na</t>
  </si>
  <si>
    <t>Je pense qu'il est plus important de permettre l'accès à la mobilité à tous ; cependant, l'information sur le réseau est également un point important dans cette mobilité.</t>
  </si>
  <si>
    <t>Il y a eu des efforts de fait dans le sens de l'accessibilité aux transports.  Ils restent certes à continuer. Mais le plus urgent reste la disponibilité de l'information</t>
  </si>
  <si>
    <t>Accessibilité pour tous</t>
  </si>
  <si>
    <t>L'accès à l'information est un moyen de démocratiser les transports</t>
  </si>
  <si>
    <t>si je veux prendre les transports je regarde les dispos… et le tarif a la fin</t>
  </si>
  <si>
    <t>A</t>
  </si>
  <si>
    <t>La sécurité avant tout. Planifier mon trajet est primordial</t>
  </si>
  <si>
    <t>Pour que tous le monde ait accès aux transport</t>
  </si>
  <si>
    <t>Cela est très pratique pour nous. On vit dans un monde où nous avons besoin de facilité de rapidite pour vivre.</t>
  </si>
  <si>
    <t>La qualité de service doit être à la hauteur du niveau d’information pour anticiper mon voyage</t>
  </si>
  <si>
    <t>Je pense que le fait d'avoir accès à l'information le plus rapidement possible rassure, facilite le voyage, permet à plus de gens de prendre les transports car ils peuvent anticipe et planifier leur voyage comme par exemple les personnes en situation de handicap.</t>
  </si>
  <si>
    <t>On peut toujours se débrouiller a trouver l'information, en bouche à oreille ou autre, mais le tarif mis en place est fixe et non discutable</t>
  </si>
  <si>
    <t>Permet d'avoir un sentiment de sécurité et d'accès au réseau de transport</t>
  </si>
  <si>
    <t>Afin que le prix des transports ne soit pas à frein à la mobilité et donc à la liberté de circuler même pour des raison de loisirs.</t>
  </si>
  <si>
    <t>L'accessibilité a tous est plus importante. La gratuité serait aussi une bonne option pour réduire la pollution.</t>
  </si>
  <si>
    <t>Pour permettre à chacun.e d'avoir accès à des transports publics de qualité.</t>
  </si>
  <si>
    <t>Si le coût est trop élevé, même avec une bonne information crla devient innaccessible</t>
  </si>
  <si>
    <t>'-</t>
  </si>
  <si>
    <t>La qualité de l'information a un coût que je suis prête à supporter</t>
  </si>
  <si>
    <t>infos, très important</t>
  </si>
  <si>
    <t>ponctualité</t>
  </si>
  <si>
    <t>pouvoir d'achat</t>
  </si>
  <si>
    <t>Il est important de pouvoir s'organiser</t>
  </si>
  <si>
    <t>V</t>
  </si>
  <si>
    <t>Budget</t>
  </si>
  <si>
    <t>Je suis assez grande pour me renseigner</t>
  </si>
  <si>
    <t>Gestion budgétaire</t>
  </si>
  <si>
    <t>Jer je bitno</t>
  </si>
  <si>
    <t>'-</t>
  </si>
  <si>
    <t>Ekonomija</t>
  </si>
  <si>
    <t>Taniej = lepiej</t>
  </si>
  <si>
    <t>transport publiczny po prostu powinien być dostępny dla wszystkich, także pod względem kosztów</t>
  </si>
  <si>
    <t>Niekonkurencyjność cenowa eliminuje transport zbiorowy spośród opcji</t>
  </si>
  <si>
    <t>Kwestie informacji przejmują i mogą przejmować podmioty zewnętrzne. Jest to do zrobienia raz, a dobrze, w kolejnych krokach wymaga głównie aktualizacji. Kwestia taryf jest ważniejsza bo powinna zachęcać do wybierania zbiorkomu w codziennych pojazdach (praca, szkola)</t>
  </si>
  <si>
    <t>\|</t>
  </si>
  <si>
    <t>Bo ja chce tanio dojechać a nie drogo się dowiedzieć</t>
  </si>
  <si>
    <t>Autobusy często się spozniają (np. linia 184 jest prawie zawsze spozniona), metro bywa wylączane z ruchu - warto jest miec takie informacje na biezaco. ZTM kieruje się zasadą "nie dublowania połączeń", co oznacza, ze problemy z jedną linią czy to autobusową czy metrem wyłączają możliwość skorzystania z komunikacji miejskiej na danym obszarze (np. północno/wschodnia częsc Bemowa)</t>
  </si>
  <si>
    <t>Creating mobile apps, programs and public information systems with up-to-date data about delays, possible connections etc. is extremely important nowadays. Too complicated ticket tariff will never attract people's attention.</t>
  </si>
  <si>
    <t>sprawne planowanie planowanie i odbycie  podróży więcej znaczy niż zaoszczędzone 10 gr na bilecie</t>
  </si>
  <si>
    <t>Myślę, że zgodziłabym się ponieść większe koszty, jeśli system byłby rzetelny i niezawodny.</t>
  </si>
  <si>
    <t>Jak wcześniej: cena nie gra roli.</t>
  </si>
  <si>
    <t>Jest wiele innych aplikacji i portali informacyjnych, które pozwalają na wytyczenie sobie trasy.</t>
  </si>
  <si>
    <t>Bilety podmiejskiej komunikacji są drogie</t>
  </si>
  <si>
    <t>Prawidlowe oznakowanie i informacje oszczędzają podróżnym czasu. A czas jest bezcenny</t>
  </si>
  <si>
    <t>Bez ciekawej oferty bieżąca informacja nie ma znaczenia</t>
  </si>
  <si>
    <t>tak mi się wydaje</t>
  </si>
  <si>
    <t>niski koszt przejazdu zacheca do korzystania z komunikacji miejskiej</t>
  </si>
  <si>
    <t>możliwość kupna, podładowania karty miejskiej,</t>
  </si>
  <si>
    <t>Już pisałem. Zwykle stać mnie na bilet, a potem często dużo trudniej zdążyć na pociąg, skoro się nie wie gdzie stoi...</t>
  </si>
  <si>
    <t>Tak uważam</t>
  </si>
  <si>
    <t>Bo bez tego taryfy nie mają znaczenia i nawet nie można właściwie o nich poinformowac</t>
  </si>
  <si>
    <t>im taniej tym lepiej</t>
  </si>
  <si>
    <t>Koszt biletów wpływa na wybór środków transportu</t>
  </si>
  <si>
    <t>mieszkam jeden przystanek KM poza II strefą więc cena biletu za jedną stację KM +bilet II strefa jest dla mnie kosztowny</t>
  </si>
  <si>
    <t>elastyczna, różnorodna i dopasowana do potrzeb taryfa biletowa</t>
  </si>
  <si>
    <t>Wolę wiedzieć jak dojechać</t>
  </si>
  <si>
    <t>A</t>
  </si>
  <si>
    <t>T</t>
  </si>
  <si>
    <t>Bieżące informacje na temat funkcjonowania transportu pomagają w planowaniu podróży w czasie rzeczywistym.</t>
  </si>
  <si>
    <t>Ochrona środowiska i zdrowia</t>
  </si>
  <si>
    <t>Lepiej mieć więcej oszczędności, wydawać mniej pieniędzy. Państwo/miasto powinno wspierać obywateli</t>
  </si>
  <si>
    <t>ceny biletów są ważne</t>
  </si>
  <si>
    <t>b.o</t>
  </si>
  <si>
    <t>Taryfa w większym stopniu zachęca lub zniechęca do podróży danym środkiem....</t>
  </si>
  <si>
    <t>Ponieważ elastyczność i ekonomiczna dostępność taryfy biletowej jest dla mnie ważniejszym kryterium przy wyborze komunikacji niż informacja - gdyby bilety były za drogie, informacja nie byłaby mi i tak potrzebna.</t>
  </si>
  <si>
    <t>Ceny usług ważniejsze niż usługi</t>
  </si>
  <si>
    <t>como mas barato, mas gente usará el transporte, y menos contaminación</t>
  </si>
  <si>
    <t>doy por hecho que la información es mínimamente entendible. A partir de ese punto, para mi es más importante el tema precio</t>
  </si>
  <si>
    <t>El mateix que abans, per mi la recuperació dels costos si són serveis públics no han de ser mai la base de decisió</t>
  </si>
  <si>
    <t>Porqué el coste del billete, conjuntamente con la eficiencia, puede resultar disuasorio del uso. Con una información mínima, sin embargo, el uso del transporte puede producirse</t>
  </si>
  <si>
    <t>Si no puedo acceder correctamente a la información ¿de qué me sirve el dinero?</t>
  </si>
  <si>
    <t>En primer lugar debe existir la opción real y eficiente de transporte. Las medidas de información oficiales son sólo una medida, existen también otras medidas informativas</t>
  </si>
  <si>
    <t>Por economia</t>
  </si>
  <si>
    <t>TIENE QUE EXISTIR UN EQUILIBRIO ENTRE COSTE E INFORMACION Y DISPONIBILIDAD</t>
  </si>
  <si>
    <t>Po</t>
  </si>
  <si>
    <t>Si no facilitas el uso primero el precio da igual lo barato que sea</t>
  </si>
  <si>
    <t>Whichofthesecharacteristicsismoreimportantfromyourpointofview4</t>
  </si>
  <si>
    <t>Which of these characteristics is more important from your point of view?</t>
  </si>
  <si>
    <t>Travel purpose</t>
  </si>
  <si>
    <t>Of equal importance</t>
  </si>
  <si>
    <t>Information provision</t>
  </si>
  <si>
    <t>Travel purpose</t>
  </si>
  <si>
    <t>Information provision</t>
  </si>
  <si>
    <t>Of equal importance</t>
  </si>
  <si>
    <t>Information provision</t>
  </si>
  <si>
    <t>Of equal importance</t>
  </si>
  <si>
    <t>Information provision</t>
  </si>
  <si>
    <t>Of equal importance</t>
  </si>
  <si>
    <t>Information provision</t>
  </si>
  <si>
    <t>Travel purpose</t>
  </si>
  <si>
    <t>Of equal importance</t>
  </si>
  <si>
    <t>Information provision</t>
  </si>
  <si>
    <t>Of equal importance</t>
  </si>
  <si>
    <t>Travel purpose</t>
  </si>
  <si>
    <t>Of equal importance</t>
  </si>
  <si>
    <t>Travel purpose</t>
  </si>
  <si>
    <t>Information provision</t>
  </si>
  <si>
    <t>Of equal importance</t>
  </si>
  <si>
    <t>Information provision</t>
  </si>
  <si>
    <t>Travel purpose</t>
  </si>
  <si>
    <t>Of equal importance</t>
  </si>
  <si>
    <t>Information provision</t>
  </si>
  <si>
    <t>Travel purpose</t>
  </si>
  <si>
    <t>Information provision</t>
  </si>
  <si>
    <t>Of equal importance</t>
  </si>
  <si>
    <t>Travel purpose</t>
  </si>
  <si>
    <t>Of equal importance</t>
  </si>
  <si>
    <t>Information provision</t>
  </si>
  <si>
    <t>Disposition d'information</t>
  </si>
  <si>
    <t>D'importance égale</t>
  </si>
  <si>
    <t>Disposition d'information</t>
  </si>
  <si>
    <t>D'importance égale</t>
  </si>
  <si>
    <t>Disposition d'information</t>
  </si>
  <si>
    <t>D'importance égale</t>
  </si>
  <si>
    <t>But du voyage</t>
  </si>
  <si>
    <t>D'importance égale</t>
  </si>
  <si>
    <t>Disposition d'information</t>
  </si>
  <si>
    <t>But du voyage</t>
  </si>
  <si>
    <t>D'importance égale</t>
  </si>
  <si>
    <t>But du voyage</t>
  </si>
  <si>
    <t>D'importance égale</t>
  </si>
  <si>
    <t>Disposition d'information</t>
  </si>
  <si>
    <t>D'importance égale</t>
  </si>
  <si>
    <t>Disposition d'information</t>
  </si>
  <si>
    <t>D'importance égale</t>
  </si>
  <si>
    <t>Disposition d'information</t>
  </si>
  <si>
    <t>D'importance égale</t>
  </si>
  <si>
    <t>Disposition d'information</t>
  </si>
  <si>
    <t>But du voyage</t>
  </si>
  <si>
    <t>Disposition d'information</t>
  </si>
  <si>
    <t>D'importance égale</t>
  </si>
  <si>
    <t>But du voyage</t>
  </si>
  <si>
    <t>D'importance égale</t>
  </si>
  <si>
    <t>But du voyage</t>
  </si>
  <si>
    <t>D'importance égale</t>
  </si>
  <si>
    <t>Disposition d'information</t>
  </si>
  <si>
    <t>D'importance égale</t>
  </si>
  <si>
    <t>Disposition d'information</t>
  </si>
  <si>
    <t>D'importance égale</t>
  </si>
  <si>
    <t>But du voyage</t>
  </si>
  <si>
    <t>Disposition d'information</t>
  </si>
  <si>
    <t>D'importance égale</t>
  </si>
  <si>
    <t>Disposition d'information</t>
  </si>
  <si>
    <t>D'importance égale</t>
  </si>
  <si>
    <t>Disposition d'information</t>
  </si>
  <si>
    <t>But du voyage</t>
  </si>
  <si>
    <t>D'importance égale</t>
  </si>
  <si>
    <t>But du voyage</t>
  </si>
  <si>
    <t>Disposition d'information</t>
  </si>
  <si>
    <t>D'importance égale</t>
  </si>
  <si>
    <t>Disposition d'information</t>
  </si>
  <si>
    <t>D'importance égale</t>
  </si>
  <si>
    <t>Disposition d'information</t>
  </si>
  <si>
    <t>D'importance égale</t>
  </si>
  <si>
    <t>Disposition d'information</t>
  </si>
  <si>
    <t>But du voyage</t>
  </si>
  <si>
    <t>D'importance égale</t>
  </si>
  <si>
    <t>But du voyage</t>
  </si>
  <si>
    <t>Disposition d'information</t>
  </si>
  <si>
    <t>D'importance égale</t>
  </si>
  <si>
    <t>Disposition d'information</t>
  </si>
  <si>
    <t>D'importance égale</t>
  </si>
  <si>
    <t>But du voyage</t>
  </si>
  <si>
    <t>Disposition d'information</t>
  </si>
  <si>
    <t>But du voyage</t>
  </si>
  <si>
    <t>Disposition d'information</t>
  </si>
  <si>
    <t>D'importance égale</t>
  </si>
  <si>
    <t>But du voyage</t>
  </si>
  <si>
    <t>Jednako važno</t>
  </si>
  <si>
    <t>Svrha putovanja</t>
  </si>
  <si>
    <t>Jednako važno</t>
  </si>
  <si>
    <t>Svrha putovanja</t>
  </si>
  <si>
    <t>Dostupnost informacija</t>
  </si>
  <si>
    <t>Svrha putovanja</t>
  </si>
  <si>
    <t>Dostupnost informacija</t>
  </si>
  <si>
    <t>Jednako važno</t>
  </si>
  <si>
    <t>Dostupnost informacija</t>
  </si>
  <si>
    <t>Jednako važno</t>
  </si>
  <si>
    <t>Dostupnost informacija</t>
  </si>
  <si>
    <t>Svrha putovanja</t>
  </si>
  <si>
    <t>Jednako važno</t>
  </si>
  <si>
    <t>Svrha putovanja</t>
  </si>
  <si>
    <t>Jednako važno</t>
  </si>
  <si>
    <t>Dostupnost informacija</t>
  </si>
  <si>
    <t>Jednako važno</t>
  </si>
  <si>
    <t>Svrha putovanja</t>
  </si>
  <si>
    <t>Dostupnost informacija</t>
  </si>
  <si>
    <t>Fornitura d’informazioni</t>
  </si>
  <si>
    <t>Scopo del viaggio</t>
  </si>
  <si>
    <t>Fornitura d’informazioni</t>
  </si>
  <si>
    <t>De igual importancia</t>
  </si>
  <si>
    <t>Fornitura d’informazioni</t>
  </si>
  <si>
    <t>De igual importancia</t>
  </si>
  <si>
    <t>Fornitura d’informazioni</t>
  </si>
  <si>
    <t>Równie ważne</t>
  </si>
  <si>
    <t>Przepisy informacyjne</t>
  </si>
  <si>
    <t>Cel podróży</t>
  </si>
  <si>
    <t>Przepisy informacyjne</t>
  </si>
  <si>
    <t>Równie ważne</t>
  </si>
  <si>
    <t>Cel podróży</t>
  </si>
  <si>
    <t>Równie ważne</t>
  </si>
  <si>
    <t>Cel podróży</t>
  </si>
  <si>
    <t>Przepisy informacyjne</t>
  </si>
  <si>
    <t>Równie ważne</t>
  </si>
  <si>
    <t>Przepisy informacyjne</t>
  </si>
  <si>
    <t>Cel podróży</t>
  </si>
  <si>
    <t>Równie ważne</t>
  </si>
  <si>
    <t>Cel podróży</t>
  </si>
  <si>
    <t>Równie ważne</t>
  </si>
  <si>
    <t>Cel podróży</t>
  </si>
  <si>
    <t>Przepisy informacyjne</t>
  </si>
  <si>
    <t>Równie ważne</t>
  </si>
  <si>
    <t>Cel podróży</t>
  </si>
  <si>
    <t>Przepisy informacyjne</t>
  </si>
  <si>
    <t>Cel podróży</t>
  </si>
  <si>
    <t>Równie ważne</t>
  </si>
  <si>
    <t>Cel podróży</t>
  </si>
  <si>
    <t>Równie ważne</t>
  </si>
  <si>
    <t>Przepisy informacyjne</t>
  </si>
  <si>
    <t>Cel podróży</t>
  </si>
  <si>
    <t>Równie ważne</t>
  </si>
  <si>
    <t>Przepisy informacyjne</t>
  </si>
  <si>
    <t>Równie ważne</t>
  </si>
  <si>
    <t>Cel podróży</t>
  </si>
  <si>
    <t>Równie ważne</t>
  </si>
  <si>
    <t>Przepisy informacyjne</t>
  </si>
  <si>
    <t>Cel podróży</t>
  </si>
  <si>
    <t>Przepisy informacyjne</t>
  </si>
  <si>
    <t>Równie ważne</t>
  </si>
  <si>
    <t>Cel podróży</t>
  </si>
  <si>
    <t>Przepisy informacyjne</t>
  </si>
  <si>
    <t>Równie ważne</t>
  </si>
  <si>
    <t>Przepisy informacyjne</t>
  </si>
  <si>
    <t>Cel podróży</t>
  </si>
  <si>
    <t>Przepisy informacyjne</t>
  </si>
  <si>
    <t>Równie ważne</t>
  </si>
  <si>
    <t>Cel podróży</t>
  </si>
  <si>
    <t>Równie ważne</t>
  </si>
  <si>
    <t>Przepisy informacyjne</t>
  </si>
  <si>
    <t>Równie ważne</t>
  </si>
  <si>
    <t>Cel podróży</t>
  </si>
  <si>
    <t>Przepisy informacyjne</t>
  </si>
  <si>
    <t>Równie ważne</t>
  </si>
  <si>
    <t>Przepisy informacyjne</t>
  </si>
  <si>
    <t>Równie ważne</t>
  </si>
  <si>
    <t>Cel podróży</t>
  </si>
  <si>
    <t>Równie ważne</t>
  </si>
  <si>
    <t>Cel podróży</t>
  </si>
  <si>
    <t>Równie ważne</t>
  </si>
  <si>
    <t>Cel podróży</t>
  </si>
  <si>
    <t>Równie ważne</t>
  </si>
  <si>
    <t>Cel podróży</t>
  </si>
  <si>
    <t>Przepisy informacyjne</t>
  </si>
  <si>
    <t>Cel podróży</t>
  </si>
  <si>
    <t>Równie ważne</t>
  </si>
  <si>
    <t>Cel podróży</t>
  </si>
  <si>
    <t>Równie ważne</t>
  </si>
  <si>
    <t>Przepisy informacyjne</t>
  </si>
  <si>
    <t>Cel podróży</t>
  </si>
  <si>
    <t>Przepisy informacyjne</t>
  </si>
  <si>
    <t>Cel podróży</t>
  </si>
  <si>
    <t>Równie ważne</t>
  </si>
  <si>
    <t>Przepisy informacyjne</t>
  </si>
  <si>
    <t>Cel podróży</t>
  </si>
  <si>
    <t>Równie ważne</t>
  </si>
  <si>
    <t>Przepisy informacyjne</t>
  </si>
  <si>
    <t>Równie ważne</t>
  </si>
  <si>
    <t>Cel podróży</t>
  </si>
  <si>
    <t>Przepisy informacyjne</t>
  </si>
  <si>
    <t>Cel podróży</t>
  </si>
  <si>
    <t>Równie ważne</t>
  </si>
  <si>
    <t>Przepisy informacyjne</t>
  </si>
  <si>
    <t>Równie ważne</t>
  </si>
  <si>
    <t>Cel podróży</t>
  </si>
  <si>
    <t>Równie ważne</t>
  </si>
  <si>
    <t>De igual importancia</t>
  </si>
  <si>
    <t>Provisión de información</t>
  </si>
  <si>
    <t>De igual importancia</t>
  </si>
  <si>
    <t>Finalidad del desplazamiento</t>
  </si>
  <si>
    <t>Provisión de información</t>
  </si>
  <si>
    <t>De igual importancia</t>
  </si>
  <si>
    <t>Provisión de información</t>
  </si>
  <si>
    <t>Finalidad del desplazamiento</t>
  </si>
  <si>
    <t>De igual importancia</t>
  </si>
  <si>
    <t>Finalidad del desplazamiento</t>
  </si>
  <si>
    <t>Provisión de información</t>
  </si>
  <si>
    <t>De igual importancia</t>
  </si>
  <si>
    <t>Provisión de información</t>
  </si>
  <si>
    <t>Finalidad del desplazamiento</t>
  </si>
  <si>
    <t>Provisión de información</t>
  </si>
  <si>
    <t>De igual importancia</t>
  </si>
  <si>
    <t>Provisión de información</t>
  </si>
  <si>
    <t>De igual importancia</t>
  </si>
  <si>
    <t>Provisión de información</t>
  </si>
  <si>
    <t>De igual importancia</t>
  </si>
  <si>
    <t>Finalidad del desplazamiento</t>
  </si>
  <si>
    <t>Provisión de información</t>
  </si>
  <si>
    <t>De igual importancia</t>
  </si>
  <si>
    <t>Finalidad del desplazamiento</t>
  </si>
  <si>
    <t>De igual importancia</t>
  </si>
  <si>
    <t>Provisión de información</t>
  </si>
  <si>
    <t>Finalidad del desplazamiento</t>
  </si>
  <si>
    <t>De igual importancia</t>
  </si>
  <si>
    <t>Provisión de información</t>
  </si>
  <si>
    <t>Finalidad del desplazamiento</t>
  </si>
  <si>
    <t>Provisión de información</t>
  </si>
  <si>
    <t>De igual importancia</t>
  </si>
  <si>
    <t>Provisión de información</t>
  </si>
  <si>
    <t>Finalidad del desplazamiento</t>
  </si>
  <si>
    <t>De igual importancia</t>
  </si>
  <si>
    <t>YouchoseInformationprovisionHowmuchmoreimportantisInformationp2</t>
  </si>
  <si>
    <t>YouchoseTravelpurposeHowmuchmoreimportantisTravelpurposeversusI</t>
  </si>
  <si>
    <t>Whyoptional4</t>
  </si>
  <si>
    <t>Why? (optional)</t>
  </si>
  <si>
    <t>A one-off leisure journey: travel planning is part of the experience. A one-off business journey: getting information efficiently and having flexibility to change plans is key. A regular work journey: reliability and affordability is more important than real-time info.</t>
  </si>
  <si>
    <t>I use public transport irrespective of journey purpose as it is convenient for almost all of my journeys</t>
  </si>
  <si>
    <t>Save time get ditelo to the end</t>
  </si>
  <si>
    <t>.</t>
  </si>
  <si>
    <t>The reasons for people to travel need to be taken into consideration because if the service doesn't meet their needs they will not use it.</t>
  </si>
  <si>
    <t>being able to find out how to make the journey easily and conveniently even if it is a novel journey has a big influence on how i travel</t>
  </si>
  <si>
    <t>Knowledge to make choice</t>
  </si>
  <si>
    <t>As before</t>
  </si>
  <si>
    <t>Being able to work out how to get somewhere is far more important than the mode of transport</t>
  </si>
  <si>
    <t>I don't think it matters why you need to travel somewhere</t>
  </si>
  <si>
    <t>'-</t>
  </si>
  <si>
    <t>Primordial d'informer les usagers sur le traffic</t>
  </si>
  <si>
    <t>on a besoin d'infos justes et en temps réel sur le trafic pour s'organiser</t>
  </si>
  <si>
    <t>c'dxt</t>
  </si>
  <si>
    <t>parcours</t>
  </si>
  <si>
    <t>Il est important de reconnaître les différents schémas de déplacements ainsi que les différents besoins en transport des citoyen.ne.s. Cependant, l'information sur le réseau reste une donnée importante dans la mobilité.</t>
  </si>
  <si>
    <t>Pour m'organiser au mieux</t>
  </si>
  <si>
    <t>A</t>
  </si>
  <si>
    <t>'-</t>
  </si>
  <si>
    <t>Gain de temps, efficacité en évitant les embouteillages</t>
  </si>
  <si>
    <t>la disposition d'information est plus important car tout devient plus simple si on sait exactement comment se rendre à un endroit car on peut anticiper et planifier</t>
  </si>
  <si>
    <t>Le but du voyage n'influe pas sur le besoin d'un bon niveau de service et d'information</t>
  </si>
  <si>
    <t>Quel que soit le but du voyage on a besoin de savoir la disponibilité du service et le temps que cela va prendre.</t>
  </si>
  <si>
    <t>'-</t>
  </si>
  <si>
    <t>Je ne voyage qu'en transports en commun, ou presque. Le but du voyage n'a donc pratiquement aucune influence sur mon choix ou non de prendre les transports en commun. C'est exceptionnel</t>
  </si>
  <si>
    <t>ponctualité</t>
  </si>
  <si>
    <t>même degré d'exigence que ce soit pour un voyage pro ou perso</t>
  </si>
  <si>
    <t>le but du voyage influence le choix des transports</t>
  </si>
  <si>
    <t>Facilite de deplacement</t>
  </si>
  <si>
    <t>'-</t>
  </si>
  <si>
    <t>Dostupnost informacija je od javnog značaja, dok je sama svrha na individualnom korisniku.</t>
  </si>
  <si>
    <t>Vreme</t>
  </si>
  <si>
    <t>...</t>
  </si>
  <si>
    <t>nell'ottica di viaggi sistematici</t>
  </si>
  <si>
    <t>Bo jak cię nie dowiezie do celu, to co za różnica, że masz dobrą informację?</t>
  </si>
  <si>
    <t>Różne cele podróży wiążą się z różnymi oczekiwaniami i ograniczeniami. np. Wyjazd na zakupy zawsze będzie sprzyjał korzystali z własnego samochodu, bo, zwłaszcza przy posiadaniu większej rodziny, wiąże się z konkretnym komfortem przenoszenia rzeczy</t>
  </si>
  <si>
    <t>'-</t>
  </si>
  <si>
    <t>Jest ważne</t>
  </si>
  <si>
    <t>Bo ja w ogóle nie chce jechać tylko od razu być na miejscu wiec interesuje mnie wyłącznie szybkie i tanie osiągniecie celu a system ma być intuicyjny aby nie trzeba było się z niego doktoryzować</t>
  </si>
  <si>
    <t>Żeby każdy mógł się zapoznać</t>
  </si>
  <si>
    <t>Przesiadka nie bedzie problemem jak bedzla dobre połączenia</t>
  </si>
  <si>
    <t>Pytanie zdublowane z poprzednim</t>
  </si>
  <si>
    <t>Cel podróży nie wypływa na wybór środka transportu. Jeśli już, to bagaże i wygoda podróżowania.</t>
  </si>
  <si>
    <t>As I mentioned before, an analysis of people transport needs is highly important.</t>
  </si>
  <si>
    <t>Dopiero mając cel podróży możemy ocenić pozostałe parametry związane z przejazdem</t>
  </si>
  <si>
    <t>Pasażerowie w mojej opinii cenią sobie wygodę</t>
  </si>
  <si>
    <t>Jeśli się spieszę, nie wybiorę innego środka transportu niż metro (jeśli się da) nawet jeśli rozkład byłby świetnie opisany.</t>
  </si>
  <si>
    <t>Bo często są opuznienia o których nie ma jak się dowiedzieć</t>
  </si>
  <si>
    <t>Cel podróży nie jest istotny w odniesieniu do transportu publicznego.</t>
  </si>
  <si>
    <t>Odpowiedziałam we wcześniejszych pytaniach już</t>
  </si>
  <si>
    <t>Od informacji zależy cel podróży i jego realizacja środkami komunikacji miejskiej</t>
  </si>
  <si>
    <t>cel podróży jest dla każdego pasażera najważniejszy, a ułatwiają go przepisy</t>
  </si>
  <si>
    <t>mm</t>
  </si>
  <si>
    <t>dotarcie na miejsce jest wazniejsze niz infornacja o opoznieniu</t>
  </si>
  <si>
    <t>Łatwiejsze dotarcie do celu podróży, powrót do domu, w krótkim czasie</t>
  </si>
  <si>
    <t>CEl podrózy uważam za nie ważny.</t>
  </si>
  <si>
    <t>chcę dojechać tam gdzie potrzebuję</t>
  </si>
  <si>
    <t>liczy się dla mnie jak najlepsze dotarcie docelu podróży</t>
  </si>
  <si>
    <t>jak najlepsze połączenie do celu podróżny</t>
  </si>
  <si>
    <t>Osiągnięcie celu jest istotniejsze</t>
  </si>
  <si>
    <t>Nieważne dokąd jadę, wolę wiedzieć jakie mam opcje</t>
  </si>
  <si>
    <t>A</t>
  </si>
  <si>
    <t>T</t>
  </si>
  <si>
    <t>cel jest ważniejszy, ale nie muszą to być informacje czasie rzeczywistym</t>
  </si>
  <si>
    <t>Bo od celu uzależniam rodzaj transportu</t>
  </si>
  <si>
    <t>informacje są istotne dla podóżnych</t>
  </si>
  <si>
    <t>b.o</t>
  </si>
  <si>
    <t>cel jest indywidualny</t>
  </si>
  <si>
    <t>Si no conozco la oferta, da igual cuál sea la finalidad</t>
  </si>
  <si>
    <t>se tiene que informar de las posibilidades</t>
  </si>
  <si>
    <t>...</t>
  </si>
  <si>
    <t>más opciones</t>
  </si>
  <si>
    <t>Más tiempo para dedicar al transporte dependiendo si tienes tiempo de ocio</t>
  </si>
  <si>
    <t>Con información mínima puede hacerse uso. Según la finalidad (necesidad de alta velocidad, de llevar mucho equipaje, etc) se acabará utilizando o no; es más determinante</t>
  </si>
  <si>
    <t>Sin buena información no llegaré, da igual a que vaya.</t>
  </si>
  <si>
    <t>Escoges un modo de transporte en función de lo que deseas hacer (optimizar tiempo)</t>
  </si>
  <si>
    <t>Si tienes que coger un tren o un metro, sobre todo el tren que pasan con menos asiduidad, tienes que conocer los horarios para saber a qué hora coger el tren. Muchas veces la app de rodalies no funciona y vas "a ciegas" sin saber si tienes que esperar 2 minutos o 20</t>
  </si>
  <si>
    <t>HAY DESPLAZAMIENTOS QUE NO SE PERMITEN ALGUNOS MEDIOS</t>
  </si>
  <si>
    <t>En mi experiencia como usuario, antes de Internet, muchas veces no usé un transporte público, simplemente, porque desconocía sus rutas (por ejemplo, buses urbanos). Desde que las conozco, he aumentado la frecuencia de uso de los mismos.</t>
  </si>
  <si>
    <t>Por</t>
  </si>
  <si>
    <t>ya lo he mencionado, lo mas importante es llegar a tiempo y al lugar debido para poder cumplir con nuestros cometidos</t>
  </si>
  <si>
    <t>Whichofthesecharacteristicsismoreimportantfromyourpointofview5</t>
  </si>
  <si>
    <t>Which of these characteristics is more important from your point of view?</t>
  </si>
  <si>
    <t>Travel purpose</t>
  </si>
  <si>
    <t>Ticketing options and fares</t>
  </si>
  <si>
    <t>Of equal importance</t>
  </si>
  <si>
    <t>Ticketing options and fares</t>
  </si>
  <si>
    <t>Travel purpose</t>
  </si>
  <si>
    <t>Ticketing options and fares</t>
  </si>
  <si>
    <t>Of equal importance</t>
  </si>
  <si>
    <t>Travel purpose</t>
  </si>
  <si>
    <t>Ticketing options and fares</t>
  </si>
  <si>
    <t>Travel purpose</t>
  </si>
  <si>
    <t>Of equal importance</t>
  </si>
  <si>
    <t>Ticketing options and fares</t>
  </si>
  <si>
    <t>Of equal importance</t>
  </si>
  <si>
    <t>Ticketing options and fares</t>
  </si>
  <si>
    <t>Travel purpose</t>
  </si>
  <si>
    <t>Of equal importance</t>
  </si>
  <si>
    <t>Ticketing options and fares</t>
  </si>
  <si>
    <t>Travel purpose</t>
  </si>
  <si>
    <t>Ticketing options and fares</t>
  </si>
  <si>
    <t>Of equal importance</t>
  </si>
  <si>
    <t>Ticketing options and fares</t>
  </si>
  <si>
    <t>Travel purpose</t>
  </si>
  <si>
    <t>Ticketing options and fares</t>
  </si>
  <si>
    <t>Of equal importance</t>
  </si>
  <si>
    <t>Ticketing options and fares</t>
  </si>
  <si>
    <t>Of equal importance</t>
  </si>
  <si>
    <t>Ticketing options and fares</t>
  </si>
  <si>
    <t>Of equal importance</t>
  </si>
  <si>
    <t>Ticketing options and fares</t>
  </si>
  <si>
    <t>Of equal importance</t>
  </si>
  <si>
    <t>Ticketing options and fares</t>
  </si>
  <si>
    <t>Of equal importance</t>
  </si>
  <si>
    <t>Ticketing options and fares</t>
  </si>
  <si>
    <t>Of equal importance</t>
  </si>
  <si>
    <t>Travel purpose</t>
  </si>
  <si>
    <t>Ticketing options and fares</t>
  </si>
  <si>
    <t>Travel purpose</t>
  </si>
  <si>
    <t>But du voyage</t>
  </si>
  <si>
    <t>D'importance égale</t>
  </si>
  <si>
    <t>Options et tarifs des billets</t>
  </si>
  <si>
    <t>D'importance égale</t>
  </si>
  <si>
    <t>Options et tarifs des billets</t>
  </si>
  <si>
    <t>But du voyage</t>
  </si>
  <si>
    <t>Options et tarifs des billets</t>
  </si>
  <si>
    <t>D'importance égale</t>
  </si>
  <si>
    <t>Options et tarifs des billets</t>
  </si>
  <si>
    <t>D'importance égale</t>
  </si>
  <si>
    <t>Options et tarifs des billets</t>
  </si>
  <si>
    <t>D'importance égale</t>
  </si>
  <si>
    <t>Options et tarifs des billets</t>
  </si>
  <si>
    <t>But du voyage</t>
  </si>
  <si>
    <t>D'importance égale</t>
  </si>
  <si>
    <t>But du voyage</t>
  </si>
  <si>
    <t>D'importance égale</t>
  </si>
  <si>
    <t>But du voyage</t>
  </si>
  <si>
    <t>Options et tarifs des billets</t>
  </si>
  <si>
    <t>D'importance égale</t>
  </si>
  <si>
    <t>Options et tarifs des billets</t>
  </si>
  <si>
    <t>D'importance égale</t>
  </si>
  <si>
    <t>But du voyage</t>
  </si>
  <si>
    <t>D'importance égale</t>
  </si>
  <si>
    <t>But du voyage</t>
  </si>
  <si>
    <t>D'importance égale</t>
  </si>
  <si>
    <t>But du voyage</t>
  </si>
  <si>
    <t>D'importance égale</t>
  </si>
  <si>
    <t>Options et tarifs des billets</t>
  </si>
  <si>
    <t>D'importance égale</t>
  </si>
  <si>
    <t>Options et tarifs des billets</t>
  </si>
  <si>
    <t>D'importance égale</t>
  </si>
  <si>
    <t>Options et tarifs des billets</t>
  </si>
  <si>
    <t>D'importance égale</t>
  </si>
  <si>
    <t>But du voyage</t>
  </si>
  <si>
    <t>Options et tarifs des billets</t>
  </si>
  <si>
    <t>D'importance égale</t>
  </si>
  <si>
    <t>Options et tarifs des billets</t>
  </si>
  <si>
    <t>D'importance égale</t>
  </si>
  <si>
    <t>Options et tarifs des billets</t>
  </si>
  <si>
    <t>But du voyage</t>
  </si>
  <si>
    <t>D'importance égale</t>
  </si>
  <si>
    <t>Options et tarifs des billets</t>
  </si>
  <si>
    <t>D'importance égale</t>
  </si>
  <si>
    <t>But du voyage</t>
  </si>
  <si>
    <t>D'importance égale</t>
  </si>
  <si>
    <t>Options et tarifs des billets</t>
  </si>
  <si>
    <t>But du voyage</t>
  </si>
  <si>
    <t>D'importance égale</t>
  </si>
  <si>
    <t>Options et tarifs des billets</t>
  </si>
  <si>
    <t>But du voyage</t>
  </si>
  <si>
    <t>Options et tarifs des billets</t>
  </si>
  <si>
    <t>D'importance égale</t>
  </si>
  <si>
    <t>But du voyage</t>
  </si>
  <si>
    <t>Options et tarifs des billets</t>
  </si>
  <si>
    <t>D'importance égale</t>
  </si>
  <si>
    <t>But du voyage</t>
  </si>
  <si>
    <t>Jednako važno</t>
  </si>
  <si>
    <t>Cene karata i fleksibilnost tarifske politike</t>
  </si>
  <si>
    <t>Jednako važno</t>
  </si>
  <si>
    <t>Svrha putovanja</t>
  </si>
  <si>
    <t>Cene karata i fleksibilnost tarifske politike</t>
  </si>
  <si>
    <t>Jednako važno</t>
  </si>
  <si>
    <t>Cene karata i fleksibilnost tarifske politike</t>
  </si>
  <si>
    <t>Jednako važno</t>
  </si>
  <si>
    <t>Cene karata i fleksibilnost tarifske politike</t>
  </si>
  <si>
    <t>Jednako važno</t>
  </si>
  <si>
    <t>Cene karata i fleksibilnost tarifske politike</t>
  </si>
  <si>
    <t>Jednako važno</t>
  </si>
  <si>
    <t>Svrha putovanja</t>
  </si>
  <si>
    <t>Jednako važno</t>
  </si>
  <si>
    <t>Cene karata i fleksibilnost tarifske politike</t>
  </si>
  <si>
    <t>Biglietteria e tariffe</t>
  </si>
  <si>
    <t>De igual importancia</t>
  </si>
  <si>
    <t>Biglietteria e tariffe</t>
  </si>
  <si>
    <t>Scopo del viaggio</t>
  </si>
  <si>
    <t>De igual importancia</t>
  </si>
  <si>
    <t>Biglietteria e tariffe</t>
  </si>
  <si>
    <t>De igual importancia</t>
  </si>
  <si>
    <t>Biglietteria e tariffe</t>
  </si>
  <si>
    <t>De igual importancia</t>
  </si>
  <si>
    <t>Opcje i taryfy biletowe</t>
  </si>
  <si>
    <t>Cel podróży</t>
  </si>
  <si>
    <t>Równie ważne</t>
  </si>
  <si>
    <t>Opcje i taryfy biletowe</t>
  </si>
  <si>
    <t>Równie ważne</t>
  </si>
  <si>
    <t>Cel podróży</t>
  </si>
  <si>
    <t>Opcje i taryfy biletowe</t>
  </si>
  <si>
    <t>Cel podróży</t>
  </si>
  <si>
    <t>Równie ważne</t>
  </si>
  <si>
    <t>Opcje i taryfy biletowe</t>
  </si>
  <si>
    <t>Równie ważne</t>
  </si>
  <si>
    <t>Cel podróży</t>
  </si>
  <si>
    <t>Równie ważne</t>
  </si>
  <si>
    <t>Opcje i taryfy biletowe</t>
  </si>
  <si>
    <t>Cel podróży</t>
  </si>
  <si>
    <t>Równie ważne</t>
  </si>
  <si>
    <t>Opcje i taryfy biletowe</t>
  </si>
  <si>
    <t>Cel podróży</t>
  </si>
  <si>
    <t>Równie ważne</t>
  </si>
  <si>
    <t>Opcje i taryfy biletowe</t>
  </si>
  <si>
    <t>Równie ważne</t>
  </si>
  <si>
    <t>Cel podróży</t>
  </si>
  <si>
    <t>Opcje i taryfy biletowe</t>
  </si>
  <si>
    <t>Cel podróży</t>
  </si>
  <si>
    <t>Opcje i taryfy biletowe</t>
  </si>
  <si>
    <t>Równie ważne</t>
  </si>
  <si>
    <t>Opcje i taryfy biletowe</t>
  </si>
  <si>
    <t>Równie ważne</t>
  </si>
  <si>
    <t>Opcje i taryfy biletowe</t>
  </si>
  <si>
    <t>Cel podróży</t>
  </si>
  <si>
    <t>Opcje i taryfy biletowe</t>
  </si>
  <si>
    <t>Równie ważne</t>
  </si>
  <si>
    <t>Opcje i taryfy biletowe</t>
  </si>
  <si>
    <t>Cel podróży</t>
  </si>
  <si>
    <t>Opcje i taryfy biletowe</t>
  </si>
  <si>
    <t>Równie ważne</t>
  </si>
  <si>
    <t>Cel podróży</t>
  </si>
  <si>
    <t>Równie ważne</t>
  </si>
  <si>
    <t>Opcje i taryfy biletowe</t>
  </si>
  <si>
    <t>Równie ważne</t>
  </si>
  <si>
    <t>Cel podróży</t>
  </si>
  <si>
    <t>Równie ważne</t>
  </si>
  <si>
    <t>Opcje i taryfy biletowe</t>
  </si>
  <si>
    <t>Równie ważne</t>
  </si>
  <si>
    <t>Cel podróży</t>
  </si>
  <si>
    <t>Równie ważne</t>
  </si>
  <si>
    <t>Cel podróży</t>
  </si>
  <si>
    <t>Równie ważne</t>
  </si>
  <si>
    <t>Cel podróży</t>
  </si>
  <si>
    <t>Równie ważne</t>
  </si>
  <si>
    <t>Opcje i taryfy biletowe</t>
  </si>
  <si>
    <t>Równie ważne</t>
  </si>
  <si>
    <t>Opcje i taryfy biletowe</t>
  </si>
  <si>
    <t>Równie ważne</t>
  </si>
  <si>
    <t>Opcje i taryfy biletowe</t>
  </si>
  <si>
    <t>Cel podróży</t>
  </si>
  <si>
    <t>Opcje i taryfy biletowe</t>
  </si>
  <si>
    <t>Równie ważne</t>
  </si>
  <si>
    <t>Opcje i taryfy biletowe</t>
  </si>
  <si>
    <t>Równie ważne</t>
  </si>
  <si>
    <t>Opcje i taryfy biletowe</t>
  </si>
  <si>
    <t>Cel podróży</t>
  </si>
  <si>
    <t>Równie ważne</t>
  </si>
  <si>
    <t>Opcje i taryfy biletowe</t>
  </si>
  <si>
    <t>Cel podróży</t>
  </si>
  <si>
    <t>Równie ważne</t>
  </si>
  <si>
    <t>Opcje i taryfy biletowe</t>
  </si>
  <si>
    <t>Równie ważne</t>
  </si>
  <si>
    <t>Cel podróży</t>
  </si>
  <si>
    <t>Równie ważne</t>
  </si>
  <si>
    <t>De igual importancia</t>
  </si>
  <si>
    <t>Billetes y tarifas</t>
  </si>
  <si>
    <t>De igual importancia</t>
  </si>
  <si>
    <t>Billetes y tarifas</t>
  </si>
  <si>
    <t>De igual importancia</t>
  </si>
  <si>
    <t>Finalidad del desplazamiento</t>
  </si>
  <si>
    <t>Billetes y tarifas</t>
  </si>
  <si>
    <t>Finalidad del desplazamiento</t>
  </si>
  <si>
    <t>De igual importancia</t>
  </si>
  <si>
    <t>Finalidad del desplazamiento</t>
  </si>
  <si>
    <t>De igual importancia</t>
  </si>
  <si>
    <t>Billetes y tarifas</t>
  </si>
  <si>
    <t>De igual importancia</t>
  </si>
  <si>
    <t>Billetes y tarifas</t>
  </si>
  <si>
    <t>Finalidad del desplazamiento</t>
  </si>
  <si>
    <t>De igual importancia</t>
  </si>
  <si>
    <t>Billetes y tarifas</t>
  </si>
  <si>
    <t>De igual importancia</t>
  </si>
  <si>
    <t>Billetes y tarifas</t>
  </si>
  <si>
    <t>De igual importancia</t>
  </si>
  <si>
    <t>Billetes y tarifas</t>
  </si>
  <si>
    <t>De igual importancia</t>
  </si>
  <si>
    <t>Billetes y tarifas</t>
  </si>
  <si>
    <t>De igual importancia</t>
  </si>
  <si>
    <t>Finalidad del desplazamiento</t>
  </si>
  <si>
    <t>De igual importancia</t>
  </si>
  <si>
    <t>Billetes y tarifas</t>
  </si>
  <si>
    <t>De igual importancia</t>
  </si>
  <si>
    <t>Billetes y tarifas</t>
  </si>
  <si>
    <t>De igual importancia</t>
  </si>
  <si>
    <t>Billetes y tarifas</t>
  </si>
  <si>
    <t>Finalidad del desplazamiento</t>
  </si>
  <si>
    <t>Billetes y tarifas</t>
  </si>
  <si>
    <t>Finalidad del desplazamiento</t>
  </si>
  <si>
    <t>Billetes y tarifas</t>
  </si>
  <si>
    <t>De igual importancia</t>
  </si>
  <si>
    <t>YouchoseTicketingoptionsandfaresHowmuchmoreimportantisTicketin2</t>
  </si>
  <si>
    <t>YouchoseTravelpurposeHowmuchmoreimportantisTravelpurposeversusT</t>
  </si>
  <si>
    <t>Whyoptional5</t>
  </si>
  <si>
    <t>Why? (optional)</t>
  </si>
  <si>
    <t>Leisure journey choice is affected by choice but also by convenience &amp; luggage space &amp; flexibility; for business travel reliability and flexibility is more important than luggage space. Affordability is important for both.</t>
  </si>
  <si>
    <t>Not sure I really understand the travel purpose characteristic</t>
  </si>
  <si>
    <t>It has to be free</t>
  </si>
  <si>
    <t>cost is more prohibitive than the type of transport used</t>
  </si>
  <si>
    <t>It is difficult to compare with "travel purpose", it is a weird statement.
in any case, depending on the travel purpose one may assume different travel time, cost... I think that those options are more relevant than teh purpose of the travel</t>
  </si>
  <si>
    <t>Affordability plays a huge role in people's choice of transport</t>
  </si>
  <si>
    <t>often NO choice btw metro/car/bike</t>
  </si>
  <si>
    <t>I benefit from a range of fare options for different types of journey but do not use different mode for different journey purposes</t>
  </si>
  <si>
    <t>Access to transport services isn’t a right irrespective of the purpose</t>
  </si>
  <si>
    <t>A</t>
  </si>
  <si>
    <t>.</t>
  </si>
  <si>
    <t>Affordability influences decisions about all journeys regardless of purpose</t>
  </si>
  <si>
    <t>Purpose will remain constant</t>
  </si>
  <si>
    <t>Being able to get tickets easily outweighs what the ticket is for (as long as it gets me where I need to be)</t>
  </si>
  <si>
    <t>'-</t>
  </si>
  <si>
    <t>Lack of affordability will turn people away from trains regardless of journey purpose.</t>
  </si>
  <si>
    <t>les transports publics sont trop chers dans les grandes agglomérations et la voiture est parfois plus accessible</t>
  </si>
  <si>
    <t>Le but de mon voyage est pas lié à des pubs potentiels</t>
  </si>
  <si>
    <t>Quel que soit le but du voyage, il faut bien régler son déplacement</t>
  </si>
  <si>
    <t>Trouver la meilleure offre selon mon budget est primordiale pour rester connectée au monde.</t>
  </si>
  <si>
    <t>essentiel de pouvoir aller travailler</t>
  </si>
  <si>
    <t>'-</t>
  </si>
  <si>
    <t>Voir réponses précédentes</t>
  </si>
  <si>
    <t>lorsqu'on est étudiant il est vrai que les services sont assez cher et ça me semble important de les baisser pour que les jeunes puissent bénéficier des transports</t>
  </si>
  <si>
    <t>Le prix du transport ne doit pas être un frein au voyage quel qu'en soit le but. Pas de ugement moral à avoir sur le choix  et les objectifs de la mobilité des personnes</t>
  </si>
  <si>
    <t>Du fait des conditions matérielles d'existence</t>
  </si>
  <si>
    <t>Cf. réponse précédente</t>
  </si>
  <si>
    <t>ponctualité</t>
  </si>
  <si>
    <t>pouvoir d'achat dans le pro comme le perso</t>
  </si>
  <si>
    <t>Peu importe le but</t>
  </si>
  <si>
    <t>On se déplace pour un but et non pour un prix. Si le déplacement est nécessaire, le coût n'aura pas d'incidence sur la décision de se déplacer</t>
  </si>
  <si>
    <t>Isti odgovor.</t>
  </si>
  <si>
    <t>Vreme</t>
  </si>
  <si>
    <t>Le tariffe di viaggio potrebbero portare a scegliere metodi di trasporto alternativi (se disponibili)</t>
  </si>
  <si>
    <t>A prescindere dallo scopo del viaggio, è di maggiore importanza  prevedere tariffe agevolate per favorire gli spostameti ed evitare, quanto più possibile, l'utilizzo del mezzo privato inquinante.</t>
  </si>
  <si>
    <t>W zależności od celu podróży jesteśmy skłonni zaakceptować różne kwoty na tej samej trasie</t>
  </si>
  <si>
    <t>'-</t>
  </si>
  <si>
    <t>Bo wole drożej dojechać niż taniej nie dojechać. Matko Boska kto wymyślił te pytania. Wystarczyłoby uszeregować wg ważności a nie zamęczać ludzi długa ankieta!</t>
  </si>
  <si>
    <t>Pytanie zdublowane z poprzednim</t>
  </si>
  <si>
    <t>Jak wyżej - cel niespecjalnie wpływa na wybór transportu.</t>
  </si>
  <si>
    <t>W dużo miejsc w moim mieście wygodniej i o wiele taniej jest dojechać komunikacją miejską (wpływa na to np. strefa płatnego parkowania), ale w niektóre miejsca np. na drugi koniec miasta podróż samochodem (zwłaszcza w godzinach porannych/nocnych/wieczornych) trwa znacznie szybciej.</t>
  </si>
  <si>
    <t>Dopiero mając cel podróży możemy określić pozostałe parametry związane z przejazdem</t>
  </si>
  <si>
    <t>Myślę, że byłabym skłonna zmieniać środki transportu, jeśli byłoby to dla mnie jeszcze bardziej korzystne.</t>
  </si>
  <si>
    <t>N</t>
  </si>
  <si>
    <t>Cel podróży nie jest istotny w odniesieniu do transportu publicznego.</t>
  </si>
  <si>
    <t>.</t>
  </si>
  <si>
    <t>gdyż cel podróży jest najważniejszy</t>
  </si>
  <si>
    <t>mm</t>
  </si>
  <si>
    <t>pewność co do cen biletów, co karty miejskiej</t>
  </si>
  <si>
    <t>Cel jest nie ważny.</t>
  </si>
  <si>
    <t>Bo ludzie są w stanie zapłacić więcej np. za samochód bo pozwala im zrobić zakupy i zawieźć dzieci jak też jest elstyczniejszy</t>
  </si>
  <si>
    <t>Koszty</t>
  </si>
  <si>
    <t>ważne jest dla mnie jak najsprawniejsze dotarcie do celu podrózy</t>
  </si>
  <si>
    <t>jak najlepsze połączenie do celu podróżny</t>
  </si>
  <si>
    <t>Jeżeli wybieram komunikację, to raczej nie mam możliwości wyboru za jaką cenę chcę z niej skorzystać</t>
  </si>
  <si>
    <t>A</t>
  </si>
  <si>
    <t>T</t>
  </si>
  <si>
    <t>Transport oferujący wiele możliwości taryfowych jest atrakcyjny zarówno dla osób korzystających z niego na co dzień, jak i dla osób podróżujących okazjonalnie.</t>
  </si>
  <si>
    <t>Miasta wolne od aut, czyste powietrze</t>
  </si>
  <si>
    <t>ceny sa ważne</t>
  </si>
  <si>
    <t>b.o</t>
  </si>
  <si>
    <t>Atrakcyjna taryfa biletowa sama w sobie zachęca do korzystania z komunikacji publicznej w różnych celach.</t>
  </si>
  <si>
    <t>j.w</t>
  </si>
  <si>
    <t>El precio es muy importante</t>
  </si>
  <si>
    <t>Para ocio me planteo más alternativas de transporte, para la rutina, trabajo y estudios necesito una de disponible en todo momento y a precio asequible</t>
  </si>
  <si>
    <t>hay desplazamientos que condicionan el medio de transporte por encima de la tarifa</t>
  </si>
  <si>
    <t>Sea cual sea el motivo, la tarifa es más importante</t>
  </si>
  <si>
    <t>por su coste e implicación directa</t>
  </si>
  <si>
    <t>tendemos a coger el medio de transporte que nos sea más barato. En el caso de tmb todos utilizamos las tarjetas, pero si tuviera que coger un bitllet senzill, que tienen costes distintos, escogería el más económico</t>
  </si>
  <si>
    <t>Por economia</t>
  </si>
  <si>
    <t>NO TODOS LOS MEDIOS DE TRANSPORTE PERMITEN LOS DESPLZAMIENTOS REQUERIDOS</t>
  </si>
  <si>
    <t>Las tarifas tienen que ser acordes con el poder adquisitivo de la población. Algunas ciudades han optado ya por la gratuidad del transporte público.</t>
  </si>
  <si>
    <t>Es bastante caro</t>
  </si>
  <si>
    <t>Por</t>
  </si>
  <si>
    <t>el precio lo puede condicionar todo, y debe ser justo en base a lo que la sociedad puede permitirse</t>
  </si>
  <si>
    <t>Whichofthesecharacteristicsismoreimportantfromyourpointofview6</t>
  </si>
  <si>
    <t>Which of these characteristics is more important from your point of view?</t>
  </si>
  <si>
    <t>Of equal importance</t>
  </si>
  <si>
    <t>Universal design</t>
  </si>
  <si>
    <t>Of equal importance</t>
  </si>
  <si>
    <t>Universal design</t>
  </si>
  <si>
    <t>Of equal importance</t>
  </si>
  <si>
    <t>Universal design</t>
  </si>
  <si>
    <t>Cleanliness and maintenance</t>
  </si>
  <si>
    <t>Of equal importance</t>
  </si>
  <si>
    <t>Universal design</t>
  </si>
  <si>
    <t>Of equal importance</t>
  </si>
  <si>
    <t>Cleanliness and maintenance</t>
  </si>
  <si>
    <t>Universal design</t>
  </si>
  <si>
    <t>Of equal importance</t>
  </si>
  <si>
    <t>Universal design</t>
  </si>
  <si>
    <t>Of equal importance</t>
  </si>
  <si>
    <t>Universal design</t>
  </si>
  <si>
    <t>Of equal importance</t>
  </si>
  <si>
    <t>Universal design</t>
  </si>
  <si>
    <t>Cleanliness and maintenance</t>
  </si>
  <si>
    <t>Of equal importance</t>
  </si>
  <si>
    <t>Universal design</t>
  </si>
  <si>
    <t>Cleanliness and maintenance</t>
  </si>
  <si>
    <t>Universal design</t>
  </si>
  <si>
    <t>Of equal importance</t>
  </si>
  <si>
    <t>Universal design</t>
  </si>
  <si>
    <t>Of equal importance</t>
  </si>
  <si>
    <t>Cleanliness and maintenance</t>
  </si>
  <si>
    <t>Of equal importance</t>
  </si>
  <si>
    <t>Universal design</t>
  </si>
  <si>
    <t>Of equal importance</t>
  </si>
  <si>
    <t>Universal design</t>
  </si>
  <si>
    <t>Of equal importance</t>
  </si>
  <si>
    <t>Universal design</t>
  </si>
  <si>
    <t>Of equal importance</t>
  </si>
  <si>
    <t>Universal design</t>
  </si>
  <si>
    <t>Cleanliness and maintenance</t>
  </si>
  <si>
    <t>Of equal importance</t>
  </si>
  <si>
    <t>Cleanliness and maintenance</t>
  </si>
  <si>
    <t>Universal design</t>
  </si>
  <si>
    <t>D'importance égale</t>
  </si>
  <si>
    <t>Conception universelle</t>
  </si>
  <si>
    <t>D'importance égale</t>
  </si>
  <si>
    <t>Conception universelle</t>
  </si>
  <si>
    <t>D'importance égale</t>
  </si>
  <si>
    <t>Conception universelle</t>
  </si>
  <si>
    <t>D'importance égale</t>
  </si>
  <si>
    <t>Propreté et entretien</t>
  </si>
  <si>
    <t>D'importance égale</t>
  </si>
  <si>
    <t>Propreté et entretien</t>
  </si>
  <si>
    <t>Conception universelle</t>
  </si>
  <si>
    <t>D'importance égale</t>
  </si>
  <si>
    <t>Conception universelle</t>
  </si>
  <si>
    <t>D'importance égale</t>
  </si>
  <si>
    <t>Conception universelle</t>
  </si>
  <si>
    <t>Propreté et entretien</t>
  </si>
  <si>
    <t>Conception universelle</t>
  </si>
  <si>
    <t>D'importance égale</t>
  </si>
  <si>
    <t>Conception universelle</t>
  </si>
  <si>
    <t>D'importance égale</t>
  </si>
  <si>
    <t>Conception universelle</t>
  </si>
  <si>
    <t>D'importance égale</t>
  </si>
  <si>
    <t>Conception universelle</t>
  </si>
  <si>
    <t>D'importance égale</t>
  </si>
  <si>
    <t>Conception universelle</t>
  </si>
  <si>
    <t>D'importance égale</t>
  </si>
  <si>
    <t>Conception universelle</t>
  </si>
  <si>
    <t>D'importance égale</t>
  </si>
  <si>
    <t>Conception universelle</t>
  </si>
  <si>
    <t>D'importance égale</t>
  </si>
  <si>
    <t>Propreté et entretien</t>
  </si>
  <si>
    <t>Conception universelle</t>
  </si>
  <si>
    <t>D'importance égale</t>
  </si>
  <si>
    <t>Conception universelle</t>
  </si>
  <si>
    <t>D'importance égale</t>
  </si>
  <si>
    <t>Conception universelle</t>
  </si>
  <si>
    <t>D'importance égale</t>
  </si>
  <si>
    <t>Conception universelle</t>
  </si>
  <si>
    <t>D'importance égale</t>
  </si>
  <si>
    <t>Propreté et entretien</t>
  </si>
  <si>
    <t>Jednako važno</t>
  </si>
  <si>
    <t>Čistoća i održavanje</t>
  </si>
  <si>
    <t>Jednako važno</t>
  </si>
  <si>
    <t>Univerzalni dizajn</t>
  </si>
  <si>
    <t>Čistoća i održavanje</t>
  </si>
  <si>
    <t>Univerzalni dizajn</t>
  </si>
  <si>
    <t>Jednako važno</t>
  </si>
  <si>
    <t>Čistoća i održavanje</t>
  </si>
  <si>
    <t>Jednako važno</t>
  </si>
  <si>
    <t>Čistoća i održavanje</t>
  </si>
  <si>
    <t>Jednako važno</t>
  </si>
  <si>
    <t>Univerzalni dizajn</t>
  </si>
  <si>
    <t>Jednako važno</t>
  </si>
  <si>
    <t>Čistoća i održavanje</t>
  </si>
  <si>
    <t>Jednako važno</t>
  </si>
  <si>
    <t>Čistoća i održavanje</t>
  </si>
  <si>
    <t>Jednako važno</t>
  </si>
  <si>
    <t>Design universale</t>
  </si>
  <si>
    <t>Di uguale importanza</t>
  </si>
  <si>
    <t>Pulizia e manutenzione</t>
  </si>
  <si>
    <t>Design universale</t>
  </si>
  <si>
    <t>Di uguale importanza</t>
  </si>
  <si>
    <t>Pulizia e manutenzione</t>
  </si>
  <si>
    <t>Design universale</t>
  </si>
  <si>
    <t>Di uguale importanza</t>
  </si>
  <si>
    <t>Design universale</t>
  </si>
  <si>
    <t>Równie ważne</t>
  </si>
  <si>
    <t>Uniwersalne projektowanie</t>
  </si>
  <si>
    <t>Równie ważne</t>
  </si>
  <si>
    <t>Uniwersalne projektowanie</t>
  </si>
  <si>
    <t>Równie ważne</t>
  </si>
  <si>
    <t>Uniwersalne projektowanie</t>
  </si>
  <si>
    <t>Równie ważne</t>
  </si>
  <si>
    <t>Uniwersalne projektowanie</t>
  </si>
  <si>
    <t>Równie ważne</t>
  </si>
  <si>
    <t>Czystość i konserwacja</t>
  </si>
  <si>
    <t>Równie ważne</t>
  </si>
  <si>
    <t>Czystość i konserwacja</t>
  </si>
  <si>
    <t>Równie ważne</t>
  </si>
  <si>
    <t>Czystość i konserwacja</t>
  </si>
  <si>
    <t>Uniwersalne projektowanie</t>
  </si>
  <si>
    <t>Równie ważne</t>
  </si>
  <si>
    <t>Uniwersalne projektowanie</t>
  </si>
  <si>
    <t>Równie ważne</t>
  </si>
  <si>
    <t>Uniwersalne projektowanie</t>
  </si>
  <si>
    <t>Równie ważne</t>
  </si>
  <si>
    <t>Uniwersalne projektowanie</t>
  </si>
  <si>
    <t>Równie ważne</t>
  </si>
  <si>
    <t>Czystość i konserwacja</t>
  </si>
  <si>
    <t>Równie ważne</t>
  </si>
  <si>
    <t>Czystość i konserwacja</t>
  </si>
  <si>
    <t>Uniwersalne projektowanie</t>
  </si>
  <si>
    <t>Równie ważne</t>
  </si>
  <si>
    <t>Uniwersalne projektowanie</t>
  </si>
  <si>
    <t>Równie ważne</t>
  </si>
  <si>
    <t>Uniwersalne projektowanie</t>
  </si>
  <si>
    <t>Czystość i konserwacja</t>
  </si>
  <si>
    <t>Uniwersalne projektowanie</t>
  </si>
  <si>
    <t>Równie ważne</t>
  </si>
  <si>
    <t>Czystość i konserwacja</t>
  </si>
  <si>
    <t>Równie ważne</t>
  </si>
  <si>
    <t>Uniwersalne projektowanie</t>
  </si>
  <si>
    <t>Równie ważne</t>
  </si>
  <si>
    <t>Czystość i konserwacja</t>
  </si>
  <si>
    <t>Równie ważne</t>
  </si>
  <si>
    <t>Uniwersalne projektowanie</t>
  </si>
  <si>
    <t>Równie ważne</t>
  </si>
  <si>
    <t>Uniwersalne projektowanie</t>
  </si>
  <si>
    <t>Równie ważne</t>
  </si>
  <si>
    <t>Uniwersalne projektowanie</t>
  </si>
  <si>
    <t>Równie ważne</t>
  </si>
  <si>
    <t>Uniwersalne projektowanie</t>
  </si>
  <si>
    <t>Równie ważne</t>
  </si>
  <si>
    <t>Czystość i konserwacja</t>
  </si>
  <si>
    <t>Równie ważne</t>
  </si>
  <si>
    <t>Uniwersalne projektowanie</t>
  </si>
  <si>
    <t>Równie ważne</t>
  </si>
  <si>
    <t>Czystość i konserwacja</t>
  </si>
  <si>
    <t>Równie ważne</t>
  </si>
  <si>
    <t>Czystość i konserwacja</t>
  </si>
  <si>
    <t>Równie ważne</t>
  </si>
  <si>
    <t>Czystość i konserwacja</t>
  </si>
  <si>
    <t>Uniwersalne projektowanie</t>
  </si>
  <si>
    <t>Czystość i konserwacja</t>
  </si>
  <si>
    <t>Równie ważne</t>
  </si>
  <si>
    <t>Uniwersalne projektowanie</t>
  </si>
  <si>
    <t>Równie ważne</t>
  </si>
  <si>
    <t>Czystość i konserwacja</t>
  </si>
  <si>
    <t>Równie ważne</t>
  </si>
  <si>
    <t>Uniwersalne projektowanie</t>
  </si>
  <si>
    <t>De igual importancia</t>
  </si>
  <si>
    <t>Diseño universal</t>
  </si>
  <si>
    <t>De igual importancia</t>
  </si>
  <si>
    <t>Limpieza y mantenimiento</t>
  </si>
  <si>
    <t>Diseño universal</t>
  </si>
  <si>
    <t>De igual importancia</t>
  </si>
  <si>
    <t>Diseño universal</t>
  </si>
  <si>
    <t>De igual importancia</t>
  </si>
  <si>
    <t>Diseño universal</t>
  </si>
  <si>
    <t>De igual importancia</t>
  </si>
  <si>
    <t>Diseño universal</t>
  </si>
  <si>
    <t>Limpieza y mantenimiento</t>
  </si>
  <si>
    <t>De igual importancia</t>
  </si>
  <si>
    <t>Diseño universal</t>
  </si>
  <si>
    <t>De igual importancia</t>
  </si>
  <si>
    <t>Limpieza y mantenimiento</t>
  </si>
  <si>
    <t>Diseño universal</t>
  </si>
  <si>
    <t>De igual importancia</t>
  </si>
  <si>
    <t>Limpieza y mantenimiento</t>
  </si>
  <si>
    <t>De igual importancia</t>
  </si>
  <si>
    <t>Limpieza y mantenimiento</t>
  </si>
  <si>
    <t>Diseño universal</t>
  </si>
  <si>
    <t>De igual importancia</t>
  </si>
  <si>
    <t>Diseño universal</t>
  </si>
  <si>
    <t>Limpieza y mantenimiento</t>
  </si>
  <si>
    <t>Diseño universal</t>
  </si>
  <si>
    <t>De igual importancia</t>
  </si>
  <si>
    <t>Diseño universal</t>
  </si>
  <si>
    <t>De igual importancia</t>
  </si>
  <si>
    <t>Diseño universal</t>
  </si>
  <si>
    <t>De igual importancia</t>
  </si>
  <si>
    <t>Diseño universal</t>
  </si>
  <si>
    <t>De igual importancia</t>
  </si>
  <si>
    <t>YouchoseUniversaldesignHowmuchmoreimportantisUniversaldesignver</t>
  </si>
  <si>
    <t>YouchoseCleanlinessandmaintenanceHowmuchmoreimportantisCleanlin</t>
  </si>
  <si>
    <t>Whyoptional6</t>
  </si>
  <si>
    <t>Why? (optional)</t>
  </si>
  <si>
    <t>cleanliness and maintenance to me is an aspect of universal design. If the space is unclean, then it's not comfortable for all people, and if it's not well maintained, it likely to be effecting accessibility</t>
  </si>
  <si>
    <t>99% people</t>
  </si>
  <si>
    <t>p</t>
  </si>
  <si>
    <t>As of now, availability of trains is very high, which sadly can't be said about cleanliness.</t>
  </si>
  <si>
    <t>Not having an appropiate infrastructure prevents people from using public transport</t>
  </si>
  <si>
    <t>universal access is part of human rights</t>
  </si>
  <si>
    <t>Everbody should be able to take th epublic transports</t>
  </si>
  <si>
    <t>having access to a dirty system sucks, but not as much as not having access to any system</t>
  </si>
  <si>
    <t>Universal design it make fully accessible for everyone</t>
  </si>
  <si>
    <t>As long as the train works, I don't care what it looks like. But accessibility is everything.</t>
  </si>
  <si>
    <t>maintainance MEANS AVAILABILITY</t>
  </si>
  <si>
    <t>Better feeling</t>
  </si>
  <si>
    <t>Cleanliness is also hugely important, but accessibility I would consider the most urgent and should be a given</t>
  </si>
  <si>
    <t>Access for everyone is essential, but it's also important to have clean and safe infrastructure</t>
  </si>
  <si>
    <t>Good design must be accessible</t>
  </si>
  <si>
    <t>&amp;</t>
  </si>
  <si>
    <t>Regardless of cleanliness Disabled people only get the reduced choice of what is accessible. Universal design would ensure we have the option to be as picky as everyone else.</t>
  </si>
  <si>
    <t>Tout le monde a le droit au transport</t>
  </si>
  <si>
    <t>Pas d'exclusion</t>
  </si>
  <si>
    <t>Ce service se soit d'être inclusif</t>
  </si>
  <si>
    <t>A</t>
  </si>
  <si>
    <t>Chacun et chacune prend soin de ce qu il ou elle comprend et intègre. Si je suis respectée et prise en compte, je respecte, garde propre...</t>
  </si>
  <si>
    <t>Car il est important que toute personnes puisse prendre les transport en commun par rapport à la propreté du lieu qui elle est subjective et répressive</t>
  </si>
  <si>
    <t>Pour que tout le monde ait accès au transport</t>
  </si>
  <si>
    <t>Pour faciliter l’accès au plus grand nombre</t>
  </si>
  <si>
    <t>Je pense qu'il est vraiment plus important que les transports soit accessible à tous car si on veut une société plus égalitaire cela doit se faire à tous les niveaux et que la propreté ne changera rien à cela</t>
  </si>
  <si>
    <t>Le metro sent mauvais mais le plus intolérable ce sont tous ces escaliers, surtout dans les stations desservant les gares, où beaucoup de gens passent avec de lourds bagages. La RATP a beaucoup d'argent, pourquoi ne pas supprimer tous ces escaliers dans les stations de métro ?</t>
  </si>
  <si>
    <t>Que l'accès soit universel est une base prioritaire! Il y a toujours des solutions pour la gestion ensuite</t>
  </si>
  <si>
    <t>C’est vital mais si le lieu est sale et insecure accessible ou aps on ne synrendra pas</t>
  </si>
  <si>
    <t>POur un accès de tous et toutes à tout</t>
  </si>
  <si>
    <t>accessibilité pour tous</t>
  </si>
  <si>
    <t>Par souci d'égalité d'accès, principe fondamental</t>
  </si>
  <si>
    <t>Accessibilité</t>
  </si>
  <si>
    <t>l'accessibilité est une condition sine qua none. néanmoins la qualité de l'environnement influence nécessairement le choix (de façon probablement moins conscientisée/rationnelle)</t>
  </si>
  <si>
    <t>Un service propre mais non accessible est inutile</t>
  </si>
  <si>
    <t>'-</t>
  </si>
  <si>
    <t>La propreté c'est certes important, mais l'accès universel est prioritaire. Or, là où je vis, ce n'est pas du tout développé</t>
  </si>
  <si>
    <t>egalité sociale</t>
  </si>
  <si>
    <t>Car avec ma poussette je me rend compte de la difficulté pour les personnes en fauteuil roulant</t>
  </si>
  <si>
    <t>chacun doit pouvoir avoir le choix</t>
  </si>
  <si>
    <t>L'accès à tous est primordial</t>
  </si>
  <si>
    <t>Zbog higijene</t>
  </si>
  <si>
    <t>L'accessibilità "for all" è una caratteristica imprescindibile che il sistema di trasporto pubblico deve garantire</t>
  </si>
  <si>
    <t>100% czystości to mrzonka, a dostępność to fakt</t>
  </si>
  <si>
    <t>Dostępność jest ważniejsza, bo jeśli nie da się  dostać na czysty peron z wózkiem dzieciecym/ inwalidzkim to co nam po czystości:)</t>
  </si>
  <si>
    <t>Bo sprawność jest ważniejsza od udogodnień dla mniejszości którym można łatwo pomoc</t>
  </si>
  <si>
    <t>tak</t>
  </si>
  <si>
    <t>Bezpieczeństwo przez konserwację jest b. Ważne</t>
  </si>
  <si>
    <t>Uciążliwe przesiadki (dlugie dystanse, strome schody, brak wind brak wiat przystankowych) zniechecaja mnie do korzystania z komunikacji miejskiej.</t>
  </si>
  <si>
    <t>Jeśli ktoś fizycznie nie dostanie się do transportu [bo jeździ wózkiem, a do przystanku trzeba wejść po schodach], to żaden bilet w tym nie pomoże.</t>
  </si>
  <si>
    <t>Uniwersalne projektowanie jest zdecydowanie ważniejsze od czystości i konserwacji, ponieważ osobom o ograniczonej sprawności ruchowej łatwiej jest skorzystać np. z brudnego, ale dostępnego dworca, niż z dworca, który jest czysty, ale do pokonania są schody.</t>
  </si>
  <si>
    <t>Nie mam niepełnosprawności fizycznej, więc może jestem tutaj mało empatyczna wybierając drugą opcję; jednak atmosfera na dworcach/przystankach kolejowych bywa bardzo zniechęcająca.</t>
  </si>
  <si>
    <t>Osoby niepełnosprawne muszą mieć równy dostęp do usług (szczególnie transportu publicznego, bo często nie mogą prowadzić samochodu). Czystość jest ważna, ale co po niej osobie niepełnosprawnej, która natyka się na bariery?</t>
  </si>
  <si>
    <t>by każdy miał równy dostęp</t>
  </si>
  <si>
    <t>Bo często nie ma jak gdzieś dojechać</t>
  </si>
  <si>
    <t>Naprawdę - dostępność dla wszystkich, chociażby za cenę niezbyt pięknego czyściutkiego metra!</t>
  </si>
  <si>
    <t>Najważniejsze jest bezpieczeństwo i przydatność do użytku. Po co robić windy dla niepełnosprawnych, skoro żadna z nich nie będzie działać po 2 miesiącach.</t>
  </si>
  <si>
    <t>Obydwa aspekty są ważne ale wg mnie ważniejsza jest dostępność niż jakoś (nie mylić z niezawodnością) usługi</t>
  </si>
  <si>
    <t>Nic po czystości, kiedy pasażer nie może z niej skorzystać.</t>
  </si>
  <si>
    <t>są jednakowo ważne</t>
  </si>
  <si>
    <t>dostępność dla każdego, mniej barier architektonicznych</t>
  </si>
  <si>
    <t>Rozbudowana i nowoczesna infrastruktura wpływa na jakość korzystania</t>
  </si>
  <si>
    <t>komfort korzystania z infrastruktury oraz warunki estetyczne i czystość są dla mnie ważne</t>
  </si>
  <si>
    <t>jest to kluczowe dla pasażerów</t>
  </si>
  <si>
    <t>A</t>
  </si>
  <si>
    <t>T</t>
  </si>
  <si>
    <t>równość dla wszystkich</t>
  </si>
  <si>
    <t>W</t>
  </si>
  <si>
    <t>b.o</t>
  </si>
  <si>
    <t>trudno opisać...</t>
  </si>
  <si>
    <t>schludność się liczy</t>
  </si>
  <si>
    <t>porque si el uso de transporte no es un trayecto agradable la gente optará por otras vías</t>
  </si>
  <si>
    <t>Debe ser un transporte inclusivo y para todos</t>
  </si>
  <si>
    <t>Crec que són dos coses que no es poden comparar, les dues són importants (excepte lo de "atmosfera de legalitat" que em sembla fora de lloc i no té res a veure amb la neteja dels espais</t>
  </si>
  <si>
    <t>Porque al ser transporte público no puede resultar excluyente para ningún tipo de usuario/a</t>
  </si>
  <si>
    <t>Accesibilidad mejor que limpieza</t>
  </si>
  <si>
    <t>Si no puedo acceder, que más da que esté limpio.</t>
  </si>
  <si>
    <t>Es más importante que todo el mundo pueda utilizarlas que la limpieza.</t>
  </si>
  <si>
    <t>LA LIMPIEZA Y ACCESO DEBEN ESTAR GARANTIZADOS POR DISEÑO Y NORMATIVA</t>
  </si>
  <si>
    <t>Por</t>
  </si>
  <si>
    <t>Whichofthesecharacteristicsismoreimportantfromyourpointofview7</t>
  </si>
  <si>
    <t>Which of these characteristics is more important from your point of view?</t>
  </si>
  <si>
    <t>Of equal importance</t>
  </si>
  <si>
    <t>Universal design</t>
  </si>
  <si>
    <t>Of equal importance</t>
  </si>
  <si>
    <t>Furniture and facilities</t>
  </si>
  <si>
    <t>Of equal importance</t>
  </si>
  <si>
    <t>Furniture and facilities</t>
  </si>
  <si>
    <t>Of equal importance</t>
  </si>
  <si>
    <t>Universal design</t>
  </si>
  <si>
    <t>Of equal importance</t>
  </si>
  <si>
    <t>Universal design</t>
  </si>
  <si>
    <t>Of equal importance</t>
  </si>
  <si>
    <t>Universal design</t>
  </si>
  <si>
    <t>Of equal importance</t>
  </si>
  <si>
    <t>Universal design</t>
  </si>
  <si>
    <t>Furniture and facilities</t>
  </si>
  <si>
    <t>Of equal importance</t>
  </si>
  <si>
    <t>Universal design</t>
  </si>
  <si>
    <t>Of equal importance</t>
  </si>
  <si>
    <t>Furniture and facilities</t>
  </si>
  <si>
    <t>Of equal importance</t>
  </si>
  <si>
    <t>Furniture and facilities</t>
  </si>
  <si>
    <t>D'importance égale</t>
  </si>
  <si>
    <t>Conception universelle</t>
  </si>
  <si>
    <t>D'importance égale</t>
  </si>
  <si>
    <t>Mobilier et installations</t>
  </si>
  <si>
    <t>D'importance égale</t>
  </si>
  <si>
    <t>Conception universelle</t>
  </si>
  <si>
    <t>D'importance égale</t>
  </si>
  <si>
    <t>Conception universelle</t>
  </si>
  <si>
    <t>D'importance égale</t>
  </si>
  <si>
    <t>Mobilier et installations</t>
  </si>
  <si>
    <t>Conception universelle</t>
  </si>
  <si>
    <t>D'importance égale</t>
  </si>
  <si>
    <t>Mobilier et installations</t>
  </si>
  <si>
    <t>D'importance égale</t>
  </si>
  <si>
    <t>Conception universelle</t>
  </si>
  <si>
    <t>D'importance égale</t>
  </si>
  <si>
    <t>Conception universelle</t>
  </si>
  <si>
    <t>D'importance égale</t>
  </si>
  <si>
    <t>Conception universelle</t>
  </si>
  <si>
    <t>D'importance égale</t>
  </si>
  <si>
    <t>Conception universelle</t>
  </si>
  <si>
    <t>D'importance égale</t>
  </si>
  <si>
    <t>Conception universelle</t>
  </si>
  <si>
    <t>D'importance égale</t>
  </si>
  <si>
    <t>Conception universelle</t>
  </si>
  <si>
    <t>D'importance égale</t>
  </si>
  <si>
    <t>Conception universelle</t>
  </si>
  <si>
    <t>D'importance égale</t>
  </si>
  <si>
    <t>Conception universelle</t>
  </si>
  <si>
    <t>D'importance égale</t>
  </si>
  <si>
    <t>Mobilier et installations</t>
  </si>
  <si>
    <t>Conception universelle</t>
  </si>
  <si>
    <t>D'importance égale</t>
  </si>
  <si>
    <t>Conception universelle</t>
  </si>
  <si>
    <t>D'importance égale</t>
  </si>
  <si>
    <t>Conception universelle</t>
  </si>
  <si>
    <t>D'importance égale</t>
  </si>
  <si>
    <t>Jednako važno</t>
  </si>
  <si>
    <t>Opremljenost i objekti</t>
  </si>
  <si>
    <t>Jednako važno</t>
  </si>
  <si>
    <t>Opremljenost i objekti</t>
  </si>
  <si>
    <t>Univerzalni dizajn</t>
  </si>
  <si>
    <t>Jednako važno</t>
  </si>
  <si>
    <t>Univerzalni dizajn</t>
  </si>
  <si>
    <t>Jednako važno</t>
  </si>
  <si>
    <t>Opremljenost i objekti</t>
  </si>
  <si>
    <t>Jednako važno</t>
  </si>
  <si>
    <t>Opremljenost i objekti</t>
  </si>
  <si>
    <t>Jednako važno</t>
  </si>
  <si>
    <t>Opremljenost i objekti</t>
  </si>
  <si>
    <t>Jednako važno</t>
  </si>
  <si>
    <t>Opremljenost i objekti</t>
  </si>
  <si>
    <t>Univerzalni dizajn</t>
  </si>
  <si>
    <t>Design universale</t>
  </si>
  <si>
    <t>Di uguale importanza</t>
  </si>
  <si>
    <t>Arredi e servizi</t>
  </si>
  <si>
    <t>Design universale</t>
  </si>
  <si>
    <t>Di uguale importanza</t>
  </si>
  <si>
    <t>Design universale</t>
  </si>
  <si>
    <t>Di uguale importanza</t>
  </si>
  <si>
    <t>Arredi e servizi</t>
  </si>
  <si>
    <t>Di uguale importanza</t>
  </si>
  <si>
    <t>Design universale</t>
  </si>
  <si>
    <t>Równie ważne</t>
  </si>
  <si>
    <t>Uniwersalne projektowanie</t>
  </si>
  <si>
    <t>Równie ważne</t>
  </si>
  <si>
    <t>Uniwersalne projektowanie</t>
  </si>
  <si>
    <t>Równie ważne</t>
  </si>
  <si>
    <t>Uniwersalne projektowanie</t>
  </si>
  <si>
    <t>Równie ważne</t>
  </si>
  <si>
    <t>Meble i udogodnienia</t>
  </si>
  <si>
    <t>Równie ważne</t>
  </si>
  <si>
    <t>Uniwersalne projektowanie</t>
  </si>
  <si>
    <t>Równie ważne</t>
  </si>
  <si>
    <t>Uniwersalne projektowanie</t>
  </si>
  <si>
    <t>Równie ważne</t>
  </si>
  <si>
    <t>Uniwersalne projektowanie</t>
  </si>
  <si>
    <t>Równie ważne</t>
  </si>
  <si>
    <t>Uniwersalne projektowanie</t>
  </si>
  <si>
    <t>Równie ważne</t>
  </si>
  <si>
    <t>Meble i udogodnienia</t>
  </si>
  <si>
    <t>Uniwersalne projektowanie</t>
  </si>
  <si>
    <t>Meble i udogodnienia</t>
  </si>
  <si>
    <t>Uniwersalne projektowanie</t>
  </si>
  <si>
    <t>Równie ważne</t>
  </si>
  <si>
    <t>Uniwersalne projektowanie</t>
  </si>
  <si>
    <t>Równie ważne</t>
  </si>
  <si>
    <t>Uniwersalne projektowanie</t>
  </si>
  <si>
    <t>Równie ważne</t>
  </si>
  <si>
    <t>Uniwersalne projektowanie</t>
  </si>
  <si>
    <t>Równie ważne</t>
  </si>
  <si>
    <t>Uniwersalne projektowanie</t>
  </si>
  <si>
    <t>Równie ważne</t>
  </si>
  <si>
    <t>Meble i udogodnienia</t>
  </si>
  <si>
    <t>Równie ważne</t>
  </si>
  <si>
    <t>Meble i udogodnienia</t>
  </si>
  <si>
    <t>Równie ważne</t>
  </si>
  <si>
    <t>Uniwersalne projektowanie</t>
  </si>
  <si>
    <t>Równie ważne</t>
  </si>
  <si>
    <t>Uniwersalne projektowanie</t>
  </si>
  <si>
    <t>Równie ważne</t>
  </si>
  <si>
    <t>Uniwersalne projektowanie</t>
  </si>
  <si>
    <t>Równie ważne</t>
  </si>
  <si>
    <t>Uniwersalne projektowanie</t>
  </si>
  <si>
    <t>Równie ważne</t>
  </si>
  <si>
    <t>Uniwersalne projektowanie</t>
  </si>
  <si>
    <t>Równie ważne</t>
  </si>
  <si>
    <t>Uniwersalne projektowanie</t>
  </si>
  <si>
    <t>Równie ważne</t>
  </si>
  <si>
    <t>Uniwersalne projektowanie</t>
  </si>
  <si>
    <t>Równie ważne</t>
  </si>
  <si>
    <t>Meble i udogodnienia</t>
  </si>
  <si>
    <t>Równie ważne</t>
  </si>
  <si>
    <t>Uniwersalne projektowanie</t>
  </si>
  <si>
    <t>Równie ważne</t>
  </si>
  <si>
    <t>Uniwersalne projektowanie</t>
  </si>
  <si>
    <t>Meble i udogodnienia</t>
  </si>
  <si>
    <t>Równie ważne</t>
  </si>
  <si>
    <t>Uniwersalne projektowanie</t>
  </si>
  <si>
    <t>Równie ważne</t>
  </si>
  <si>
    <t>Meble i udogodnienia</t>
  </si>
  <si>
    <t>Równie ważne</t>
  </si>
  <si>
    <t>Uniwersalne projektowanie</t>
  </si>
  <si>
    <t>De igual importancia</t>
  </si>
  <si>
    <t>Diseño universal</t>
  </si>
  <si>
    <t>Mobiliario e instalaciones</t>
  </si>
  <si>
    <t>De igual importancia</t>
  </si>
  <si>
    <t>Diseño universal</t>
  </si>
  <si>
    <t>De igual importancia</t>
  </si>
  <si>
    <t>Diseño universal</t>
  </si>
  <si>
    <t>De igual importancia</t>
  </si>
  <si>
    <t>Diseño universal</t>
  </si>
  <si>
    <t>Mobiliario e instalaciones</t>
  </si>
  <si>
    <t>De igual importancia</t>
  </si>
  <si>
    <t>Diseño universal</t>
  </si>
  <si>
    <t>De igual importancia</t>
  </si>
  <si>
    <t>Diseño universal</t>
  </si>
  <si>
    <t>De igual importancia</t>
  </si>
  <si>
    <t>Mobiliario e instalaciones</t>
  </si>
  <si>
    <t>Diseño universal</t>
  </si>
  <si>
    <t>De igual importancia</t>
  </si>
  <si>
    <t>Diseño universal</t>
  </si>
  <si>
    <t>De igual importancia</t>
  </si>
  <si>
    <t>Diseño universal</t>
  </si>
  <si>
    <t>Mobiliario e instalaciones</t>
  </si>
  <si>
    <t>Diseño universal</t>
  </si>
  <si>
    <t>De igual importancia</t>
  </si>
  <si>
    <t>Diseño universal</t>
  </si>
  <si>
    <t>De igual importancia</t>
  </si>
  <si>
    <t>Diseño universal</t>
  </si>
  <si>
    <t>De igual importancia</t>
  </si>
  <si>
    <t>YouchoseUniversaldesignHowmuchmoreimportantisUniversaldesignve1</t>
  </si>
  <si>
    <t>YouchoseFurnitureandfacilitiesHowmuchmoreimportantisFurniturean</t>
  </si>
  <si>
    <t>Whyoptional7</t>
  </si>
  <si>
    <t>Why? (optional)</t>
  </si>
  <si>
    <t>universally good design would be really great, but most important for me is that all design is good - accessible, fit for purpose and easy to work out - even if it appears differently in different services</t>
  </si>
  <si>
    <t>'-</t>
  </si>
  <si>
    <t>L'accès pour tous est essentiel.</t>
  </si>
  <si>
    <t>Pour le confort</t>
  </si>
  <si>
    <t>'-</t>
  </si>
  <si>
    <t>je pense que si le système est adapté à tous cela comprend aussi le mobilié donc les deux vont ensemble</t>
  </si>
  <si>
    <t>Un accès facilité, sans risquer la crise cardiaque pour accéder à un train ou métro est primordial</t>
  </si>
  <si>
    <t>C'est une base qui permet ensuite de prendre en compte l'autre critère. De plus quand on a affaire à une conception universelle cela facilité déjhà l'accès des personnes âgée et des enfa</t>
  </si>
  <si>
    <t>egalité sociale</t>
  </si>
  <si>
    <t>des infrastructures agréables pour tous</t>
  </si>
  <si>
    <t>le mobilier est secondaire par rapport à la possibilité d'accéder au transport</t>
  </si>
  <si>
    <t>'-</t>
  </si>
  <si>
    <t>gli arredi devono essere adeguati al design altrimenti il design perde di valore</t>
  </si>
  <si>
    <t>Il concetto di design universale deve includere quello da voi descritto nella risposta "arredi e servizi"</t>
  </si>
  <si>
    <t>Kluczowym i pierwszym warunkiem żeby korzystać z infrastruktury jest jej dostępność</t>
  </si>
  <si>
    <t>.</t>
  </si>
  <si>
    <t>Zanudzicie państwo respondentów</t>
  </si>
  <si>
    <t>Ważniejsza dostępność dla wszystkich niz zlote klamki</t>
  </si>
  <si>
    <t>Dziwne pytanie - projektowanie uniwersalne powinno równiez uwzględniać wspominane w pytaniu meble.</t>
  </si>
  <si>
    <t>Najpierw trzeba być w stanie dotrzeć do transportu i wsiąść, a potem szuka się wygodnych mebli.</t>
  </si>
  <si>
    <t>Nikt nie powinien być wykluczany</t>
  </si>
  <si>
    <t>Dostępność jest wg mnie ważniejsza niż wygoda.</t>
  </si>
  <si>
    <t>Uniwersalne projektowanie zawiera w sobie myśl nie tylko o niepełnosprawnych ale również o podróżujących z dziećmi więc nie rozumiem tego pytania. Wg mnie zagadnienie nr 2 zawiera się w zagadnieniu nr 1</t>
  </si>
  <si>
    <t>także jednakowo ważne</t>
  </si>
  <si>
    <t>dostępność dla każdego</t>
  </si>
  <si>
    <t>Jest to tak na prawdę rozszerzenie tej drugiej opcji</t>
  </si>
  <si>
    <t>Uniwersalne projektowanie jest najlepszym rozwiązaniem pod kątem możliwości korzystania przez największą liczbę różnych środowisk, a czasem zbyt dużo udogodnień dla jednych może powodować ograniczenia dla innych</t>
  </si>
  <si>
    <t>Przejazd jest ważniejszy niż warunki podczas przejazdu.</t>
  </si>
  <si>
    <t>A</t>
  </si>
  <si>
    <t>równe uprawnienia</t>
  </si>
  <si>
    <t>b.o</t>
  </si>
  <si>
    <t>Istotniejsza jest dostępność dla wszystkich niż wygoda dla pewnej grupy</t>
  </si>
  <si>
    <t>El mobiliario debe ser correcto pero no tiene porque ser perfecto. Las indicaciones universales son algo básico y debería ser siempre asi</t>
  </si>
  <si>
    <t>facilidad para acceder a su uso</t>
  </si>
  <si>
    <t>Accesibilidad antes que mobiliario</t>
  </si>
  <si>
    <t>Si el mobiliario y las instalaciones no son accesibles una parte de la población no podrá usarla s</t>
  </si>
  <si>
    <t>Si el diseño no es universal, no hace falta adaptar el mobiliario.</t>
  </si>
  <si>
    <t>EL DISEÑO ES SUFICIENTE</t>
  </si>
  <si>
    <t>Por</t>
  </si>
  <si>
    <t>Whichofthesecharacteristicsismoreimportantfromyourpointofview8</t>
  </si>
  <si>
    <t>Which of these characteristics is more important from your point of view?</t>
  </si>
  <si>
    <t>Of equal importance</t>
  </si>
  <si>
    <t>Furniture and facilities</t>
  </si>
  <si>
    <t>Of equal importance</t>
  </si>
  <si>
    <t>Cleanliness and maintenance</t>
  </si>
  <si>
    <t>Of equal importance</t>
  </si>
  <si>
    <t>Furniture and facilities</t>
  </si>
  <si>
    <t>Cleanliness and maintenance</t>
  </si>
  <si>
    <t>Of equal importance</t>
  </si>
  <si>
    <t>Cleanliness and maintenance</t>
  </si>
  <si>
    <t>Furniture and facilities</t>
  </si>
  <si>
    <t>Of equal importance</t>
  </si>
  <si>
    <t>Furniture and facilities</t>
  </si>
  <si>
    <t>Of equal importance</t>
  </si>
  <si>
    <t>Cleanliness and maintenance</t>
  </si>
  <si>
    <t>Of equal importance</t>
  </si>
  <si>
    <t>Furniture and facilities</t>
  </si>
  <si>
    <t>Cleanliness and maintenance</t>
  </si>
  <si>
    <t>Of equal importance</t>
  </si>
  <si>
    <t>Furniture and facilities</t>
  </si>
  <si>
    <t>Of equal importance</t>
  </si>
  <si>
    <t>Cleanliness and maintenance</t>
  </si>
  <si>
    <t>Of equal importance</t>
  </si>
  <si>
    <t>Furniture and facilities</t>
  </si>
  <si>
    <t>Of equal importance</t>
  </si>
  <si>
    <t>Furniture and facilities</t>
  </si>
  <si>
    <t>Of equal importance</t>
  </si>
  <si>
    <t>Furniture and facilities</t>
  </si>
  <si>
    <t>Of equal importance</t>
  </si>
  <si>
    <t>Furniture and facilities</t>
  </si>
  <si>
    <t>Cleanliness and maintenance</t>
  </si>
  <si>
    <t>Of equal importance</t>
  </si>
  <si>
    <t>Cleanliness and maintenance</t>
  </si>
  <si>
    <t>Furniture and facilities</t>
  </si>
  <si>
    <t>Propreté et entretien</t>
  </si>
  <si>
    <t>D'importance égale</t>
  </si>
  <si>
    <t>Propreté et entretien</t>
  </si>
  <si>
    <t>D'importance égale</t>
  </si>
  <si>
    <t>Propreté et entretien</t>
  </si>
  <si>
    <t>D'importance égale</t>
  </si>
  <si>
    <t>Mobilier et installations</t>
  </si>
  <si>
    <t>D'importance égale</t>
  </si>
  <si>
    <t>Mobilier et installations</t>
  </si>
  <si>
    <t>D'importance égale</t>
  </si>
  <si>
    <t>Propreté et entretien</t>
  </si>
  <si>
    <t>D'importance égale</t>
  </si>
  <si>
    <t>Propreté et entretien</t>
  </si>
  <si>
    <t>D'importance égale</t>
  </si>
  <si>
    <t>Propreté et entretien</t>
  </si>
  <si>
    <t>D'importance égale</t>
  </si>
  <si>
    <t>Mobilier et installations</t>
  </si>
  <si>
    <t>D'importance égale</t>
  </si>
  <si>
    <t>Mobilier et installations</t>
  </si>
  <si>
    <t>D'importance égale</t>
  </si>
  <si>
    <t>Mobilier et installations</t>
  </si>
  <si>
    <t>D'importance égale</t>
  </si>
  <si>
    <t>Propreté et entretien</t>
  </si>
  <si>
    <t>D'importance égale</t>
  </si>
  <si>
    <t>Mobilier et installations</t>
  </si>
  <si>
    <t>Propreté et entretien</t>
  </si>
  <si>
    <t>D'importance égale</t>
  </si>
  <si>
    <t>Propreté et entretien</t>
  </si>
  <si>
    <t>D'importance égale</t>
  </si>
  <si>
    <t>Mobilier et installations</t>
  </si>
  <si>
    <t>Propreté et entretien</t>
  </si>
  <si>
    <t>D'importance égale</t>
  </si>
  <si>
    <t>Propreté et entretien</t>
  </si>
  <si>
    <t>Mobilier et installations</t>
  </si>
  <si>
    <t>Propreté et entretien</t>
  </si>
  <si>
    <t>D'importance égale</t>
  </si>
  <si>
    <t>Propreté et entretien</t>
  </si>
  <si>
    <t>D'importance égale</t>
  </si>
  <si>
    <t>Propreté et entretien</t>
  </si>
  <si>
    <t>D'importance égale</t>
  </si>
  <si>
    <t>Propreté et entretien</t>
  </si>
  <si>
    <t>D'importance égale</t>
  </si>
  <si>
    <t>Mobilier et installations</t>
  </si>
  <si>
    <t>Propreté et entretien</t>
  </si>
  <si>
    <t>Jednako važno</t>
  </si>
  <si>
    <t>Čistoća i održavanje</t>
  </si>
  <si>
    <t>Jednako važno</t>
  </si>
  <si>
    <t>Čistoća i održavanje</t>
  </si>
  <si>
    <t>Jednako važno</t>
  </si>
  <si>
    <t>Opremljenost i objekti</t>
  </si>
  <si>
    <t>Čistoća i održavanje</t>
  </si>
  <si>
    <t>Jednako važno</t>
  </si>
  <si>
    <t>Čistoća i održavanje</t>
  </si>
  <si>
    <t>Jednako važno</t>
  </si>
  <si>
    <t>Opremljenost i objekti</t>
  </si>
  <si>
    <t>Jednako važno</t>
  </si>
  <si>
    <t>Čistoća i održavanje</t>
  </si>
  <si>
    <t>Jednako važno</t>
  </si>
  <si>
    <t>Opremljenost i objekti</t>
  </si>
  <si>
    <t>Jednako važno</t>
  </si>
  <si>
    <t>Pulizia e manutenzione</t>
  </si>
  <si>
    <t>Di uguale importanza</t>
  </si>
  <si>
    <t>Pulizia e manutenzione</t>
  </si>
  <si>
    <t>Di uguale importanza</t>
  </si>
  <si>
    <t>Arredi e servizi</t>
  </si>
  <si>
    <t>Pulizia e manutenzione</t>
  </si>
  <si>
    <t>Di uguale importanza</t>
  </si>
  <si>
    <t>Arredi e servizi</t>
  </si>
  <si>
    <t>Pulizia e manutenzione</t>
  </si>
  <si>
    <t>Równie ważne</t>
  </si>
  <si>
    <t>Czystość i konserwacja</t>
  </si>
  <si>
    <t>Równie ważne</t>
  </si>
  <si>
    <t>Meble i udogodnienia</t>
  </si>
  <si>
    <t>Równie ważne</t>
  </si>
  <si>
    <t>Czystość i konserwacja</t>
  </si>
  <si>
    <t>Równie ważne</t>
  </si>
  <si>
    <t>Czystość i konserwacja</t>
  </si>
  <si>
    <t>Równie ważne</t>
  </si>
  <si>
    <t>Czystość i konserwacja</t>
  </si>
  <si>
    <t>Równie ważne</t>
  </si>
  <si>
    <t>Czystość i konserwacja</t>
  </si>
  <si>
    <t>Równie ważne</t>
  </si>
  <si>
    <t>Czystość i konserwacja</t>
  </si>
  <si>
    <t>Równie ważne</t>
  </si>
  <si>
    <t>Czystość i konserwacja</t>
  </si>
  <si>
    <t>Równie ważne</t>
  </si>
  <si>
    <t>Czystość i konserwacja</t>
  </si>
  <si>
    <t>Równie ważne</t>
  </si>
  <si>
    <t>Czystość i konserwacja</t>
  </si>
  <si>
    <t>Meble i udogodnienia</t>
  </si>
  <si>
    <t>Czystość i konserwacja</t>
  </si>
  <si>
    <t>Równie ważne</t>
  </si>
  <si>
    <t>Czystość i konserwacja</t>
  </si>
  <si>
    <t>Równie ważne</t>
  </si>
  <si>
    <t>Meble i udogodnienia</t>
  </si>
  <si>
    <t>Czystość i konserwacja</t>
  </si>
  <si>
    <t>Równie ważne</t>
  </si>
  <si>
    <t>Czystość i konserwacja</t>
  </si>
  <si>
    <t>Meble i udogodnienia</t>
  </si>
  <si>
    <t>Równie ważne</t>
  </si>
  <si>
    <t>Meble i udogodnienia</t>
  </si>
  <si>
    <t>Czystość i konserwacja</t>
  </si>
  <si>
    <t>Równie ważne</t>
  </si>
  <si>
    <t>Czystość i konserwacja</t>
  </si>
  <si>
    <t>Równie ważne</t>
  </si>
  <si>
    <t>Czystość i konserwacja</t>
  </si>
  <si>
    <t>Równie ważne</t>
  </si>
  <si>
    <t>Czystość i konserwacja</t>
  </si>
  <si>
    <t>Równie ważne</t>
  </si>
  <si>
    <t>Meble i udogodnienia</t>
  </si>
  <si>
    <t>Czystość i konserwacja</t>
  </si>
  <si>
    <t>Równie ważne</t>
  </si>
  <si>
    <t>Czystość i konserwacja</t>
  </si>
  <si>
    <t>Meble i udogodnienia</t>
  </si>
  <si>
    <t>Czystość i konserwacja</t>
  </si>
  <si>
    <t>Równie ważne</t>
  </si>
  <si>
    <t>Meble i udogodnienia</t>
  </si>
  <si>
    <t>Równie ważne</t>
  </si>
  <si>
    <t>Czystość i konserwacja</t>
  </si>
  <si>
    <t>Równie ważne</t>
  </si>
  <si>
    <t>Czystość i konserwacja</t>
  </si>
  <si>
    <t>Równie ważne</t>
  </si>
  <si>
    <t>Czystość i konserwacja</t>
  </si>
  <si>
    <t>Równie ważne</t>
  </si>
  <si>
    <t>Meble i udogodnienia</t>
  </si>
  <si>
    <t>Równie ważne</t>
  </si>
  <si>
    <t>Czystość i konserwacja</t>
  </si>
  <si>
    <t>Równie ważne</t>
  </si>
  <si>
    <t>Czystość i konserwacja</t>
  </si>
  <si>
    <t>Równie ważne</t>
  </si>
  <si>
    <t>Meble i udogodnienia</t>
  </si>
  <si>
    <t>Równie ważne</t>
  </si>
  <si>
    <t>De igual importancia</t>
  </si>
  <si>
    <t>Mobiliario e instalaciones</t>
  </si>
  <si>
    <t>Limpieza y mantenimiento</t>
  </si>
  <si>
    <t>Mobiliario e instalaciones</t>
  </si>
  <si>
    <t>De igual importancia</t>
  </si>
  <si>
    <t>Limpieza y mantenimiento</t>
  </si>
  <si>
    <t>Mobiliario e instalaciones</t>
  </si>
  <si>
    <t>De igual importancia</t>
  </si>
  <si>
    <t>Mobiliario e instalaciones</t>
  </si>
  <si>
    <t>De igual importancia</t>
  </si>
  <si>
    <t>Mobiliario e instalaciones</t>
  </si>
  <si>
    <t>De igual importancia</t>
  </si>
  <si>
    <t>Limpieza y mantenimiento</t>
  </si>
  <si>
    <t>Mobiliario e instalaciones</t>
  </si>
  <si>
    <t>De igual importancia</t>
  </si>
  <si>
    <t>Limpieza y mantenimiento</t>
  </si>
  <si>
    <t>De igual importancia</t>
  </si>
  <si>
    <t>Limpieza y mantenimiento</t>
  </si>
  <si>
    <t>Mobiliario e instalaciones</t>
  </si>
  <si>
    <t>Limpieza y mantenimiento</t>
  </si>
  <si>
    <t>De igual importancia</t>
  </si>
  <si>
    <t>Mobiliario e instalaciones</t>
  </si>
  <si>
    <t>De igual importancia</t>
  </si>
  <si>
    <t>Mobiliario e instalaciones</t>
  </si>
  <si>
    <t>Limpieza y mantenimiento</t>
  </si>
  <si>
    <t>De igual importancia</t>
  </si>
  <si>
    <t>Mobiliario e instalaciones</t>
  </si>
  <si>
    <t>Limpieza y mantenimiento</t>
  </si>
  <si>
    <t>Mobiliario e instalaciones</t>
  </si>
  <si>
    <t>De igual importancia</t>
  </si>
  <si>
    <t>Limpieza y mantenimiento</t>
  </si>
  <si>
    <t>De igual importancia</t>
  </si>
  <si>
    <t>YouchoseCleanlinessandmaintenanceHowmuchmoreimportantisCleanli1</t>
  </si>
  <si>
    <t>YouchoseFurnitureandfacilitiesHowmuchmoreimportantisFurniturea1</t>
  </si>
  <si>
    <t>Whyoptional8</t>
  </si>
  <si>
    <t>Why? (optional)</t>
  </si>
  <si>
    <t>Infrastructures should be equipped with benches, toilets, water fountains, etc. cleanniness is also important but services should be available first</t>
  </si>
  <si>
    <t>As before</t>
  </si>
  <si>
    <t>'-</t>
  </si>
  <si>
    <t>Entretien surtout</t>
  </si>
  <si>
    <t>La propreté est essentielle pour l’image de marque propre et entretien c’est mieux que d’avoir des beaux sièges et de belles installations mais salle</t>
  </si>
  <si>
    <t>Pour bien s'y sentir</t>
  </si>
  <si>
    <t>Ma réponse à similiaire à la première, il faut que les transport soit accessible et donc adapté à toute personne</t>
  </si>
  <si>
    <t>Parce que la modernité des installations peut avoir un effet positif sur la conscience et le civisme</t>
  </si>
  <si>
    <t>je pense que le fait de rendre des infrastructure accessible à tous permet de développer la justice sociale et donc cela prime sur tout le reste</t>
  </si>
  <si>
    <t>'-</t>
  </si>
  <si>
    <t>ponctualité</t>
  </si>
  <si>
    <t>un mobilier très récent mal entretenu n'a aucun sens</t>
  </si>
  <si>
    <t>L’hygiene Prime</t>
  </si>
  <si>
    <t>Question de coût et de réalité. Il faut prévoir des escaliers roulants/ascenseurs mais on ne peut pas modifier à 100% une infrastructure  qui a plus d'un siècle.</t>
  </si>
  <si>
    <t>l'igiene e la pulizia degli spazi permettono di apprezzare treni/metro anche se privi di arredi di ultima generazione</t>
  </si>
  <si>
    <t>Vedere risposte precedenti</t>
  </si>
  <si>
    <t>Czas oczekiwania na peronie zazwyczaj nie jest bardzo długi, więc nawet bez mebli i infrastruktury zapewniającej wygodę mozna to zrobić. Czystość to często kwestia zdrowia, a czasem poczucia od razu niestey</t>
  </si>
  <si>
    <t>Tak</t>
  </si>
  <si>
    <t>Bo lepiej się nie przykleić do brudnego fotelu lub śmierdzieć menelem i wymiocinami</t>
  </si>
  <si>
    <t>tak</t>
  </si>
  <si>
    <t>Konserwacja czyli bezpieczeństwo ważniejsze niz zlote klamki</t>
  </si>
  <si>
    <t>Additional services, facilities and places are nothing without a clean, safe and organised public space.</t>
  </si>
  <si>
    <t>Obrazowo - nikt nie usiądzie na ławce pokrytej nieczystościami ptaków</t>
  </si>
  <si>
    <t>Wybieram brak krzesła w schludnym i miłym miejscu vs. dostępne dla wszystkich siedzenia ze stolikami w miejscu brudnym i pełnym podejrzanych osobników :)</t>
  </si>
  <si>
    <t>Wygodna przy nieczystym otoczeniu traci na wartości.</t>
  </si>
  <si>
    <t>Pozwala na poczucie większego bezpieczeństwa obywateli.</t>
  </si>
  <si>
    <t>przecież to się łączy</t>
  </si>
  <si>
    <t>,,</t>
  </si>
  <si>
    <t>czystość porządek</t>
  </si>
  <si>
    <t>bezpieczeństwo w podróży jest ważniejsze</t>
  </si>
  <si>
    <t>A</t>
  </si>
  <si>
    <t>Czystość i konserwacja, a zgodność z prawem gwarantuje dostępność dla wszystkich</t>
  </si>
  <si>
    <t>czyste środowisko</t>
  </si>
  <si>
    <t>b.o</t>
  </si>
  <si>
    <t>Ważniejsze wyposażenie, a dopiero potem jego czystość</t>
  </si>
  <si>
    <t>Nie ważne jakie urządzenia zaprojektujemy. Jeżeli nie będą one stale serwisowane, będą bezużyteczne.</t>
  </si>
  <si>
    <t>by służyło dłużej</t>
  </si>
  <si>
    <t>Si las instalaciones son viejas pero se mantienen bien me parece correcto. Importante que no sientas que te transportas en un baúl de suciedad</t>
  </si>
  <si>
    <t>adaptabilidad del servicio prestado</t>
  </si>
  <si>
    <t>No puede resultar excluyente o incómodo para ningún tipo de usuario/a. Personalmente la limpieza, el orden o la vigilancia es secundario.</t>
  </si>
  <si>
    <t>Limpieza antes que mobiliario</t>
  </si>
  <si>
    <t>Salud publica</t>
  </si>
  <si>
    <t>PUEDE SER VIEJO PERO BIEN MANTENIDO DA BUENAS VIBRACIONES</t>
  </si>
  <si>
    <t>LIMPIEZA Y MANTENIMIENTO DEBEN SER INHERENTES A LA INSTALACION Y NO HA LUGAR A VALORARLOS</t>
  </si>
  <si>
    <t>Por</t>
  </si>
  <si>
    <t>la limpieza es la base de la salud y sin salud no se puede hacer nada</t>
  </si>
  <si>
    <t>Whichofthesecharacteristicsismoreimportantfromyourpointofview9</t>
  </si>
  <si>
    <t>Which of these characteristics is more important from your point of view?</t>
  </si>
  <si>
    <t>Of equal importance</t>
  </si>
  <si>
    <t>Overcrowding and emergency situations</t>
  </si>
  <si>
    <t>Of equal importance</t>
  </si>
  <si>
    <t>Overcrowding and emergency situations</t>
  </si>
  <si>
    <t>Of equal importance</t>
  </si>
  <si>
    <t>Harassment and pickpocketing</t>
  </si>
  <si>
    <t>Of equal importance</t>
  </si>
  <si>
    <t>Harassment and pickpocketing</t>
  </si>
  <si>
    <t>Of equal importance</t>
  </si>
  <si>
    <t>Overcrowding and emergency situations</t>
  </si>
  <si>
    <t>Of equal importance</t>
  </si>
  <si>
    <t>Harassment and pickpocketing</t>
  </si>
  <si>
    <t>Of equal importance</t>
  </si>
  <si>
    <t>Overcrowding and emergency situations</t>
  </si>
  <si>
    <t>Harassment and pickpocketing</t>
  </si>
  <si>
    <t>Overcrowding and emergency situations</t>
  </si>
  <si>
    <t>Of equal importance</t>
  </si>
  <si>
    <t>Overcrowding and emergency situations</t>
  </si>
  <si>
    <t>Harassment and pickpocketing</t>
  </si>
  <si>
    <t>Of equal importance</t>
  </si>
  <si>
    <t>Overcrowding and emergency situations</t>
  </si>
  <si>
    <t>Harassment and pickpocketing</t>
  </si>
  <si>
    <t>Of equal importance</t>
  </si>
  <si>
    <t>Overcrowding and emergency situations</t>
  </si>
  <si>
    <t>Harassment and pickpocketing</t>
  </si>
  <si>
    <t>Overcrowding and emergency situations</t>
  </si>
  <si>
    <t>Harassment and pickpocketing</t>
  </si>
  <si>
    <t>Overcrowding and emergency situations</t>
  </si>
  <si>
    <t>Of equal importance</t>
  </si>
  <si>
    <t>Harassment and pickpocketing</t>
  </si>
  <si>
    <t>Overcrowding and emergency situations</t>
  </si>
  <si>
    <t>Of equal importance</t>
  </si>
  <si>
    <t>Overcrowding and emergency situations</t>
  </si>
  <si>
    <t>Of equal importance</t>
  </si>
  <si>
    <t>Overcrowding and emergency situations</t>
  </si>
  <si>
    <t>Of equal importance</t>
  </si>
  <si>
    <t>Harassment and pickpocketing</t>
  </si>
  <si>
    <t>Of equal importance</t>
  </si>
  <si>
    <t>Harassment and pickpocketing</t>
  </si>
  <si>
    <t>Of equal importance</t>
  </si>
  <si>
    <t>Overcrowding and emergency situations</t>
  </si>
  <si>
    <t>Of equal importance</t>
  </si>
  <si>
    <t>Harassment and pickpocketing</t>
  </si>
  <si>
    <t>Of equal importance</t>
  </si>
  <si>
    <t>Overcrowding and emergency situations</t>
  </si>
  <si>
    <t>D'importance égale</t>
  </si>
  <si>
    <t>Situations de congestion et d'urgence</t>
  </si>
  <si>
    <t>D'importance égale</t>
  </si>
  <si>
    <t>Situations de congestion et d'urgence</t>
  </si>
  <si>
    <t>D'importance égale</t>
  </si>
  <si>
    <t>Harcelement et pickpockets</t>
  </si>
  <si>
    <t>D'importance égale</t>
  </si>
  <si>
    <t>Harcelement et pickpockets</t>
  </si>
  <si>
    <t>D'importance égale</t>
  </si>
  <si>
    <t>Situations de congestion et d'urgence</t>
  </si>
  <si>
    <t>D'importance égale</t>
  </si>
  <si>
    <t>Situations de congestion et d'urgence</t>
  </si>
  <si>
    <t>D'importance égale</t>
  </si>
  <si>
    <t>Harcelement et pickpockets</t>
  </si>
  <si>
    <t>D'importance égale</t>
  </si>
  <si>
    <t>Harcelement et pickpockets</t>
  </si>
  <si>
    <t>Situations de congestion et d'urgence</t>
  </si>
  <si>
    <t>D'importance égale</t>
  </si>
  <si>
    <t>Harcelement et pickpockets</t>
  </si>
  <si>
    <t>Situations de congestion et d'urgence</t>
  </si>
  <si>
    <t>Harcelement et pickpockets</t>
  </si>
  <si>
    <t>D'importance égale</t>
  </si>
  <si>
    <t>Situations de congestion et d'urgence</t>
  </si>
  <si>
    <t>D'importance égale</t>
  </si>
  <si>
    <t>Situations de congestion et d'urgence</t>
  </si>
  <si>
    <t>Harcelement et pickpockets</t>
  </si>
  <si>
    <t>D'importance égale</t>
  </si>
  <si>
    <t>Harcelement et pickpockets</t>
  </si>
  <si>
    <t>D'importance égale</t>
  </si>
  <si>
    <t>Situations de congestion et d'urgence</t>
  </si>
  <si>
    <t>D'importance égale</t>
  </si>
  <si>
    <t>Harcelement et pickpockets</t>
  </si>
  <si>
    <t>D'importance égale</t>
  </si>
  <si>
    <t>Situations de congestion et d'urgence</t>
  </si>
  <si>
    <t>Harcelement et pickpockets</t>
  </si>
  <si>
    <t>Situations de congestion et d'urgence</t>
  </si>
  <si>
    <t>D'importance égale</t>
  </si>
  <si>
    <t>Harcelement et pickpockets</t>
  </si>
  <si>
    <t>D'importance égale</t>
  </si>
  <si>
    <t>Harcelement et pickpockets</t>
  </si>
  <si>
    <t>D'importance égale</t>
  </si>
  <si>
    <t>Situations de congestion et d'urgence</t>
  </si>
  <si>
    <t>Harcelement et pickpockets</t>
  </si>
  <si>
    <t>D'importance égale</t>
  </si>
  <si>
    <t>Harcelement et pickpockets</t>
  </si>
  <si>
    <t>Situations de congestion et d'urgence</t>
  </si>
  <si>
    <t>Harcelement et pickpockets</t>
  </si>
  <si>
    <t>Situations de congestion et d'urgence</t>
  </si>
  <si>
    <t>Harcelement et pickpockets</t>
  </si>
  <si>
    <t>Situations de congestion et d'urgence</t>
  </si>
  <si>
    <t>D'importance égale</t>
  </si>
  <si>
    <t>Situations de congestion et d'urgence</t>
  </si>
  <si>
    <t>Harcelement et pickpockets</t>
  </si>
  <si>
    <t>D'importance égale</t>
  </si>
  <si>
    <t>Harcelement et pickpockets</t>
  </si>
  <si>
    <t>D'importance égale</t>
  </si>
  <si>
    <t>Harcelement et pickpockets</t>
  </si>
  <si>
    <t>D'importance égale</t>
  </si>
  <si>
    <t>Harcelement et pickpockets</t>
  </si>
  <si>
    <t>Jednako važno</t>
  </si>
  <si>
    <t>Gužve i vanredne situacije</t>
  </si>
  <si>
    <t>Jednako važno</t>
  </si>
  <si>
    <t>Gužve i vanredne situacije</t>
  </si>
  <si>
    <t>Uznemiravanje i džeparenje</t>
  </si>
  <si>
    <t>Gužve i vanredne situacije</t>
  </si>
  <si>
    <t>Jednako važno</t>
  </si>
  <si>
    <t>Uznemiravanje i džeparenje</t>
  </si>
  <si>
    <t>Jednako važno</t>
  </si>
  <si>
    <t>Gužve i vanredne situacije</t>
  </si>
  <si>
    <t>Jednako važno</t>
  </si>
  <si>
    <t>Gužve i vanredne situacije</t>
  </si>
  <si>
    <t>Jednako važno</t>
  </si>
  <si>
    <t>Gužve i vanredne situacije</t>
  </si>
  <si>
    <t>Jednako važno</t>
  </si>
  <si>
    <t>Uznemiravanje i džeparenje</t>
  </si>
  <si>
    <t>Jednako važno</t>
  </si>
  <si>
    <t>Gužve i vanredne situacije</t>
  </si>
  <si>
    <t>Aglomeraciones y situaciones de emergencia</t>
  </si>
  <si>
    <t>Di uguale importanza</t>
  </si>
  <si>
    <t>Aglomeraciones y situaciones de emergencia</t>
  </si>
  <si>
    <t>Molestie e borseggi</t>
  </si>
  <si>
    <t>Di uguale importanza</t>
  </si>
  <si>
    <t>Molestie e borseggi</t>
  </si>
  <si>
    <t>Aglomeraciones y situaciones de emergencia</t>
  </si>
  <si>
    <t>Di uguale importanza</t>
  </si>
  <si>
    <t>Aglomeraciones y situaciones de emergencia</t>
  </si>
  <si>
    <t>Molestie e borseggi</t>
  </si>
  <si>
    <t>Natłok i sytuacje awaryjne</t>
  </si>
  <si>
    <t>Równie ważne</t>
  </si>
  <si>
    <t>Natłok i sytuacje awaryjne</t>
  </si>
  <si>
    <t>Nękanie i kradzieże</t>
  </si>
  <si>
    <t>Równie ważne</t>
  </si>
  <si>
    <t>Nękanie i kradzieże</t>
  </si>
  <si>
    <t>Natłok i sytuacje awaryjne</t>
  </si>
  <si>
    <t>Równie ważne</t>
  </si>
  <si>
    <t>Natłok i sytuacje awaryjne</t>
  </si>
  <si>
    <t>Równie ważne</t>
  </si>
  <si>
    <t>Natłok i sytuacje awaryjne</t>
  </si>
  <si>
    <t>Równie ważne</t>
  </si>
  <si>
    <t>Nękanie i kradzieże</t>
  </si>
  <si>
    <t>Natłok i sytuacje awaryjne</t>
  </si>
  <si>
    <t>Równie ważne</t>
  </si>
  <si>
    <t>Natłok i sytuacje awaryjne</t>
  </si>
  <si>
    <t>Nękanie i kradzieże</t>
  </si>
  <si>
    <t>Równie ważne</t>
  </si>
  <si>
    <t>Nękanie i kradzieże</t>
  </si>
  <si>
    <t>Równie ważne</t>
  </si>
  <si>
    <t>Natłok i sytuacje awaryjne</t>
  </si>
  <si>
    <t>Równie ważne</t>
  </si>
  <si>
    <t>Natłok i sytuacje awaryjne</t>
  </si>
  <si>
    <t>Równie ważne</t>
  </si>
  <si>
    <t>Natłok i sytuacje awaryjne</t>
  </si>
  <si>
    <t>Równie ważne</t>
  </si>
  <si>
    <t>Nękanie i kradzieże</t>
  </si>
  <si>
    <t>Równie ważne</t>
  </si>
  <si>
    <t>Natłok i sytuacje awaryjne</t>
  </si>
  <si>
    <t>Równie ważne</t>
  </si>
  <si>
    <t>Natłok i sytuacje awaryjne</t>
  </si>
  <si>
    <t>Równie ważne</t>
  </si>
  <si>
    <t>Natłok i sytuacje awaryjne</t>
  </si>
  <si>
    <t>Równie ważne</t>
  </si>
  <si>
    <t>Natłok i sytuacje awaryjne</t>
  </si>
  <si>
    <t>Równie ważne</t>
  </si>
  <si>
    <t>Natłok i sytuacje awaryjne</t>
  </si>
  <si>
    <t>Równie ważne</t>
  </si>
  <si>
    <t>Natłok i sytuacje awaryjne</t>
  </si>
  <si>
    <t>Nękanie i kradzieże</t>
  </si>
  <si>
    <t>Równie ważne</t>
  </si>
  <si>
    <t>Nękanie i kradzieże</t>
  </si>
  <si>
    <t>Równie ważne</t>
  </si>
  <si>
    <t>Natłok i sytuacje awaryjne</t>
  </si>
  <si>
    <t>Równie ważne</t>
  </si>
  <si>
    <t>Natłok i sytuacje awaryjne</t>
  </si>
  <si>
    <t>Równie ważne</t>
  </si>
  <si>
    <t>Natłok i sytuacje awaryjne</t>
  </si>
  <si>
    <t>Równie ważne</t>
  </si>
  <si>
    <t>Nękanie i kradzieże</t>
  </si>
  <si>
    <t>Równie ważne</t>
  </si>
  <si>
    <t>Nękanie i kradzieże</t>
  </si>
  <si>
    <t>Równie ważne</t>
  </si>
  <si>
    <t>Natłok i sytuacje awaryjne</t>
  </si>
  <si>
    <t>Nękanie i kradzieże</t>
  </si>
  <si>
    <t>Natłok i sytuacje awaryjne</t>
  </si>
  <si>
    <t>Nękanie i kradzieże</t>
  </si>
  <si>
    <t>Natłok i sytuacje awaryjne</t>
  </si>
  <si>
    <t>Nękanie i kradzieże</t>
  </si>
  <si>
    <t>Równie ważne</t>
  </si>
  <si>
    <t>Natłok i sytuacje awaryjne</t>
  </si>
  <si>
    <t>Równie ważne</t>
  </si>
  <si>
    <t>Natłok i sytuacje awaryjne</t>
  </si>
  <si>
    <t>Równie ważne</t>
  </si>
  <si>
    <t>Natłok i sytuacje awaryjne</t>
  </si>
  <si>
    <t>De igual importancia</t>
  </si>
  <si>
    <t>Aglomeraciones y situaciones de emergencia</t>
  </si>
  <si>
    <t>De igual importancia</t>
  </si>
  <si>
    <t>Acoso y hurtos</t>
  </si>
  <si>
    <t>Aglomeraciones y situaciones de emergencia</t>
  </si>
  <si>
    <t>Acoso y hurtos</t>
  </si>
  <si>
    <t>De igual importancia</t>
  </si>
  <si>
    <t>Acoso y hurtos</t>
  </si>
  <si>
    <t>De igual importancia</t>
  </si>
  <si>
    <t>Acoso y hurtos</t>
  </si>
  <si>
    <t>De igual importancia</t>
  </si>
  <si>
    <t>Aglomeraciones y situaciones de emergencia</t>
  </si>
  <si>
    <t>Acoso y hurtos</t>
  </si>
  <si>
    <t>De igual importancia</t>
  </si>
  <si>
    <t>Aglomeraciones y situaciones de emergencia</t>
  </si>
  <si>
    <t>De igual importancia</t>
  </si>
  <si>
    <t>Acoso y hurtos</t>
  </si>
  <si>
    <t>De igual importancia</t>
  </si>
  <si>
    <t>Aglomeraciones y situaciones de emergencia</t>
  </si>
  <si>
    <t>Acoso y hurtos</t>
  </si>
  <si>
    <t>De igual importancia</t>
  </si>
  <si>
    <t>Acoso y hurtos</t>
  </si>
  <si>
    <t>De igual importancia</t>
  </si>
  <si>
    <t>Aglomeraciones y situaciones de emergencia</t>
  </si>
  <si>
    <t>De igual importancia</t>
  </si>
  <si>
    <t>Aglomeraciones y situaciones de emergencia</t>
  </si>
  <si>
    <t>De igual importancia</t>
  </si>
  <si>
    <t>Acoso y hurtos</t>
  </si>
  <si>
    <t>De igual importancia</t>
  </si>
  <si>
    <t>Acoso y hurtos</t>
  </si>
  <si>
    <t>Aglomeraciones y situaciones de emergencia</t>
  </si>
  <si>
    <t>De igual importancia</t>
  </si>
  <si>
    <t>Acoso y hurtos</t>
  </si>
  <si>
    <t>De igual importancia</t>
  </si>
  <si>
    <t>YouchoseHarassmentandpickpocketingHowmuchmoreimportantisHarassm</t>
  </si>
  <si>
    <t>YouchoseOvercrowdingandemergencysituationsHowmuchmoreimportanti</t>
  </si>
  <si>
    <t>Whyoptional9</t>
  </si>
  <si>
    <t>Why? (optional)</t>
  </si>
  <si>
    <t>a less crowded train is less atractive for pickpocketman it easier to identify them</t>
  </si>
  <si>
    <t>p</t>
  </si>
  <si>
    <t>Due to low number of trains available, overcrowding happens quite a lot.</t>
  </si>
  <si>
    <t>If the place is overcrowded I think it is more likely to suffer from pickpocketing or harrassment</t>
  </si>
  <si>
    <t>sexual harassment is a huge fear when i take public transit</t>
  </si>
  <si>
    <t>We should not be too securitary cause it causes hypersurvillance problems</t>
  </si>
  <si>
    <t>Harassment and related crimes typically happen more frequently than emergencies...</t>
  </si>
  <si>
    <t>Above all harassment, I think the question should distinguish harassment an pickpocketing, separate in two questions, because harassment is of more gravity</t>
  </si>
  <si>
    <t>in emergency, life is at RISK</t>
  </si>
  <si>
    <t>I experience overcrowding on a regular basis.  I have never experienced pickpocketing and only experienced very occassional minor levels of harrasment</t>
  </si>
  <si>
    <t>I can not control croud</t>
  </si>
  <si>
    <t>.</t>
  </si>
  <si>
    <t>harassment is even more oppressing and maybe more likely when metro are crowded</t>
  </si>
  <si>
    <t>Woman more affected / targeted by harassment .  All genders affected equally by emergency situations</t>
  </si>
  <si>
    <t>I believe it's more important to prevent harassment although overcrowding can also lead to such situations</t>
  </si>
  <si>
    <t>'-</t>
  </si>
  <si>
    <t>les trains / métro RER bondés sont intenables, surtout en été où le réseau métro n'est pas climatisé</t>
  </si>
  <si>
    <t>`</t>
  </si>
  <si>
    <t>Les situations de harcèlement ou de vols peuvent également advenir hors de heures de grande affluence.</t>
  </si>
  <si>
    <t>Malgré des dispositifs (caméra, agents de sécurité)il y a encore trop d'insécurité dans les transports</t>
  </si>
  <si>
    <t>Il fait également que chaque personne soit responsable de ses effets personnels</t>
  </si>
  <si>
    <t>Securité</t>
  </si>
  <si>
    <t>afin d'éviter toutes agressions</t>
  </si>
  <si>
    <t>En tant que femme, je trouve que la surchauffe Encourage les mains baladeuses</t>
  </si>
  <si>
    <t>Meilleur confort en terme de voyage</t>
  </si>
  <si>
    <t>je pense que la surcharge est une cause du harcèlement et des pickpockets mais pas que donc si on réduit les pickpockets la surcharge devient moins problématique</t>
  </si>
  <si>
    <t>Si le transport est surchargé cela facilite le travail d'éventuels voleurs et harceleurs...</t>
  </si>
  <si>
    <t>On peut toujours choisir de prendre une autre rame ou de changer ses horaires. On ne choisit pas de se faire emmerder.</t>
  </si>
  <si>
    <t>pour permettre à chacun et chacune de prendre le métro sans sentiment d'insécurité.</t>
  </si>
  <si>
    <t>Conditions de transport très dégradé du fait de la surcharge des transports (ex : RER B)</t>
  </si>
  <si>
    <t>Surchauffe induit incivilités</t>
  </si>
  <si>
    <t>Il me paraît délicat d'associer situations de harcèlement et pickpockets. Le harcèlement me semble bcp plus grave que les pickpockets.</t>
  </si>
  <si>
    <t>L'opérateur fait déjà ce qu'il peut dans une situation saturée. En revanche je trouve qu'il n'y a pas assez de patrouilles visibles, en particulier la nuit</t>
  </si>
  <si>
    <t>la sécurité est essentielle</t>
  </si>
  <si>
    <t>En région parisienne, sur certaines lignes, il est quasiment obliger d'être en surcharge, sinon on ne monte jamais dans le train qui arrive déjà plein ! Les situations de harcèlement sont inacceptables.</t>
  </si>
  <si>
    <t>on peut supporter la proximité pas les agressions</t>
  </si>
  <si>
    <t>Ukoliko se osigura da nema guzve, onda ce mogucnosti kradje i dzeparenja biti manje.</t>
  </si>
  <si>
    <t>Komfor</t>
  </si>
  <si>
    <t>Ne sme da se dogodi.</t>
  </si>
  <si>
    <t>Garantendo un servizio non affollato e senza condizioni di emergenza vengono scoraggiate le molestie e furti</t>
  </si>
  <si>
    <t>Osobiste poczucie bezpieczeństwa jest ważniejsza niż komfort</t>
  </si>
  <si>
    <t>.</t>
  </si>
  <si>
    <t>tak</t>
  </si>
  <si>
    <t>Kiedy nie ma tłoku, łatwiej zauważyć niebezpieczne sytuacje</t>
  </si>
  <si>
    <t>Jechanie w tłoku nie jest takim problemem jak ryzyko pobicia czy okradzenia.</t>
  </si>
  <si>
    <t>Providing round-the-clock surveillance is able to prevent criminals from committing crimes in the public space. Unfortunately, avoiding overcrowding is not always possible and it doesn't necessarily depend on public transport management.</t>
  </si>
  <si>
    <t>To nie jest winą przewoźnika, że jedzie ze mną złodziej. Równie dobrze mógłby mnie okraść na ulicy.</t>
  </si>
  <si>
    <t>Bo jest to bardzo powszechne i zależne od przewoźnika</t>
  </si>
  <si>
    <t>Okraść nas może każdy wszędzie.</t>
  </si>
  <si>
    <t>By mniej było kradzieży, nękania</t>
  </si>
  <si>
    <t>Wpływa to bardziej na wybór innego środka transportu po nękania i kradzieży jest mniej niż problemów z transportem publicznym</t>
  </si>
  <si>
    <t>tłok sprzyja kradzieży i innym niepożądanym zdarzeniom</t>
  </si>
  <si>
    <t>Komfort podrózy</t>
  </si>
  <si>
    <t>natłok w komunikacji sprzyja kradzieżom, sytuacjom konfliktowym</t>
  </si>
  <si>
    <t>natłok zwiększa ryzyko kradzieży i brak bezpieczeństw, nie mówiąc już o komforcie podrózy</t>
  </si>
  <si>
    <t>każdy z nas powinien zadbać o swoje bezpieczeństwo, a natłok w środkach komunikacji społecznej powoduje iż ryzyko sytuacji niebezpiecznych a w szczególności kradzieży znacznie wzrasta.</t>
  </si>
  <si>
    <t>A</t>
  </si>
  <si>
    <t>Jeśli nie będzie bezpieczna, to nie da się korzystać</t>
  </si>
  <si>
    <t>Nikt nie lubi jeździć w tłoku</t>
  </si>
  <si>
    <t>pociągi ne powinny być przepełnione</t>
  </si>
  <si>
    <t>Policja jest odpowiedzialna za bezpieczeństwo</t>
  </si>
  <si>
    <t>b.o</t>
  </si>
  <si>
    <t>Transport powinien zapewniać bezpieczeństwo, nawet w sytuacjach awaryjnych i mniej komfortowych</t>
  </si>
  <si>
    <t>Ponieważ tłok w pociągach i innych środkach komunikacji miejskiej w Warszawie jest zjawiskiem codziennym, w dodatku bardzo ułatwia kradzieże, toteż traktuję tę kwestię priorytetowo.</t>
  </si>
  <si>
    <t>No he sufrido ningún acoso o hurto. Aglomeraciones si que es algo constante. Evitando aglomeraciones también se reduce el acoso o hurto</t>
  </si>
  <si>
    <t>necesitamos seguridad en el transporte porque si no optaremos por otras vias que contaminan mas</t>
  </si>
  <si>
    <t>prefiero sentirme segura</t>
  </si>
  <si>
    <t>son más habituales</t>
  </si>
  <si>
    <t>El acoso o el hurto es un problema social general y creo que debe afrontarse como tal a través de educación, concienciación… no instaurando un sistema un "estado policial". Las aglomeraciones en situaciones de emergencia sí pueden llevar a situaciones de peligro puntuales que han de saber gestionarse de la mejor forma posible.</t>
  </si>
  <si>
    <t>Los empleados del metro no son los responsables de la seguridad ante hurtos. Debe venir la policía</t>
  </si>
  <si>
    <t>SAFETY debe ser garantizada por otros medios. No es competencia directa de la organización del transporte</t>
  </si>
  <si>
    <t>Porque la seguridad debe garantizarse a nivel colectivo. Las consecuencias de aglomeraciones suelen peores que las de pequeños hurtos</t>
  </si>
  <si>
    <t>Por</t>
  </si>
  <si>
    <t>La integridad de las personas es la prioridad</t>
  </si>
  <si>
    <t>Whichofthesecharacteristicswillbemoreimportantfromyourpointofvi</t>
  </si>
  <si>
    <t>Which of these characteristics will be more important from your point of view?</t>
  </si>
  <si>
    <t>Design of the infrastructure</t>
  </si>
  <si>
    <t>Of equal importance</t>
  </si>
  <si>
    <t>Accessibility of the service</t>
  </si>
  <si>
    <t>Of equal importance</t>
  </si>
  <si>
    <t>Accessibility of the service</t>
  </si>
  <si>
    <t>Of equal importance</t>
  </si>
  <si>
    <t>Accessibility of the service</t>
  </si>
  <si>
    <t>Of equal importance</t>
  </si>
  <si>
    <t>Accessibility of the service</t>
  </si>
  <si>
    <t>Of equal importance</t>
  </si>
  <si>
    <t>Accessibility of the service</t>
  </si>
  <si>
    <t>Of equal importance</t>
  </si>
  <si>
    <t>Accessibility of the service</t>
  </si>
  <si>
    <t>Of equal importance</t>
  </si>
  <si>
    <t>Accessibility of the service</t>
  </si>
  <si>
    <t>Of equal importance</t>
  </si>
  <si>
    <t>Accessibility of the service</t>
  </si>
  <si>
    <t>Of equal importance</t>
  </si>
  <si>
    <t>Design of the infrastructure</t>
  </si>
  <si>
    <t>Accessibility of the service</t>
  </si>
  <si>
    <t>Of equal importance</t>
  </si>
  <si>
    <t>Design of the infrastructure</t>
  </si>
  <si>
    <t>Of equal importance</t>
  </si>
  <si>
    <t>Accessibility of the service</t>
  </si>
  <si>
    <t>Of equal importance</t>
  </si>
  <si>
    <t>Accessibility of the service</t>
  </si>
  <si>
    <t>Of equal importance</t>
  </si>
  <si>
    <t>Design of the infrastructure</t>
  </si>
  <si>
    <t>Of equal importance</t>
  </si>
  <si>
    <t>Accessibility of the service</t>
  </si>
  <si>
    <t>Of equal importance</t>
  </si>
  <si>
    <t>Accessibility of the service</t>
  </si>
  <si>
    <t>Of equal importance</t>
  </si>
  <si>
    <t>Accessibilité du service</t>
  </si>
  <si>
    <t>D'importance égale</t>
  </si>
  <si>
    <t>Accessibilité du service</t>
  </si>
  <si>
    <t>Conception de l'infrastructure</t>
  </si>
  <si>
    <t>D'importance égale</t>
  </si>
  <si>
    <t>Accessibilité du service</t>
  </si>
  <si>
    <t>Conception de l'infrastructure</t>
  </si>
  <si>
    <t>D'importance égale</t>
  </si>
  <si>
    <t>Accessibilité du service</t>
  </si>
  <si>
    <t>D'importance égale</t>
  </si>
  <si>
    <t>Conception de l'infrastructure</t>
  </si>
  <si>
    <t>D'importance égale</t>
  </si>
  <si>
    <t>Conception de l'infrastructure</t>
  </si>
  <si>
    <t>D'importance égale</t>
  </si>
  <si>
    <t>Accessibilité du service</t>
  </si>
  <si>
    <t>D'importance égale</t>
  </si>
  <si>
    <t>Conception de l'infrastructure</t>
  </si>
  <si>
    <t>D'importance égale</t>
  </si>
  <si>
    <t>Accessibilité du service</t>
  </si>
  <si>
    <t>D'importance égale</t>
  </si>
  <si>
    <t>Accessibilité du service</t>
  </si>
  <si>
    <t>D'importance égale</t>
  </si>
  <si>
    <t>Conception de l'infrastructure</t>
  </si>
  <si>
    <t>Accessibilité du service</t>
  </si>
  <si>
    <t>D'importance égale</t>
  </si>
  <si>
    <t>Accessibilité du service</t>
  </si>
  <si>
    <t>D'importance égale</t>
  </si>
  <si>
    <t>Accessibilité du service</t>
  </si>
  <si>
    <t>D'importance égale</t>
  </si>
  <si>
    <t>Accessibilité du service</t>
  </si>
  <si>
    <t>D'importance égale</t>
  </si>
  <si>
    <t>Conception de l'infrastructure</t>
  </si>
  <si>
    <t>Accessibilité du service</t>
  </si>
  <si>
    <t>D'importance égale</t>
  </si>
  <si>
    <t>Accessibilité du service</t>
  </si>
  <si>
    <t>D'importance égale</t>
  </si>
  <si>
    <t>Conception de l'infrastructure</t>
  </si>
  <si>
    <t>D'importance égale</t>
  </si>
  <si>
    <t>Conception de l'infrastructure</t>
  </si>
  <si>
    <t>D'importance égale</t>
  </si>
  <si>
    <t>Accessibilité du service</t>
  </si>
  <si>
    <t>D'importance égale</t>
  </si>
  <si>
    <t>Accessibilité du service</t>
  </si>
  <si>
    <t>D'importance égale</t>
  </si>
  <si>
    <t>Conception de l'infrastructure</t>
  </si>
  <si>
    <t>Accessibilité du service</t>
  </si>
  <si>
    <t>Conception de l'infrastructure</t>
  </si>
  <si>
    <t>Accessibilité du service</t>
  </si>
  <si>
    <t>D'importance égale</t>
  </si>
  <si>
    <t>Accessibilité du service</t>
  </si>
  <si>
    <t>Jednako važno</t>
  </si>
  <si>
    <t>Pristupačnost usluge</t>
  </si>
  <si>
    <t>Jednako važno</t>
  </si>
  <si>
    <t>Pristupačnost usluge</t>
  </si>
  <si>
    <t>Jednako važno</t>
  </si>
  <si>
    <t>Pristupačnost usluge</t>
  </si>
  <si>
    <t>Jednako važno</t>
  </si>
  <si>
    <t>Pristupačnost usluge</t>
  </si>
  <si>
    <t>Jednako važno</t>
  </si>
  <si>
    <t>Di uguale importanza</t>
  </si>
  <si>
    <t>Accesibilità del servizio</t>
  </si>
  <si>
    <t>Design di infrastrutture</t>
  </si>
  <si>
    <t>Di uguale importanza</t>
  </si>
  <si>
    <t>Accesibilità del servizio</t>
  </si>
  <si>
    <t>Di uguale importanza</t>
  </si>
  <si>
    <t>Accesibilità del servizio</t>
  </si>
  <si>
    <t>Równie ważne</t>
  </si>
  <si>
    <t>Dostępność usługi</t>
  </si>
  <si>
    <t>Równie ważne</t>
  </si>
  <si>
    <t>Dostępność usługi</t>
  </si>
  <si>
    <t>Równie ważne</t>
  </si>
  <si>
    <t>Projektowanie infrastruktury</t>
  </si>
  <si>
    <t>Dostępność usługi</t>
  </si>
  <si>
    <t>Równie ważne</t>
  </si>
  <si>
    <t>Dostępność usługi</t>
  </si>
  <si>
    <t>Projektowanie infrastruktury</t>
  </si>
  <si>
    <t>Dostępność usługi</t>
  </si>
  <si>
    <t>Równie ważne</t>
  </si>
  <si>
    <t>Dostępność usługi</t>
  </si>
  <si>
    <t>Równie ważne</t>
  </si>
  <si>
    <t>Projektowanie infrastruktury</t>
  </si>
  <si>
    <t>Równie ważne</t>
  </si>
  <si>
    <t>Dostępność usługi</t>
  </si>
  <si>
    <t>Równie ważne</t>
  </si>
  <si>
    <t>Dostępność usługi</t>
  </si>
  <si>
    <t>Równie ważne</t>
  </si>
  <si>
    <t>Dostępność usługi</t>
  </si>
  <si>
    <t>Projektowanie infrastruktury</t>
  </si>
  <si>
    <t>Dostępność usługi</t>
  </si>
  <si>
    <t>Równie ważne</t>
  </si>
  <si>
    <t>Dostępność usługi</t>
  </si>
  <si>
    <t>Projektowanie infrastruktury</t>
  </si>
  <si>
    <t>Dostępność usługi</t>
  </si>
  <si>
    <t>Równie ważne</t>
  </si>
  <si>
    <t>Dostępność usługi</t>
  </si>
  <si>
    <t>Równie ważne</t>
  </si>
  <si>
    <t>Dostępność usługi</t>
  </si>
  <si>
    <t>Równie ważne</t>
  </si>
  <si>
    <t>Dostępność usługi</t>
  </si>
  <si>
    <t>Równie ważne</t>
  </si>
  <si>
    <t>Dostępność usługi</t>
  </si>
  <si>
    <t>Równie ważne</t>
  </si>
  <si>
    <t>Dostępność usługi</t>
  </si>
  <si>
    <t>Równie ważne</t>
  </si>
  <si>
    <t>Dostępność usługi</t>
  </si>
  <si>
    <t>Równie ważne</t>
  </si>
  <si>
    <t>Dostępność usługi</t>
  </si>
  <si>
    <t>Równie ważne</t>
  </si>
  <si>
    <t>Dostępność usługi</t>
  </si>
  <si>
    <t>Równie ważne</t>
  </si>
  <si>
    <t>Dostępność usługi</t>
  </si>
  <si>
    <t>Równie ważne</t>
  </si>
  <si>
    <t>Dostępność usługi</t>
  </si>
  <si>
    <t>Projektowanie infrastruktury</t>
  </si>
  <si>
    <t>Równie ważne</t>
  </si>
  <si>
    <t>Dostępność usługi</t>
  </si>
  <si>
    <t>Równie ważne</t>
  </si>
  <si>
    <t>Dostępność usługi</t>
  </si>
  <si>
    <t>Równie ważne</t>
  </si>
  <si>
    <t>Dostępność usługi</t>
  </si>
  <si>
    <t>Równie ważne</t>
  </si>
  <si>
    <t>De igual importancia</t>
  </si>
  <si>
    <t>Diseño de la infraestructura</t>
  </si>
  <si>
    <t>Accesibilidad del servicio</t>
  </si>
  <si>
    <t>De igual importancia</t>
  </si>
  <si>
    <t>Accesibilidad del servicio</t>
  </si>
  <si>
    <t>De igual importancia</t>
  </si>
  <si>
    <t>Accesibilidad del servicio</t>
  </si>
  <si>
    <t>De igual importancia</t>
  </si>
  <si>
    <t>Accesibilidad del servicio</t>
  </si>
  <si>
    <t>De igual importancia</t>
  </si>
  <si>
    <t>Accesibilidad del servicio</t>
  </si>
  <si>
    <t>De igual importancia</t>
  </si>
  <si>
    <t>Accesibilidad del servicio</t>
  </si>
  <si>
    <t>De igual importancia</t>
  </si>
  <si>
    <t>Accesibilidad del servicio</t>
  </si>
  <si>
    <t>De igual importancia</t>
  </si>
  <si>
    <t>Accesibilidad del servicio</t>
  </si>
  <si>
    <t>De igual importancia</t>
  </si>
  <si>
    <t>Accesibilidad del servicio</t>
  </si>
  <si>
    <t>Diseño de la infraestructura</t>
  </si>
  <si>
    <t>Accesibilidad del servicio</t>
  </si>
  <si>
    <t>De igual importancia</t>
  </si>
  <si>
    <t>Accesibilidad del servicio</t>
  </si>
  <si>
    <t>De igual importancia</t>
  </si>
  <si>
    <t>Accesibilidad del servicio</t>
  </si>
  <si>
    <t>De igual importancia</t>
  </si>
  <si>
    <t>Accesibilidad del servicio</t>
  </si>
  <si>
    <t>De igual importancia</t>
  </si>
  <si>
    <t>Accesibilidad del servicio</t>
  </si>
  <si>
    <t>Diseño de la infraestructura</t>
  </si>
  <si>
    <t>Accesibilidad del servicio</t>
  </si>
  <si>
    <t>De igual importancia</t>
  </si>
  <si>
    <t>Accesibilidad del servicio</t>
  </si>
  <si>
    <t>De igual importancia</t>
  </si>
  <si>
    <t>Accesibilidad del servicio</t>
  </si>
  <si>
    <t>Diseño de la infraestructura</t>
  </si>
  <si>
    <t>YouchoseAccessibilityoftheserviceHowmuchmoreimportantisAccessib</t>
  </si>
  <si>
    <t>YouchoseDesignoftheinfrastructureHowmuchmoreimportantisDesignof</t>
  </si>
  <si>
    <t>Whyoptional10</t>
  </si>
  <si>
    <t>Why? (optional)</t>
  </si>
  <si>
    <t>Timescales - investment in good infrastructure lasts, but services can deteriorate on a political whim.</t>
  </si>
  <si>
    <t>We have to travel</t>
  </si>
  <si>
    <t>p</t>
  </si>
  <si>
    <t>It is vital for a train to arrive when scheduled in order for it to be a reliable transportation. Maintenance is important, but not as vital.</t>
  </si>
  <si>
    <t>human rights</t>
  </si>
  <si>
    <t>If the service is not available, the design of infrastructure is not relevant, as there are no clients attracted</t>
  </si>
  <si>
    <t>Personally impacts me more</t>
  </si>
  <si>
    <t>if I can't access something, it doesn't matter how beautiful it is</t>
  </si>
  <si>
    <t>If there is poor accessibility then the design does not matter...</t>
  </si>
  <si>
    <t>it’s disappointing when gorgeously designed infrastructure is only accessible to the rich/enabled/etc</t>
  </si>
  <si>
    <t>safety and cost of infrastructure</t>
  </si>
  <si>
    <t>If people can't access the system the can't use it, but poorly designed infrastructure can still be used.  Although design and accessiblity are interrelated.</t>
  </si>
  <si>
    <t>Safety reasons</t>
  </si>
  <si>
    <t>I'm blind so it needs to be accessible enough so I can use it idependently</t>
  </si>
  <si>
    <t>'-</t>
  </si>
  <si>
    <t>Être accessible et facile permet douvrir ce transport a tous ... confortable et bien pensé oui mais si c’est compliqué ça ne sert à rien</t>
  </si>
  <si>
    <t>L'essentiel avant l'agréable</t>
  </si>
  <si>
    <t>Securité</t>
  </si>
  <si>
    <t>je pense qu'il est plus important de pouvoir accéder et se mouvoir facliement dans un lieu plutôt que le service ait une bonne architecture</t>
  </si>
  <si>
    <t>Simplicité et confort d'accès sont plus importants</t>
  </si>
  <si>
    <t>encore une fois, la question d'égalité d'accès est fondamentale</t>
  </si>
  <si>
    <t>'-</t>
  </si>
  <si>
    <t>Bitno</t>
  </si>
  <si>
    <t>U sadašnjem vremenu se ne možemo pohvaliti nekim značajnim arhitektonskim rešenjima stanica a javni transport se i dalje koristi. Savremenom čoveku je bitnija kvalitetna i brza usluga prevoza a bolja arhitektura i izgled stanica/stajališta će svakako uticati na učestano korišćenje nekog vida prevoza a samim tim i na veće zadovoljstvo korisnika usluga.</t>
  </si>
  <si>
    <t>Możliwość skorzystania z usługi (intuicyjna, prosta, dostepna)  jest ważniejsza niż kwestie estetyczne, a nawet komfort luźnej przestrzeni czy wygodnych siedzen</t>
  </si>
  <si>
    <t>Lepsze zyski z biletów im więcej lini</t>
  </si>
  <si>
    <t>Trudno jest zadbać o jakość nieistniejących polaczen</t>
  </si>
  <si>
    <t>Najpiękniejsza stacja metra nie będzie dla mnie atrakcyjna, jesli nie mam jak do niej szybko dojechac (przykład: Fort Bema odleģły od stacji Księcia Janusza o 2km, puszczono 2 linie tylko, ktore poza szczytem jezdza co 15minut! - to jest fatalna dostępność).</t>
  </si>
  <si>
    <t>Nawet nie wiem czym z pasażerskiego punktu widzenia jest "projektowanie". A dostępność=możliwość skorzystania jest bardzo ważna.</t>
  </si>
  <si>
    <t>Nie rozumiem zamysłu pod powyższymi zagadnieniami</t>
  </si>
  <si>
    <t>Wole mieć jakikolwiek transport, niż mniejszy a ładniejszy.</t>
  </si>
  <si>
    <t>Lepiej żeby usługa była, niż żeby jej nie było, ale miała dobre wyposażenie (w teorii)</t>
  </si>
  <si>
    <t>Ważniejsza jest możliwość dotarcia do danego miejsca niż jego ogólny wygląd. Takie elementy można dopracować w późniejszym czasie.</t>
  </si>
  <si>
    <t>Transport publiczny powinien być dostępny dla wszystkich, nawet kosztem utraty udogodnień</t>
  </si>
  <si>
    <t>Ułatwia podróżowanie</t>
  </si>
  <si>
    <t>,,</t>
  </si>
  <si>
    <t>Dostępność mniej obawy o dojazdy w krótkim czasie, do pracy, ważne spotkania, nie przewidziane sytuacje rodzinne</t>
  </si>
  <si>
    <t>Niech transport najpierw będzie - potem można poprawić jego jakość.</t>
  </si>
  <si>
    <t>chcę dojechać</t>
  </si>
  <si>
    <t>Łatwość przemieszczania się</t>
  </si>
  <si>
    <t>dla mnie ważna jest również jakość podróży  i jej komfort</t>
  </si>
  <si>
    <t>Ważniejsze jest by mieć dostępny środek komunikacji, a jego architektura jest sprawą drugorzędną</t>
  </si>
  <si>
    <t>dostępność jest ważna</t>
  </si>
  <si>
    <t>b.o</t>
  </si>
  <si>
    <t>Bez dostępności usługi niewiele da dostępność do infrastruktury</t>
  </si>
  <si>
    <t>facilidad !</t>
  </si>
  <si>
    <t>facilidad de uso</t>
  </si>
  <si>
    <t>Si alguien no puede acceder que mas da el diseño</t>
  </si>
  <si>
    <t>Whichofthesecharacteristicswillbemoreimportantfromyourpointofv1</t>
  </si>
  <si>
    <t>Which of these characteristics will be more important from your point of view?</t>
  </si>
  <si>
    <t>Safety and security</t>
  </si>
  <si>
    <t>Accessibility of the service</t>
  </si>
  <si>
    <t>Safety and security</t>
  </si>
  <si>
    <t>Of equal importance</t>
  </si>
  <si>
    <t>Safety and security</t>
  </si>
  <si>
    <t>Of equal importance</t>
  </si>
  <si>
    <t>Safety and security</t>
  </si>
  <si>
    <t>Of equal importance</t>
  </si>
  <si>
    <t>Safety and security</t>
  </si>
  <si>
    <t>Of equal importance</t>
  </si>
  <si>
    <t>Accessibility of the service</t>
  </si>
  <si>
    <t>Of equal importance</t>
  </si>
  <si>
    <t>Accessibility of the service</t>
  </si>
  <si>
    <t>Safety and security</t>
  </si>
  <si>
    <t>Of equal importance</t>
  </si>
  <si>
    <t>Safety and security</t>
  </si>
  <si>
    <t>Of equal importance</t>
  </si>
  <si>
    <t>Safety and security</t>
  </si>
  <si>
    <t>Of equal importance</t>
  </si>
  <si>
    <t>Accessibility of the service</t>
  </si>
  <si>
    <t>Safety and security</t>
  </si>
  <si>
    <t>Of equal importance</t>
  </si>
  <si>
    <t>Accessibility of the service</t>
  </si>
  <si>
    <t>Of equal importance</t>
  </si>
  <si>
    <t>Accessibility of the service</t>
  </si>
  <si>
    <t>Of equal importance</t>
  </si>
  <si>
    <t>Safety and security</t>
  </si>
  <si>
    <t>Of equal importance</t>
  </si>
  <si>
    <t>Accessibility of the service</t>
  </si>
  <si>
    <t>Of equal importance</t>
  </si>
  <si>
    <t>Safety and security</t>
  </si>
  <si>
    <t>Of equal importance</t>
  </si>
  <si>
    <t>Safety and security</t>
  </si>
  <si>
    <t>Of equal importance</t>
  </si>
  <si>
    <t>D'importance égale</t>
  </si>
  <si>
    <t>Sécurité</t>
  </si>
  <si>
    <t>D'importance égale</t>
  </si>
  <si>
    <t>Sécurité</t>
  </si>
  <si>
    <t>Accessibilité du service</t>
  </si>
  <si>
    <t>Sécurité</t>
  </si>
  <si>
    <t>D'importance égale</t>
  </si>
  <si>
    <t>Sécurité</t>
  </si>
  <si>
    <t>D'importance égale</t>
  </si>
  <si>
    <t>Sécurité</t>
  </si>
  <si>
    <t>D'importance égale</t>
  </si>
  <si>
    <t>Sécurité</t>
  </si>
  <si>
    <t>D'importance égale</t>
  </si>
  <si>
    <t>Accessibilité du service</t>
  </si>
  <si>
    <t>Sécurité</t>
  </si>
  <si>
    <t>Accessibilité du service</t>
  </si>
  <si>
    <t>Sécurité</t>
  </si>
  <si>
    <t>D'importance égale</t>
  </si>
  <si>
    <t>Sécurité</t>
  </si>
  <si>
    <t>D'importance égale</t>
  </si>
  <si>
    <t>Accessibilité du service</t>
  </si>
  <si>
    <t>D'importance égale</t>
  </si>
  <si>
    <t>Sécurité</t>
  </si>
  <si>
    <t>D'importance égale</t>
  </si>
  <si>
    <t>Sécurité</t>
  </si>
  <si>
    <t>D'importance égale</t>
  </si>
  <si>
    <t>Sécurité</t>
  </si>
  <si>
    <t>D'importance égale</t>
  </si>
  <si>
    <t>Accessibilité du service</t>
  </si>
  <si>
    <t>D'importance égale</t>
  </si>
  <si>
    <t>Accessibilité du service</t>
  </si>
  <si>
    <t>Sécurité</t>
  </si>
  <si>
    <t>Accessibilité du service</t>
  </si>
  <si>
    <t>Sécurité</t>
  </si>
  <si>
    <t>D'importance égale</t>
  </si>
  <si>
    <t>Accessibilité du service</t>
  </si>
  <si>
    <t>D'importance égale</t>
  </si>
  <si>
    <t>Accessibilité du service</t>
  </si>
  <si>
    <t>Sécurité</t>
  </si>
  <si>
    <t>D'importance égale</t>
  </si>
  <si>
    <t>Accessibilité du service</t>
  </si>
  <si>
    <t>Sécurité</t>
  </si>
  <si>
    <t>D'importance égale</t>
  </si>
  <si>
    <t>Sécurité</t>
  </si>
  <si>
    <t>Jednako važno</t>
  </si>
  <si>
    <t>Bezbednost i sigurnost</t>
  </si>
  <si>
    <t>Jednako važno</t>
  </si>
  <si>
    <t>Bezbednost i sigurnost</t>
  </si>
  <si>
    <t>Pristupačnost usluge</t>
  </si>
  <si>
    <t>Jednako važno</t>
  </si>
  <si>
    <t>Pristupačnost usluge</t>
  </si>
  <si>
    <t>Jednako važno</t>
  </si>
  <si>
    <t>Bezbednost i sigurnost</t>
  </si>
  <si>
    <t>Jednako važno</t>
  </si>
  <si>
    <t>Bezbednost i sigurnost</t>
  </si>
  <si>
    <t>Jednako važno</t>
  </si>
  <si>
    <t>Bezbednost i sigurnost</t>
  </si>
  <si>
    <t>Jednako važno</t>
  </si>
  <si>
    <t>Di uguale importanza</t>
  </si>
  <si>
    <t>Sicurezza</t>
  </si>
  <si>
    <t>Accesibilità del servizio</t>
  </si>
  <si>
    <t>Sicurezza</t>
  </si>
  <si>
    <t>Accesibilità del servizio</t>
  </si>
  <si>
    <t>Di uguale importanza</t>
  </si>
  <si>
    <t>Accesibilità del servizio</t>
  </si>
  <si>
    <t>Di uguale importanza</t>
  </si>
  <si>
    <t>Accesibilità del servizio</t>
  </si>
  <si>
    <t>Bezpieczeństwo i ochrona</t>
  </si>
  <si>
    <t>Dostępność usługi</t>
  </si>
  <si>
    <t>Równie ważne</t>
  </si>
  <si>
    <t>Dostępność usługi</t>
  </si>
  <si>
    <t>Bezpieczeństwo i ochrona</t>
  </si>
  <si>
    <t>Równie ważne</t>
  </si>
  <si>
    <t>Bezpieczeństwo i ochrona</t>
  </si>
  <si>
    <t>Równie ważne</t>
  </si>
  <si>
    <t>Bezpieczeństwo i ochrona</t>
  </si>
  <si>
    <t>Równie ważne</t>
  </si>
  <si>
    <t>Bezpieczeństwo i ochrona</t>
  </si>
  <si>
    <t>Dostępność usługi</t>
  </si>
  <si>
    <t>Bezpieczeństwo i ochrona</t>
  </si>
  <si>
    <t>Równie ważne</t>
  </si>
  <si>
    <t>Dostępność usługi</t>
  </si>
  <si>
    <t>Równie ważne</t>
  </si>
  <si>
    <t>Bezpieczeństwo i ochrona</t>
  </si>
  <si>
    <t>Dostępność usługi</t>
  </si>
  <si>
    <t>Równie ważne</t>
  </si>
  <si>
    <t>Bezpieczeństwo i ochrona</t>
  </si>
  <si>
    <t>Równie ważne</t>
  </si>
  <si>
    <t>Bezpieczeństwo i ochrona</t>
  </si>
  <si>
    <t>Równie ważne</t>
  </si>
  <si>
    <t>Bezpieczeństwo i ochrona</t>
  </si>
  <si>
    <t>Dostępność usługi</t>
  </si>
  <si>
    <t>Równie ważne</t>
  </si>
  <si>
    <t>Dostępność usługi</t>
  </si>
  <si>
    <t>Bezpieczeństwo i ochrona</t>
  </si>
  <si>
    <t>Równie ważne</t>
  </si>
  <si>
    <t>Dostępność usługi</t>
  </si>
  <si>
    <t>Bezpieczeństwo i ochrona</t>
  </si>
  <si>
    <t>Dostępność usługi</t>
  </si>
  <si>
    <t>Równie ważne</t>
  </si>
  <si>
    <t>Dostępność usługi</t>
  </si>
  <si>
    <t>Równie ważne</t>
  </si>
  <si>
    <t>Bezpieczeństwo i ochrona</t>
  </si>
  <si>
    <t>Równie ważne</t>
  </si>
  <si>
    <t>Dostępność usługi</t>
  </si>
  <si>
    <t>Równie ważne</t>
  </si>
  <si>
    <t>Bezpieczeństwo i ochrona</t>
  </si>
  <si>
    <t>Równie ważne</t>
  </si>
  <si>
    <t>Bezpieczeństwo i ochrona</t>
  </si>
  <si>
    <t>Równie ważne</t>
  </si>
  <si>
    <t>Dostępność usługi</t>
  </si>
  <si>
    <t>Równie ważne</t>
  </si>
  <si>
    <t>Bezpieczeństwo i ochrona</t>
  </si>
  <si>
    <t>Równie ważne</t>
  </si>
  <si>
    <t>Dostępność usługi</t>
  </si>
  <si>
    <t>Bezpieczeństwo i ochrona</t>
  </si>
  <si>
    <t>Równie ważne</t>
  </si>
  <si>
    <t>Dostępność usługi</t>
  </si>
  <si>
    <t>Równie ważne</t>
  </si>
  <si>
    <t>Bezpieczeństwo i ochrona</t>
  </si>
  <si>
    <t>Dostępność usługi</t>
  </si>
  <si>
    <t>Równie ważne</t>
  </si>
  <si>
    <t>Bezpieczeństwo i ochrona</t>
  </si>
  <si>
    <t>Równie ważne</t>
  </si>
  <si>
    <t>Bezpieczeństwo i ochrona</t>
  </si>
  <si>
    <t>Równie ważne</t>
  </si>
  <si>
    <t>De igual importancia</t>
  </si>
  <si>
    <t>Accesibilidad del servicio</t>
  </si>
  <si>
    <t>De igual importancia</t>
  </si>
  <si>
    <t>Accesibilidad del servicio</t>
  </si>
  <si>
    <t>De igual importancia</t>
  </si>
  <si>
    <t>Accesibilidad del servicio</t>
  </si>
  <si>
    <t>De igual importancia</t>
  </si>
  <si>
    <t>Accesibilidad del servicio</t>
  </si>
  <si>
    <t>De igual importancia</t>
  </si>
  <si>
    <t>Seguridad y vigilancia</t>
  </si>
  <si>
    <t>De igual importancia</t>
  </si>
  <si>
    <t>Seguridad y vigilancia</t>
  </si>
  <si>
    <t>De igual importancia</t>
  </si>
  <si>
    <t>Accesibilidad del servicio</t>
  </si>
  <si>
    <t>De igual importancia</t>
  </si>
  <si>
    <t>Accesibilidad del servicio</t>
  </si>
  <si>
    <t>De igual importancia</t>
  </si>
  <si>
    <t>Seguridad y vigilancia</t>
  </si>
  <si>
    <t>Accesibilidad del servicio</t>
  </si>
  <si>
    <t>De igual importancia</t>
  </si>
  <si>
    <t>Seguridad y vigilancia</t>
  </si>
  <si>
    <t>De igual importancia</t>
  </si>
  <si>
    <t>Accesibilidad del servicio</t>
  </si>
  <si>
    <t>Seguridad y vigilancia</t>
  </si>
  <si>
    <t>De igual importancia</t>
  </si>
  <si>
    <t>Seguridad y vigilancia</t>
  </si>
  <si>
    <t>De igual importancia</t>
  </si>
  <si>
    <t>YouchoseAccessibilityoftheserviceHowmuchmoreimportantisAccessi1</t>
  </si>
  <si>
    <t>YouchoseSafetyandsecurityHowmuchmoreimportantisSafetyandsecurit</t>
  </si>
  <si>
    <t>Whyoptional11</t>
  </si>
  <si>
    <t>Why? (optional)</t>
  </si>
  <si>
    <t>Concerns about safety affect more people than accessibility, and the priorities of the majority has more influence for a commercial service. Not that this is right, but it is how things currently operate.</t>
  </si>
  <si>
    <t>a more accessible service is likely to be safer</t>
  </si>
  <si>
    <t>p</t>
  </si>
  <si>
    <t>Accessibility is vital for reliable transportation.</t>
  </si>
  <si>
    <t>No point on services being accessible if you don't feel safe using them</t>
  </si>
  <si>
    <t>it's a new technology with many unknowns</t>
  </si>
  <si>
    <t>i feel safer in newer systems anyway</t>
  </si>
  <si>
    <t>safety at high speed +NO OVERCOST</t>
  </si>
  <si>
    <t>Within Europe safety and security are given high priority already, accessiblity tends to be forgotten or poorly implemented.</t>
  </si>
  <si>
    <t>'-</t>
  </si>
  <si>
    <t>Être sur à tout heure et à tout moment pour tous c’est essentiel pour se transporter</t>
  </si>
  <si>
    <t>Pour que les usagers s'y sentent bien.</t>
  </si>
  <si>
    <t>La sécurité passe avant tout</t>
  </si>
  <si>
    <t>Securité =adhésion au service</t>
  </si>
  <si>
    <t>La sécurité est a cause des gens….</t>
  </si>
  <si>
    <t>A</t>
  </si>
  <si>
    <t>La sécurité reste la chose primordial dans les transports</t>
  </si>
  <si>
    <t>C'est ce qui garantira un usage paritaire</t>
  </si>
  <si>
    <t>L'accessibilité est un des maillons de la sécurité. Lorsqu'il est difficile de s'installer, lorsque c'est mal éclairé, plein de recoins, le sentiment d'insécurité joue aussi. La sécurité, ce n'est pas que des patrouilles, c'est aussi une conception initiale qui permet de se sentir en sécurité</t>
  </si>
  <si>
    <t>Il vaut mieux arriver un peu plus tard mais en sécurité. Si la sécurité n'est pas suffisante, on ne prend pas le transport.</t>
  </si>
  <si>
    <t>assurer la sécurité des usagers est une priorité</t>
  </si>
  <si>
    <t>s'agissant d'un mode de transport inconnu je pense que la confiance est un préalable</t>
  </si>
  <si>
    <t>La sécurité est meilleure comparée à une vingtaine d'années mais elle ne doit pas être le prétexte pour diminuer la vitesse des trains.</t>
  </si>
  <si>
    <t>'-</t>
  </si>
  <si>
    <t>Pa niko ne želi da pogine, bude povređen, odžeparen...</t>
  </si>
  <si>
    <t>Bo jeśli usługa jest niedostępna, to co z tego, że jest chroniona?</t>
  </si>
  <si>
    <t>Poczucie bezpieczeństwa jest w ogóle jedna z podstawowych wartości dla mnie, nie tylko e rak zagrożenia jest pierwszym warunkiem, że by w ogóle rozważać możliwość skorzystania , uslugi</t>
  </si>
  <si>
    <t>.</t>
  </si>
  <si>
    <t>Bo jak mnie ktoś zaczepi to dostanie za swoje</t>
  </si>
  <si>
    <t>tak</t>
  </si>
  <si>
    <t>Jak w poprzednim pytaniu.</t>
  </si>
  <si>
    <t>Safer transport = more people keen to use it. 
More people using public transport = smaller human impact on the environment and fewer traffic jams in the rush hours.</t>
  </si>
  <si>
    <t>Chcę czuć się bezpiecznie</t>
  </si>
  <si>
    <t>Bo bez dostępności nie ma co ochraniac</t>
  </si>
  <si>
    <t>Jakość usługi w tym dobre zabezpieczenia jednocześnie wpływają na bezpieczeństwo</t>
  </si>
  <si>
    <t>Mniej niebezpiecznych sytuacji, przestępstw</t>
  </si>
  <si>
    <t>aby czuć sie bezpiecznie</t>
  </si>
  <si>
    <t>b.o</t>
  </si>
  <si>
    <t>Jeżeli korzystanie z transportu publicznego będzie stanowiło zagrożenia dla zdrowia lub życia, to ludzie będą starali się go unikać.</t>
  </si>
  <si>
    <t>Las personas que tienen un mal comportamiento seguirán teniéndolo pese a la vigilancia.</t>
  </si>
  <si>
    <t>Me</t>
  </si>
  <si>
    <t>la seguridad y vigilancia no deben ser competencia del transporte</t>
  </si>
  <si>
    <t>Whichofthesecharacteristicsismoreimportantfromyourpointofview10</t>
  </si>
  <si>
    <t>Which of these characteristics is more important from your point of view?</t>
  </si>
  <si>
    <t>Safety and security</t>
  </si>
  <si>
    <t>Design of the infrastructure</t>
  </si>
  <si>
    <t>Safety and security</t>
  </si>
  <si>
    <t>Of equal importance</t>
  </si>
  <si>
    <t>Safety and security</t>
  </si>
  <si>
    <t>Of equal importance</t>
  </si>
  <si>
    <t>Design of the infrastructure</t>
  </si>
  <si>
    <t>Safety and security</t>
  </si>
  <si>
    <t>Of equal importance</t>
  </si>
  <si>
    <t>Design of the infrastructure</t>
  </si>
  <si>
    <t>Of equal importance</t>
  </si>
  <si>
    <t>Safety and security</t>
  </si>
  <si>
    <t>Of equal importance</t>
  </si>
  <si>
    <t>Safety and security</t>
  </si>
  <si>
    <t>Of equal importance</t>
  </si>
  <si>
    <t>Safety and security</t>
  </si>
  <si>
    <t>Of equal importance</t>
  </si>
  <si>
    <t>Safety and security</t>
  </si>
  <si>
    <t>Of equal importance</t>
  </si>
  <si>
    <t>Safety and security</t>
  </si>
  <si>
    <t>Of equal importance</t>
  </si>
  <si>
    <t>Design of the infrastructure</t>
  </si>
  <si>
    <t>Safety and security</t>
  </si>
  <si>
    <t>Design of the infrastructure</t>
  </si>
  <si>
    <t>Of equal importance</t>
  </si>
  <si>
    <t>Safety and security</t>
  </si>
  <si>
    <t>Of equal importance</t>
  </si>
  <si>
    <t>Design of the infrastructure</t>
  </si>
  <si>
    <t>Of equal importance</t>
  </si>
  <si>
    <t>Design of the infrastructure</t>
  </si>
  <si>
    <t>Of equal importance</t>
  </si>
  <si>
    <t>Safety and security</t>
  </si>
  <si>
    <t>Of equal importance</t>
  </si>
  <si>
    <t>Safety and security</t>
  </si>
  <si>
    <t>Of equal importance</t>
  </si>
  <si>
    <t>Sécurité</t>
  </si>
  <si>
    <t>D'importance égale</t>
  </si>
  <si>
    <t>Sécurité</t>
  </si>
  <si>
    <t>D'importance égale</t>
  </si>
  <si>
    <t>Sécurité</t>
  </si>
  <si>
    <t>D'importance égale</t>
  </si>
  <si>
    <t>Sécurité</t>
  </si>
  <si>
    <t>D'importance égale</t>
  </si>
  <si>
    <t>Sécurité</t>
  </si>
  <si>
    <t>D'importance égale</t>
  </si>
  <si>
    <t>Sécurité</t>
  </si>
  <si>
    <t>D'importance égale</t>
  </si>
  <si>
    <t>Conception de l'infrastructure</t>
  </si>
  <si>
    <t>D'importance égale</t>
  </si>
  <si>
    <t>Sécurité</t>
  </si>
  <si>
    <t>D'importance égale</t>
  </si>
  <si>
    <t>Sécurité</t>
  </si>
  <si>
    <t>D'importance égale</t>
  </si>
  <si>
    <t>Conception de l'infrastructure</t>
  </si>
  <si>
    <t>D'importance égale</t>
  </si>
  <si>
    <t>Conception de l'infrastructure</t>
  </si>
  <si>
    <t>Sécurité</t>
  </si>
  <si>
    <t>D'importance égale</t>
  </si>
  <si>
    <t>Sécurité</t>
  </si>
  <si>
    <t>D'importance égale</t>
  </si>
  <si>
    <t>Conception de l'infrastructure</t>
  </si>
  <si>
    <t>D'importance égale</t>
  </si>
  <si>
    <t>Sécurité</t>
  </si>
  <si>
    <t>D'importance égale</t>
  </si>
  <si>
    <t>Sécurité</t>
  </si>
  <si>
    <t>D'importance égale</t>
  </si>
  <si>
    <t>Sécurité</t>
  </si>
  <si>
    <t>D'importance égale</t>
  </si>
  <si>
    <t>Sécurité</t>
  </si>
  <si>
    <t>D'importance égale</t>
  </si>
  <si>
    <t>Sécurité</t>
  </si>
  <si>
    <t>D'importance égale</t>
  </si>
  <si>
    <t>Sécurité</t>
  </si>
  <si>
    <t>Conception de l'infrastructure</t>
  </si>
  <si>
    <t>Sécurité</t>
  </si>
  <si>
    <t>D'importance égale</t>
  </si>
  <si>
    <t>Sécurité</t>
  </si>
  <si>
    <t>Conception de l'infrastructure</t>
  </si>
  <si>
    <t>Sécurité</t>
  </si>
  <si>
    <t>D'importance égale</t>
  </si>
  <si>
    <t>Conception de l'infrastructure</t>
  </si>
  <si>
    <t>D'importance égale</t>
  </si>
  <si>
    <t>Sécurité</t>
  </si>
  <si>
    <t>D'importance égale</t>
  </si>
  <si>
    <t>Sécurité</t>
  </si>
  <si>
    <t>D'importance égale</t>
  </si>
  <si>
    <t>Sécurité</t>
  </si>
  <si>
    <t>D'importance égale</t>
  </si>
  <si>
    <t>Sécurité</t>
  </si>
  <si>
    <t>Of equal importance</t>
  </si>
  <si>
    <t>Bezbednost i sigurnost</t>
  </si>
  <si>
    <t>Of equal importance</t>
  </si>
  <si>
    <t>Bezbednost i sigurnost</t>
  </si>
  <si>
    <t>Dizajn infrastrukture</t>
  </si>
  <si>
    <t>Bezbednost i sigurnost</t>
  </si>
  <si>
    <t>Of equal importance</t>
  </si>
  <si>
    <t>Bezbednost i sigurnost</t>
  </si>
  <si>
    <t>Of equal importance</t>
  </si>
  <si>
    <t>Bezbednost i sigurnost</t>
  </si>
  <si>
    <t>Of equal importance</t>
  </si>
  <si>
    <t>Bezbednost i sigurnost</t>
  </si>
  <si>
    <t>Of equal importance</t>
  </si>
  <si>
    <t>Sicurezza</t>
  </si>
  <si>
    <t>Di uguale importanza</t>
  </si>
  <si>
    <t>Sicurezza</t>
  </si>
  <si>
    <t>Di uguale importanza</t>
  </si>
  <si>
    <t>Design di infrastrutture</t>
  </si>
  <si>
    <t>Sicurezza</t>
  </si>
  <si>
    <t>Di uguale importanza</t>
  </si>
  <si>
    <t>Sicurezza</t>
  </si>
  <si>
    <t>Równie ważne</t>
  </si>
  <si>
    <t>Bezpieczeństwo i ochrona</t>
  </si>
  <si>
    <t>Projektowanie infrastruktury</t>
  </si>
  <si>
    <t>Równie ważne</t>
  </si>
  <si>
    <t>Bezpieczeństwo i ochrona</t>
  </si>
  <si>
    <t>Projektowanie infrastruktury</t>
  </si>
  <si>
    <t>Bezpieczeństwo i ochrona</t>
  </si>
  <si>
    <t>Równie ważne</t>
  </si>
  <si>
    <t>Bezpieczeństwo i ochrona</t>
  </si>
  <si>
    <t>Projektowanie infrastruktury</t>
  </si>
  <si>
    <t>Równie ważne</t>
  </si>
  <si>
    <t>Bezpieczeństwo i ochrona</t>
  </si>
  <si>
    <t>Równie ważne</t>
  </si>
  <si>
    <t>Bezpieczeństwo i ochrona</t>
  </si>
  <si>
    <t>Równie ważne</t>
  </si>
  <si>
    <t>Projektowanie infrastruktury</t>
  </si>
  <si>
    <t>Bezpieczeństwo i ochrona</t>
  </si>
  <si>
    <t>Równie ważne</t>
  </si>
  <si>
    <t>Bezpieczeństwo i ochrona</t>
  </si>
  <si>
    <t>Równie ważne</t>
  </si>
  <si>
    <t>Bezpieczeństwo i ochrona</t>
  </si>
  <si>
    <t>Projektowanie infrastruktury</t>
  </si>
  <si>
    <t>Bezpieczeństwo i ochrona</t>
  </si>
  <si>
    <t>Projektowanie infrastruktury</t>
  </si>
  <si>
    <t>Bezpieczeństwo i ochrona</t>
  </si>
  <si>
    <t>Równie ważne</t>
  </si>
  <si>
    <t>Bezpieczeństwo i ochrona</t>
  </si>
  <si>
    <t>Projektowanie infrastruktury</t>
  </si>
  <si>
    <t>Bezpieczeństwo i ochrona</t>
  </si>
  <si>
    <t>Równie ważne</t>
  </si>
  <si>
    <t>Bezpieczeństwo i ochrona</t>
  </si>
  <si>
    <t>Równie ważne</t>
  </si>
  <si>
    <t>Projektowanie infrastruktury</t>
  </si>
  <si>
    <t>Równie ważne</t>
  </si>
  <si>
    <t>Bezpieczeństwo i ochrona</t>
  </si>
  <si>
    <t>Równie ważne</t>
  </si>
  <si>
    <t>Bezpieczeństwo i ochrona</t>
  </si>
  <si>
    <t>Równie ważne</t>
  </si>
  <si>
    <t>Projektowanie infrastruktury</t>
  </si>
  <si>
    <t>Bezpieczeństwo i ochrona</t>
  </si>
  <si>
    <t>Projektowanie infrastruktury</t>
  </si>
  <si>
    <t>Równie ważne</t>
  </si>
  <si>
    <t>Bezpieczeństwo i ochrona</t>
  </si>
  <si>
    <t>Równie ważne</t>
  </si>
  <si>
    <t>Bezpieczeństwo i ochrona</t>
  </si>
  <si>
    <t>Równie ważne</t>
  </si>
  <si>
    <t>Bezpieczeństwo i ochrona</t>
  </si>
  <si>
    <t>Projektowanie infrastruktury</t>
  </si>
  <si>
    <t>Bezpieczeństwo i ochrona</t>
  </si>
  <si>
    <t>Równie ważne</t>
  </si>
  <si>
    <t>Projektowanie infrastruktury</t>
  </si>
  <si>
    <t>Bezpieczeństwo i ochrona</t>
  </si>
  <si>
    <t>Równie ważne</t>
  </si>
  <si>
    <t>Projektowanie infrastruktury</t>
  </si>
  <si>
    <t>Bezpieczeństwo i ochrona</t>
  </si>
  <si>
    <t>Równie ważne</t>
  </si>
  <si>
    <t>Bezpieczeństwo i ochrona</t>
  </si>
  <si>
    <t>Równie ważne</t>
  </si>
  <si>
    <t>Bezpieczeństwo i ochrona</t>
  </si>
  <si>
    <t>Równie ważne</t>
  </si>
  <si>
    <t>Bezpieczeństwo i ochrona</t>
  </si>
  <si>
    <t>De igual importancia</t>
  </si>
  <si>
    <t>Seguridad y vigilancia</t>
  </si>
  <si>
    <t>De igual importancia</t>
  </si>
  <si>
    <t>Diseño de la infraestructura</t>
  </si>
  <si>
    <t>Seguridad y vigilancia</t>
  </si>
  <si>
    <t>De igual importancia</t>
  </si>
  <si>
    <t>Diseño de la infraestructura</t>
  </si>
  <si>
    <t>Seguridad y vigilancia</t>
  </si>
  <si>
    <t>De igual importancia</t>
  </si>
  <si>
    <t>Diseño de la infraestructura</t>
  </si>
  <si>
    <t>De igual importancia</t>
  </si>
  <si>
    <t>Diseño de la infraestructura</t>
  </si>
  <si>
    <t>De igual importancia</t>
  </si>
  <si>
    <t>Seguridad y vigilancia</t>
  </si>
  <si>
    <t>De igual importancia</t>
  </si>
  <si>
    <t>Seguridad y vigilancia</t>
  </si>
  <si>
    <t>De igual importancia</t>
  </si>
  <si>
    <t>Diseño de la infraestructura</t>
  </si>
  <si>
    <t>De igual importancia</t>
  </si>
  <si>
    <t>Diseño de la infraestructura</t>
  </si>
  <si>
    <t>Seguridad y vigilancia</t>
  </si>
  <si>
    <t>De igual importancia</t>
  </si>
  <si>
    <t>Seguridad y vigilancia</t>
  </si>
  <si>
    <t>Diseño de la infraestructura</t>
  </si>
  <si>
    <t>De igual importancia</t>
  </si>
  <si>
    <t>Diseño de la infraestructura</t>
  </si>
  <si>
    <t>Seguridad y vigilancia</t>
  </si>
  <si>
    <t>De igual importancia</t>
  </si>
  <si>
    <t>Diseño de la infraestructura</t>
  </si>
  <si>
    <t>Seguridad y vigilancia</t>
  </si>
  <si>
    <t>De igual importancia</t>
  </si>
  <si>
    <t>YouchoseDesignoftheinfrastructureHowmuchmoreimportantisDesigno1</t>
  </si>
  <si>
    <t>YouchoseSafetyandsecurityHowmuchmoreimportantisSafetyandsecuri1</t>
  </si>
  <si>
    <t>Whyoptional12</t>
  </si>
  <si>
    <t>Why? (optional)</t>
  </si>
  <si>
    <t>Design of infrastructure affects safety, but safety extends beyond infrastructure to operational things too.</t>
  </si>
  <si>
    <t>good design can help with the perceptions of safety and security</t>
  </si>
  <si>
    <t>Because If safety means "more cops", it's not more safe. Maybe infrastructure can be safier.</t>
  </si>
  <si>
    <t>p</t>
  </si>
  <si>
    <t>more important to feel safe than have something designed optimally</t>
  </si>
  <si>
    <t>Again, I don't care how wonderful the infrastructure is, if I don't feel safe I wont use it.</t>
  </si>
  <si>
    <t>I prefer safety. I can manage a pur design not burglair</t>
  </si>
  <si>
    <t>.</t>
  </si>
  <si>
    <t>Personal safety is hugely important</t>
  </si>
  <si>
    <t>Doesn't matter how good it looks or comfortable it is if it is unsafe to use</t>
  </si>
  <si>
    <t>'-</t>
  </si>
  <si>
    <t>Sécurité avant le confort c’est essentiel</t>
  </si>
  <si>
    <t>Priorité à la sécurité.</t>
  </si>
  <si>
    <t>La sécurité passe avant tou</t>
  </si>
  <si>
    <t>Sécurité est présente a cause de la stupidité des gens...</t>
  </si>
  <si>
    <t>J ai le sentiment que le sentiment de sécurité est manumipulable. Je suis une femme</t>
  </si>
  <si>
    <t>Je pense qu'il vaut mieux que les gens soient en sécurité plutôt que dans une bonne infrastructure, de plus si on promeut la sécurité on sera obligé d'avoir des infrastructures sécuritaires</t>
  </si>
  <si>
    <t>Civilité et bienveillance sont plus importants</t>
  </si>
  <si>
    <t>les notions de sécurité influenceront sur la conception de l'infrastructure</t>
  </si>
  <si>
    <t>Cf; réponse précédente</t>
  </si>
  <si>
    <t>un service peu sur ne sera pas utilisé aussi bon soit-il</t>
  </si>
  <si>
    <t>même réponse que précédemment</t>
  </si>
  <si>
    <t>'-</t>
  </si>
  <si>
    <t>Bezbednost korisnika usluga/uređajaja mora biti na najvišem mogućem nivou kako bi se na svaki način zaštitio ljudski život.</t>
  </si>
  <si>
    <t>'-</t>
  </si>
  <si>
    <t>Bezpieczeństwo jest raczej subiektywne</t>
  </si>
  <si>
    <t>Jw. Poczucie bezpieczeństwa osobistego jest warunkiem wyjściowym:)</t>
  </si>
  <si>
    <t>Żeby było bezpiecznie</t>
  </si>
  <si>
    <t>Lepiej przeżyć w brzydkim</t>
  </si>
  <si>
    <t>Chcę być bezpieczna, to widzę i odczuwam. Jak kto projektuje, to już sprawa fachowców.</t>
  </si>
  <si>
    <t>W ładnym ale niebezpiecznym miejscu nie będę czuła się dobrze</t>
  </si>
  <si>
    <t>Projektowanie infrastruktury jest niewystarczająco opisane; więc nie wiem.</t>
  </si>
  <si>
    <t>Lubie czuć się bezpiecznie</t>
  </si>
  <si>
    <t>Może być brzydsze ale żeby ochrona wyzucala meneli którzy rozkoszą choroby , śmierdzą i załatwiają się pod siebie a czasami są agresywni</t>
  </si>
  <si>
    <t>Ochrona jest ważniejsza niż utrzymanie środków komunikacji w określonym "stylu architektoniczym"</t>
  </si>
  <si>
    <t>Ważniejsze jest poczucie bezpieczeństwa.</t>
  </si>
  <si>
    <t>Mało istotne jest jak wyglada infrastruktura jeżeli jest niebezpiecznie</t>
  </si>
  <si>
    <t>,,</t>
  </si>
  <si>
    <t>chcę dojechać bezpiecznie</t>
  </si>
  <si>
    <t>Dostępność</t>
  </si>
  <si>
    <t>chcę podróżować w bezpiecznych warunkach</t>
  </si>
  <si>
    <t>podczas podóży chcę przede wszystkim czuć się bezpiecznie</t>
  </si>
  <si>
    <t>Moim zdaniem bezpieczeństwo jest najwazniejsze</t>
  </si>
  <si>
    <t>Jeśli nie będzie: Bezpieczeństwa i ochrony, nie da się korzystać</t>
  </si>
  <si>
    <t>infrastruktura jest ważna</t>
  </si>
  <si>
    <t>b.o</t>
  </si>
  <si>
    <t>Tak jak poprzednio. Nikt nie będzie korzystał z transportu jak będzie on niebezpieczny.</t>
  </si>
  <si>
    <t>Necesito poder trasladarme cómodamente. Muchas personas pasan 1:30h al día en transporte público</t>
  </si>
  <si>
    <t>Me parece mejor</t>
  </si>
  <si>
    <t>la seguridad no debe ser competencia del trANSPORTRE</t>
  </si>
  <si>
    <t>ResidentialDetailsWheredoyoucurrentlylive</t>
  </si>
  <si>
    <t>You selected "Other". Please specify if you wish:</t>
  </si>
  <si>
    <t>United Kindgdom</t>
  </si>
  <si>
    <t>Switzerland</t>
  </si>
  <si>
    <t>France</t>
  </si>
  <si>
    <t>United Kindgdom</t>
  </si>
  <si>
    <t>France</t>
  </si>
  <si>
    <t>The Netherlands</t>
  </si>
  <si>
    <t>Italy</t>
  </si>
  <si>
    <t>France</t>
  </si>
  <si>
    <t>Portugal</t>
  </si>
  <si>
    <t>Poland</t>
  </si>
  <si>
    <t>United Kindgdom</t>
  </si>
  <si>
    <t>Belgium</t>
  </si>
  <si>
    <t>France</t>
  </si>
  <si>
    <t>Spain</t>
  </si>
  <si>
    <t>United Kindgdom</t>
  </si>
  <si>
    <t>Italy</t>
  </si>
  <si>
    <t>France</t>
  </si>
  <si>
    <t>United Kindgdom</t>
  </si>
  <si>
    <t>Italy</t>
  </si>
  <si>
    <t>Austria (Vienna)</t>
  </si>
  <si>
    <t>Italy</t>
  </si>
  <si>
    <t>The Netherlands</t>
  </si>
  <si>
    <t>Italy</t>
  </si>
  <si>
    <t>United States</t>
  </si>
  <si>
    <t>Spain</t>
  </si>
  <si>
    <t>Canada</t>
  </si>
  <si>
    <t>Italy</t>
  </si>
  <si>
    <t>Austria</t>
  </si>
  <si>
    <t>United Kindgdom</t>
  </si>
  <si>
    <t>Greece</t>
  </si>
  <si>
    <t>Russia</t>
  </si>
  <si>
    <t>Italy</t>
  </si>
  <si>
    <t>Greece</t>
  </si>
  <si>
    <t>United Kindgdom</t>
  </si>
  <si>
    <t>France</t>
  </si>
  <si>
    <t>United Kindgdom</t>
  </si>
  <si>
    <t>France</t>
  </si>
  <si>
    <t>United Kindgdom</t>
  </si>
  <si>
    <t>France</t>
  </si>
  <si>
    <t>United Kindgdom</t>
  </si>
  <si>
    <t>Poland</t>
  </si>
  <si>
    <t>United Kindgdom</t>
  </si>
  <si>
    <t>Spain</t>
  </si>
  <si>
    <t>United Kindgdom</t>
  </si>
  <si>
    <t>Italy</t>
  </si>
  <si>
    <t>France</t>
  </si>
  <si>
    <t>Pays-Bas</t>
  </si>
  <si>
    <t>France</t>
  </si>
  <si>
    <t>Serbia</t>
  </si>
  <si>
    <t>Italy</t>
  </si>
  <si>
    <t>Poland</t>
  </si>
  <si>
    <t>Spain</t>
  </si>
  <si>
    <t>YouselectedOtherPleasespecifyifyouwish</t>
  </si>
  <si>
    <t>You selected "Other". Please specify if you wish:</t>
  </si>
  <si>
    <t>Switzerland</t>
  </si>
  <si>
    <t>The Netherlands</t>
  </si>
  <si>
    <t>Portugal</t>
  </si>
  <si>
    <t>Belgium</t>
  </si>
  <si>
    <t>Austria (Vienna)</t>
  </si>
  <si>
    <t>The Netherlands</t>
  </si>
  <si>
    <t>United States</t>
  </si>
  <si>
    <t>Canada</t>
  </si>
  <si>
    <t>Austria</t>
  </si>
  <si>
    <t>Greece</t>
  </si>
  <si>
    <t>Russia</t>
  </si>
  <si>
    <t>Greece</t>
  </si>
  <si>
    <t>Pays-Bas</t>
  </si>
  <si>
    <t>Doyouconsideryourselftoliveina</t>
  </si>
  <si>
    <t>Do you consider yourself to live in a:</t>
  </si>
  <si>
    <t>An urban environment</t>
  </si>
  <si>
    <t>Rural environment</t>
  </si>
  <si>
    <t>An urban environment</t>
  </si>
  <si>
    <t>Suburban environment</t>
  </si>
  <si>
    <t>An urban environment</t>
  </si>
  <si>
    <t>Suburban environment</t>
  </si>
  <si>
    <t>An urban environment</t>
  </si>
  <si>
    <t>Rural environment</t>
  </si>
  <si>
    <t>An urban environment</t>
  </si>
  <si>
    <t>Rural environment</t>
  </si>
  <si>
    <t>An urban environment</t>
  </si>
  <si>
    <t>Rural environment</t>
  </si>
  <si>
    <t>An urban environment</t>
  </si>
  <si>
    <t>Suburban environment</t>
  </si>
  <si>
    <t>An urban environment</t>
  </si>
  <si>
    <t>Suburban environment</t>
  </si>
  <si>
    <t>An urban environment</t>
  </si>
  <si>
    <t>Suburban environment</t>
  </si>
  <si>
    <t>An urban environment</t>
  </si>
  <si>
    <t>Suburban environment</t>
  </si>
  <si>
    <t>An urban environment</t>
  </si>
  <si>
    <t>Suburban environment</t>
  </si>
  <si>
    <t>An urban environment</t>
  </si>
  <si>
    <t>Rural environment</t>
  </si>
  <si>
    <t>An urban environment</t>
  </si>
  <si>
    <t>Rural environment</t>
  </si>
  <si>
    <t>An urban environment</t>
  </si>
  <si>
    <t>Rural environment</t>
  </si>
  <si>
    <t>An urban environment</t>
  </si>
  <si>
    <t>Suburban environment</t>
  </si>
  <si>
    <t>An urban environment</t>
  </si>
  <si>
    <t>Rural environment</t>
  </si>
  <si>
    <t>An urban environment</t>
  </si>
  <si>
    <t>Suburban environment</t>
  </si>
  <si>
    <t>An urban environment</t>
  </si>
  <si>
    <t>Rural environment</t>
  </si>
  <si>
    <t>An urban environment</t>
  </si>
  <si>
    <t>Rural environment</t>
  </si>
  <si>
    <t>An urban environment</t>
  </si>
  <si>
    <t>Suburban environment</t>
  </si>
  <si>
    <t>An urban environment</t>
  </si>
  <si>
    <t>Suburban environment</t>
  </si>
  <si>
    <t>An urban environment</t>
  </si>
  <si>
    <t>Suburban environment</t>
  </si>
  <si>
    <t>An urban environment</t>
  </si>
  <si>
    <t>Suburban environment</t>
  </si>
  <si>
    <t>An urban environment</t>
  </si>
  <si>
    <t>Suburban environment</t>
  </si>
  <si>
    <t>An urban environment</t>
  </si>
  <si>
    <t>Suburban environment</t>
  </si>
  <si>
    <t>An urban environment</t>
  </si>
  <si>
    <t>Suburban environment</t>
  </si>
  <si>
    <t>An urban environment</t>
  </si>
  <si>
    <t>Rural environment</t>
  </si>
  <si>
    <t>An urban environment</t>
  </si>
  <si>
    <t>Rural environment</t>
  </si>
  <si>
    <t>An urban environment</t>
  </si>
  <si>
    <t>Rural environment</t>
  </si>
  <si>
    <t>An urban environment</t>
  </si>
  <si>
    <t>Środowisko miejskie</t>
  </si>
  <si>
    <t>Środowisko podmiejskie</t>
  </si>
  <si>
    <t>Środowisko miejskie</t>
  </si>
  <si>
    <t>Środowisko podmiejskie</t>
  </si>
  <si>
    <t>Środowisko miejskie</t>
  </si>
  <si>
    <t>Środowisko podmiejskie</t>
  </si>
  <si>
    <t>Środowisko miejskie</t>
  </si>
  <si>
    <t>Środowisko podmiejskie</t>
  </si>
  <si>
    <t>Środowisko miejskie</t>
  </si>
  <si>
    <t>Środowisko wiejskie</t>
  </si>
  <si>
    <t>Środowisko miejskie</t>
  </si>
  <si>
    <t>Środowisko podmiejskie</t>
  </si>
  <si>
    <t>Środowisko miejskie</t>
  </si>
  <si>
    <t>Środowisko wiejskie</t>
  </si>
  <si>
    <t>Środowisko miejskie</t>
  </si>
  <si>
    <t>Środowisko podmiejskie</t>
  </si>
  <si>
    <t>Środowisko miejskie</t>
  </si>
  <si>
    <t>Środowisko podmiejskie</t>
  </si>
  <si>
    <t>Środowisko miejskie</t>
  </si>
  <si>
    <t>Środowisko podmiejskie</t>
  </si>
  <si>
    <t>Środowisko miejskie</t>
  </si>
  <si>
    <t>Środowisko podmiejskie</t>
  </si>
  <si>
    <t>Środowisko wiejskie</t>
  </si>
  <si>
    <t>Środowisko miejskie</t>
  </si>
  <si>
    <t>Środowisko podmiejskie</t>
  </si>
  <si>
    <t>Środowisko miejskie</t>
  </si>
  <si>
    <t>Środowisko podmiejskie</t>
  </si>
  <si>
    <t>Środowisko miejskie</t>
  </si>
  <si>
    <t>Środowisko wiejskie</t>
  </si>
  <si>
    <t>Środowisko miejskie</t>
  </si>
  <si>
    <t>Środowisko podmiejskie</t>
  </si>
  <si>
    <t>Środowisko miejskie</t>
  </si>
  <si>
    <t>Środowisko podmiejskie</t>
  </si>
  <si>
    <t>Środowisko miejskie</t>
  </si>
  <si>
    <t>An urban environment</t>
  </si>
  <si>
    <t>Rural environment</t>
  </si>
  <si>
    <t>An urban environment</t>
  </si>
  <si>
    <t>Suburban environment</t>
  </si>
  <si>
    <t>An urban environment</t>
  </si>
  <si>
    <t>Rural environment</t>
  </si>
  <si>
    <t>An urban environment</t>
  </si>
  <si>
    <t>Rural environment</t>
  </si>
  <si>
    <t>An urban environment</t>
  </si>
  <si>
    <t>Rural environment</t>
  </si>
  <si>
    <t>An urban environment</t>
  </si>
  <si>
    <t>Rural environment</t>
  </si>
  <si>
    <t>An urban environment</t>
  </si>
  <si>
    <t>Suburban environment</t>
  </si>
  <si>
    <t>An urban environment</t>
  </si>
  <si>
    <t>Rural environment</t>
  </si>
  <si>
    <t>Suburban environment</t>
  </si>
  <si>
    <t>Whatagebracketareyou</t>
  </si>
  <si>
    <t>What age bracket are you?</t>
  </si>
  <si>
    <t>45-54 years</t>
  </si>
  <si>
    <t>25-34 years</t>
  </si>
  <si>
    <t>18-24 years</t>
  </si>
  <si>
    <t>65-74 years</t>
  </si>
  <si>
    <t>25-34 years</t>
  </si>
  <si>
    <t>18-24 years</t>
  </si>
  <si>
    <t>45-54 years</t>
  </si>
  <si>
    <t>25-34 years</t>
  </si>
  <si>
    <t>45-54 years</t>
  </si>
  <si>
    <t>25-34 years</t>
  </si>
  <si>
    <t>35-44 years</t>
  </si>
  <si>
    <t>25-34 years</t>
  </si>
  <si>
    <t>35-44 years</t>
  </si>
  <si>
    <t>65-74 years</t>
  </si>
  <si>
    <t>35-44 years</t>
  </si>
  <si>
    <t>45-54 years</t>
  </si>
  <si>
    <t>25-34 years</t>
  </si>
  <si>
    <t>45-54 years</t>
  </si>
  <si>
    <t>35-44 years</t>
  </si>
  <si>
    <t>55-64 years</t>
  </si>
  <si>
    <t>35-44 years</t>
  </si>
  <si>
    <t>18-24 years</t>
  </si>
  <si>
    <t>25-34 years</t>
  </si>
  <si>
    <t>18-24 years</t>
  </si>
  <si>
    <t>35-44 years</t>
  </si>
  <si>
    <t>18-24 years</t>
  </si>
  <si>
    <t>55-64 years</t>
  </si>
  <si>
    <t>25-34 years</t>
  </si>
  <si>
    <t>35-44 years</t>
  </si>
  <si>
    <t>25-34 years</t>
  </si>
  <si>
    <t>45-54 years</t>
  </si>
  <si>
    <t>35-44 years</t>
  </si>
  <si>
    <t>25-34 years</t>
  </si>
  <si>
    <t>55-64 years</t>
  </si>
  <si>
    <t>18-24 years</t>
  </si>
  <si>
    <t>25-34 years</t>
  </si>
  <si>
    <t>35-44 years</t>
  </si>
  <si>
    <t>18-24 years</t>
  </si>
  <si>
    <t>45-54 years</t>
  </si>
  <si>
    <t>18-24 years</t>
  </si>
  <si>
    <t>35-44 years</t>
  </si>
  <si>
    <t>25-34 years</t>
  </si>
  <si>
    <t>45-54 years</t>
  </si>
  <si>
    <t>25-34 years</t>
  </si>
  <si>
    <t>35-44 years</t>
  </si>
  <si>
    <t>45-54 years</t>
  </si>
  <si>
    <t>65-74 years</t>
  </si>
  <si>
    <t>35-44 years</t>
  </si>
  <si>
    <t>45-54 years</t>
  </si>
  <si>
    <t>65-74 years</t>
  </si>
  <si>
    <t>45-54 years</t>
  </si>
  <si>
    <t>35-44 years</t>
  </si>
  <si>
    <t>45-54 years</t>
  </si>
  <si>
    <t>18-24 years</t>
  </si>
  <si>
    <t>55-64 years</t>
  </si>
  <si>
    <t>25-34 years</t>
  </si>
  <si>
    <t>18-24 years</t>
  </si>
  <si>
    <t>35-44 years</t>
  </si>
  <si>
    <t>25-34 years</t>
  </si>
  <si>
    <t>45-54 years</t>
  </si>
  <si>
    <t>35-44 years</t>
  </si>
  <si>
    <t>55-64 years</t>
  </si>
  <si>
    <t>45-54 years</t>
  </si>
  <si>
    <t>55-64 years</t>
  </si>
  <si>
    <t>25-34 years</t>
  </si>
  <si>
    <t>35-44 years</t>
  </si>
  <si>
    <t>45-54 years</t>
  </si>
  <si>
    <t>35-44 years</t>
  </si>
  <si>
    <t>18-24 years</t>
  </si>
  <si>
    <t>45-54 years</t>
  </si>
  <si>
    <t>25-34 years</t>
  </si>
  <si>
    <t>45-54 years</t>
  </si>
  <si>
    <t>65-74 years</t>
  </si>
  <si>
    <t>35-44 years</t>
  </si>
  <si>
    <t>45-54 years</t>
  </si>
  <si>
    <t>18-24 years</t>
  </si>
  <si>
    <t>55-64 years</t>
  </si>
  <si>
    <t>25-34 years</t>
  </si>
  <si>
    <t>35-44 years</t>
  </si>
  <si>
    <t>55-64 years</t>
  </si>
  <si>
    <t>45-54 years</t>
  </si>
  <si>
    <t>35-44 years</t>
  </si>
  <si>
    <t>55-64 years</t>
  </si>
  <si>
    <t>45-54 years</t>
  </si>
  <si>
    <t>35-44 years</t>
  </si>
  <si>
    <t>45-54 years</t>
  </si>
  <si>
    <t>55-64 years</t>
  </si>
  <si>
    <t>25-34 years</t>
  </si>
  <si>
    <t>35-44 years</t>
  </si>
  <si>
    <t>25-34 years</t>
  </si>
  <si>
    <t>55-64 years</t>
  </si>
  <si>
    <t>25-34 years</t>
  </si>
  <si>
    <t>18-24 years</t>
  </si>
  <si>
    <t>45-54 years</t>
  </si>
  <si>
    <t>18-24 years</t>
  </si>
  <si>
    <t>45-54 years</t>
  </si>
  <si>
    <t>18-24 years</t>
  </si>
  <si>
    <t>25-34 years</t>
  </si>
  <si>
    <t>35-44 years</t>
  </si>
  <si>
    <t>25-34 years</t>
  </si>
  <si>
    <t>55-64 years</t>
  </si>
  <si>
    <t>35-44 years</t>
  </si>
  <si>
    <t>25-34 years</t>
  </si>
  <si>
    <t>18-24 years</t>
  </si>
  <si>
    <t>35-44 years</t>
  </si>
  <si>
    <t>25-34 years</t>
  </si>
  <si>
    <t>35-44 years</t>
  </si>
  <si>
    <t>25-34 years</t>
  </si>
  <si>
    <t>35-44 years</t>
  </si>
  <si>
    <t>45-54 years</t>
  </si>
  <si>
    <t>35-44 years</t>
  </si>
  <si>
    <t>45-54 years</t>
  </si>
  <si>
    <t>55-64 years</t>
  </si>
  <si>
    <t>25-34 years</t>
  </si>
  <si>
    <t>55-64 years</t>
  </si>
  <si>
    <t>45-54 years</t>
  </si>
  <si>
    <t>55-64 years</t>
  </si>
  <si>
    <t>45-54 years</t>
  </si>
  <si>
    <t>35-44 years</t>
  </si>
  <si>
    <t>45-54 years</t>
  </si>
  <si>
    <t>55-64 years</t>
  </si>
  <si>
    <t>45-54 years</t>
  </si>
  <si>
    <t>&gt;75 years</t>
  </si>
  <si>
    <t>25-34 years</t>
  </si>
  <si>
    <t>55-64 years</t>
  </si>
  <si>
    <t>35-44 years</t>
  </si>
  <si>
    <t>45-54 years</t>
  </si>
  <si>
    <t>18-24 years</t>
  </si>
  <si>
    <t>35-44 years</t>
  </si>
  <si>
    <t>25-34 years</t>
  </si>
  <si>
    <t>45-54 years</t>
  </si>
  <si>
    <t>35-44 years</t>
  </si>
  <si>
    <t>25-34 years</t>
  </si>
  <si>
    <t>45-54 years</t>
  </si>
  <si>
    <t>35-44 years</t>
  </si>
  <si>
    <t>25-34 years</t>
  </si>
  <si>
    <t>18-24 years</t>
  </si>
  <si>
    <t>45-54 years</t>
  </si>
  <si>
    <t>25-34 years</t>
  </si>
  <si>
    <t>45-54 years</t>
  </si>
  <si>
    <t>18-24 years</t>
  </si>
  <si>
    <t>45-54 years</t>
  </si>
  <si>
    <t>18-24 years</t>
  </si>
  <si>
    <t>25-34 years</t>
  </si>
  <si>
    <t>35-44 years</t>
  </si>
  <si>
    <t>25-34 years</t>
  </si>
  <si>
    <t>35-44 years</t>
  </si>
  <si>
    <t>25-34 years</t>
  </si>
  <si>
    <t>35-44 years</t>
  </si>
  <si>
    <t>18-24 years</t>
  </si>
  <si>
    <t>25-34 years</t>
  </si>
  <si>
    <t>35-44 years</t>
  </si>
  <si>
    <t>25-34 years</t>
  </si>
  <si>
    <t>35-44 years</t>
  </si>
  <si>
    <t>25-34 years</t>
  </si>
  <si>
    <t>18-24 years</t>
  </si>
  <si>
    <t>25-34 years</t>
  </si>
  <si>
    <t>45-54 years</t>
  </si>
  <si>
    <t>25-34 years</t>
  </si>
  <si>
    <t>35-44 years</t>
  </si>
  <si>
    <t>25-34 years</t>
  </si>
  <si>
    <t>18-24 years</t>
  </si>
  <si>
    <t>25-34 years</t>
  </si>
  <si>
    <t>18-24 years</t>
  </si>
  <si>
    <t>45-54 years</t>
  </si>
  <si>
    <t>18-24 years</t>
  </si>
  <si>
    <t>25-34 years</t>
  </si>
  <si>
    <t>45-54 years</t>
  </si>
  <si>
    <t>18-24 years</t>
  </si>
  <si>
    <t>25-34 years</t>
  </si>
  <si>
    <t>35-44 years</t>
  </si>
  <si>
    <t>18-24 years</t>
  </si>
  <si>
    <t>35-44 years</t>
  </si>
  <si>
    <t>18-24 years</t>
  </si>
  <si>
    <t>35-44 years</t>
  </si>
  <si>
    <t>45-54 years</t>
  </si>
  <si>
    <t>25-34 years</t>
  </si>
  <si>
    <t>35-44 years</t>
  </si>
  <si>
    <t>18-24 years</t>
  </si>
  <si>
    <t>35-44 years</t>
  </si>
  <si>
    <t>18-24 years</t>
  </si>
  <si>
    <t>25-34 years</t>
  </si>
  <si>
    <t>35-44 years</t>
  </si>
  <si>
    <t>75 lat I więcej</t>
  </si>
  <si>
    <t>25-34 years</t>
  </si>
  <si>
    <t>18-24 years</t>
  </si>
  <si>
    <t>35-44 years</t>
  </si>
  <si>
    <t>18-24 years</t>
  </si>
  <si>
    <t>35-44 years</t>
  </si>
  <si>
    <t>18-24 years</t>
  </si>
  <si>
    <t>25-34 years</t>
  </si>
  <si>
    <t>18-24 years</t>
  </si>
  <si>
    <t>25-34 years</t>
  </si>
  <si>
    <t>45-54 years</t>
  </si>
  <si>
    <t>25-34 years</t>
  </si>
  <si>
    <t>55-64 years</t>
  </si>
  <si>
    <t>35-44 years</t>
  </si>
  <si>
    <t>25-34 years</t>
  </si>
  <si>
    <t>35-44 years</t>
  </si>
  <si>
    <t>55-64 years</t>
  </si>
  <si>
    <t>45-54 years</t>
  </si>
  <si>
    <t>35-44 years</t>
  </si>
  <si>
    <t>55-64 years</t>
  </si>
  <si>
    <t>25-34 years</t>
  </si>
  <si>
    <t>35-44 years</t>
  </si>
  <si>
    <t>55-64 years</t>
  </si>
  <si>
    <t>25-34 years</t>
  </si>
  <si>
    <t>65-74 years</t>
  </si>
  <si>
    <t>35-44 years</t>
  </si>
  <si>
    <t>55-64 years</t>
  </si>
  <si>
    <t>18-24 years</t>
  </si>
  <si>
    <t>35-44 years</t>
  </si>
  <si>
    <t>65-74 years</t>
  </si>
  <si>
    <t>25-34 years</t>
  </si>
  <si>
    <t>35-44 years</t>
  </si>
  <si>
    <t>25-34 years</t>
  </si>
  <si>
    <t>35-44 years</t>
  </si>
  <si>
    <t>55-64 years</t>
  </si>
  <si>
    <t>25-34 years</t>
  </si>
  <si>
    <t>35-44 years</t>
  </si>
  <si>
    <t>25-34 years</t>
  </si>
  <si>
    <t>45-54 years</t>
  </si>
  <si>
    <t>25-34 years</t>
  </si>
  <si>
    <t>35-44 years</t>
  </si>
  <si>
    <t>25-34 years</t>
  </si>
  <si>
    <t>45-54 years</t>
  </si>
  <si>
    <t>25-34 years</t>
  </si>
  <si>
    <t>35-44 years</t>
  </si>
  <si>
    <t>25-34 years</t>
  </si>
  <si>
    <t>35-44 years</t>
  </si>
  <si>
    <t>45-54 years</t>
  </si>
  <si>
    <t>35-44 years</t>
  </si>
  <si>
    <t>45-54 years</t>
  </si>
  <si>
    <t>25-34 years</t>
  </si>
  <si>
    <t>18-24 years</t>
  </si>
  <si>
    <t>35-44 years</t>
  </si>
  <si>
    <t>45-54 years</t>
  </si>
  <si>
    <t>35-44 years</t>
  </si>
  <si>
    <t>25-34 years</t>
  </si>
  <si>
    <t>45-54 years</t>
  </si>
  <si>
    <t>25-34 years</t>
  </si>
  <si>
    <t>45-54 years</t>
  </si>
  <si>
    <t>35-44 years</t>
  </si>
  <si>
    <t>25-34 years</t>
  </si>
  <si>
    <t>65-74 years</t>
  </si>
  <si>
    <t>45-54 years</t>
  </si>
  <si>
    <t>25-34 years</t>
  </si>
  <si>
    <t>18-24 years</t>
  </si>
  <si>
    <t>25-34 years</t>
  </si>
  <si>
    <t>45-54 years</t>
  </si>
  <si>
    <t>35-44 years</t>
  </si>
  <si>
    <t>25-34 years</t>
  </si>
  <si>
    <t>35-44 years</t>
  </si>
  <si>
    <t>18-24 years</t>
  </si>
  <si>
    <t>35-44 years</t>
  </si>
  <si>
    <t>55-64 years</t>
  </si>
  <si>
    <t>35-44 years</t>
  </si>
  <si>
    <t>45-54 years</t>
  </si>
  <si>
    <t>35-44 years</t>
  </si>
  <si>
    <t>25-34 years</t>
  </si>
  <si>
    <t>35-44 years</t>
  </si>
  <si>
    <t>25-34 years</t>
  </si>
  <si>
    <t>18-24 years</t>
  </si>
  <si>
    <t>45-54 years</t>
  </si>
  <si>
    <t>55-64 years</t>
  </si>
  <si>
    <t>45-54 years</t>
  </si>
  <si>
    <t>25-34 years</t>
  </si>
  <si>
    <t>45-54 years</t>
  </si>
  <si>
    <t>55-64 years</t>
  </si>
  <si>
    <t>35-44 years</t>
  </si>
  <si>
    <t>45-54 years</t>
  </si>
  <si>
    <t>35-44 years</t>
  </si>
  <si>
    <t>45-54 years</t>
  </si>
  <si>
    <t>25-34 years</t>
  </si>
  <si>
    <t>35-44 years</t>
  </si>
  <si>
    <t>25-34 years</t>
  </si>
  <si>
    <t>45-54 years</t>
  </si>
  <si>
    <t>35-44 years</t>
  </si>
  <si>
    <t>25-34 years</t>
  </si>
  <si>
    <t>35-44 years</t>
  </si>
  <si>
    <t>45-54 years</t>
  </si>
  <si>
    <t>25-34 years</t>
  </si>
  <si>
    <t>45-54 years</t>
  </si>
  <si>
    <t>35-44 years</t>
  </si>
  <si>
    <t>25-34 years</t>
  </si>
  <si>
    <t>Whatisthehighestlevelofeducationyouhaveachieved</t>
  </si>
  <si>
    <t>What is the highest level of education you have achieved?</t>
  </si>
  <si>
    <t>Master</t>
  </si>
  <si>
    <t>Degree</t>
  </si>
  <si>
    <t>Master</t>
  </si>
  <si>
    <t>Upper secondary education</t>
  </si>
  <si>
    <t>Doctorate</t>
  </si>
  <si>
    <t>Master</t>
  </si>
  <si>
    <t>Post-secondary education</t>
  </si>
  <si>
    <t>Master</t>
  </si>
  <si>
    <t>Degree</t>
  </si>
  <si>
    <t>Master</t>
  </si>
  <si>
    <t>Short-cycle tertiary education</t>
  </si>
  <si>
    <t>Master</t>
  </si>
  <si>
    <t>Doctorate</t>
  </si>
  <si>
    <t>Degree</t>
  </si>
  <si>
    <t>Post-secondary education</t>
  </si>
  <si>
    <t>Master</t>
  </si>
  <si>
    <t>Post-secondary education</t>
  </si>
  <si>
    <t>Doctorate</t>
  </si>
  <si>
    <t>Post-secondary education</t>
  </si>
  <si>
    <t>Master</t>
  </si>
  <si>
    <t>Degree</t>
  </si>
  <si>
    <t>Master</t>
  </si>
  <si>
    <t>Doctorate</t>
  </si>
  <si>
    <t>Master</t>
  </si>
  <si>
    <t>Degree</t>
  </si>
  <si>
    <t>Master</t>
  </si>
  <si>
    <t>Doctorate</t>
  </si>
  <si>
    <t>Degree</t>
  </si>
  <si>
    <t>Master</t>
  </si>
  <si>
    <t>Post-secondary education</t>
  </si>
  <si>
    <t>Lower secondary education</t>
  </si>
  <si>
    <t>Degree</t>
  </si>
  <si>
    <t>Master</t>
  </si>
  <si>
    <t>Degree</t>
  </si>
  <si>
    <t>Primary education</t>
  </si>
  <si>
    <t>Master</t>
  </si>
  <si>
    <t>Degree</t>
  </si>
  <si>
    <t>Master</t>
  </si>
  <si>
    <t>Degree</t>
  </si>
  <si>
    <t>Post-secondary education</t>
  </si>
  <si>
    <t>Master</t>
  </si>
  <si>
    <t>Post-secondary education</t>
  </si>
  <si>
    <t>Doctorate</t>
  </si>
  <si>
    <t>Upper secondary education</t>
  </si>
  <si>
    <t>Master</t>
  </si>
  <si>
    <t>Prefer not to answer</t>
  </si>
  <si>
    <t>Master</t>
  </si>
  <si>
    <t>Degree</t>
  </si>
  <si>
    <t>Prefer not to answer</t>
  </si>
  <si>
    <t>Doctorate</t>
  </si>
  <si>
    <t>Master</t>
  </si>
  <si>
    <t>Post-secondary education</t>
  </si>
  <si>
    <t>Master</t>
  </si>
  <si>
    <t>Degree</t>
  </si>
  <si>
    <t>Master</t>
  </si>
  <si>
    <t>Short-cycle tertiary education</t>
  </si>
  <si>
    <t>Prefer not to answer</t>
  </si>
  <si>
    <t>Master</t>
  </si>
  <si>
    <t>Post-secondary education</t>
  </si>
  <si>
    <t>Upper secondary education</t>
  </si>
  <si>
    <t>Master</t>
  </si>
  <si>
    <t>Degree</t>
  </si>
  <si>
    <t>Doctorate</t>
  </si>
  <si>
    <t>Master</t>
  </si>
  <si>
    <t>Doctorate</t>
  </si>
  <si>
    <t>Short-cycle tertiary education</t>
  </si>
  <si>
    <t>Degree</t>
  </si>
  <si>
    <t>Master</t>
  </si>
  <si>
    <t>Doctorate</t>
  </si>
  <si>
    <t>Master</t>
  </si>
  <si>
    <t>Doctorate</t>
  </si>
  <si>
    <t>Master</t>
  </si>
  <si>
    <t>Post-secondary education</t>
  </si>
  <si>
    <t>Master</t>
  </si>
  <si>
    <t>Upper secondary education</t>
  </si>
  <si>
    <t>Doctorate</t>
  </si>
  <si>
    <t>Master</t>
  </si>
  <si>
    <t>Degree</t>
  </si>
  <si>
    <t>Master</t>
  </si>
  <si>
    <t>Post-secondary education</t>
  </si>
  <si>
    <t>Upper secondary education</t>
  </si>
  <si>
    <t>Short-cycle tertiary education</t>
  </si>
  <si>
    <t>Master</t>
  </si>
  <si>
    <t>Post-secondary education</t>
  </si>
  <si>
    <t>Master</t>
  </si>
  <si>
    <t>Degree</t>
  </si>
  <si>
    <t>Master</t>
  </si>
  <si>
    <t>Post-secondary education</t>
  </si>
  <si>
    <t>Četvorogodišnja srednja škola</t>
  </si>
  <si>
    <t>Post-secondary education</t>
  </si>
  <si>
    <t>Degree</t>
  </si>
  <si>
    <t>Doctorate</t>
  </si>
  <si>
    <t>Master</t>
  </si>
  <si>
    <t>Doctorate</t>
  </si>
  <si>
    <t>Master</t>
  </si>
  <si>
    <t>Degree</t>
  </si>
  <si>
    <t>Doctorate</t>
  </si>
  <si>
    <t>Degree</t>
  </si>
  <si>
    <t>Četvorogodišnja srednja škola</t>
  </si>
  <si>
    <t>Master</t>
  </si>
  <si>
    <t>Doctorate</t>
  </si>
  <si>
    <t>Master</t>
  </si>
  <si>
    <t>Četvorogodišnja srednja škola</t>
  </si>
  <si>
    <t>Degree</t>
  </si>
  <si>
    <t>Post-secondary education</t>
  </si>
  <si>
    <t>Degree</t>
  </si>
  <si>
    <t>Master</t>
  </si>
  <si>
    <t>Degree</t>
  </si>
  <si>
    <t>Master</t>
  </si>
  <si>
    <t>Degree</t>
  </si>
  <si>
    <t>Master</t>
  </si>
  <si>
    <t>Short-cycle tertiary education</t>
  </si>
  <si>
    <t>Master</t>
  </si>
  <si>
    <t>Doctorate</t>
  </si>
  <si>
    <t>Master</t>
  </si>
  <si>
    <t>Średnie</t>
  </si>
  <si>
    <t>Degree</t>
  </si>
  <si>
    <t>Post-secondary education</t>
  </si>
  <si>
    <t>Średnie</t>
  </si>
  <si>
    <t>Master</t>
  </si>
  <si>
    <t>Post-secondary education</t>
  </si>
  <si>
    <t>Master</t>
  </si>
  <si>
    <t>Doctorate</t>
  </si>
  <si>
    <t>Degree</t>
  </si>
  <si>
    <t>Master</t>
  </si>
  <si>
    <t>Primary education</t>
  </si>
  <si>
    <t>Degree</t>
  </si>
  <si>
    <t>Średnie</t>
  </si>
  <si>
    <t>Doctorate</t>
  </si>
  <si>
    <t>Wolę nie odpowiadać</t>
  </si>
  <si>
    <t>Degree</t>
  </si>
  <si>
    <t>Master</t>
  </si>
  <si>
    <t>Degree</t>
  </si>
  <si>
    <t>Master</t>
  </si>
  <si>
    <t>Średnie</t>
  </si>
  <si>
    <t>Master</t>
  </si>
  <si>
    <t>Średnie</t>
  </si>
  <si>
    <t>Master</t>
  </si>
  <si>
    <t>Średnie</t>
  </si>
  <si>
    <t>Master</t>
  </si>
  <si>
    <t>Degree</t>
  </si>
  <si>
    <t>Master</t>
  </si>
  <si>
    <t>Lower secondary education</t>
  </si>
  <si>
    <t>Degree</t>
  </si>
  <si>
    <t>Master</t>
  </si>
  <si>
    <t>Doctorate</t>
  </si>
  <si>
    <t>Master</t>
  </si>
  <si>
    <t>Średnie</t>
  </si>
  <si>
    <t>Master</t>
  </si>
  <si>
    <t>Średnie</t>
  </si>
  <si>
    <t>Master</t>
  </si>
  <si>
    <t>Średnie</t>
  </si>
  <si>
    <t>Master</t>
  </si>
  <si>
    <t>Średnie</t>
  </si>
  <si>
    <t>Degree</t>
  </si>
  <si>
    <t>Master</t>
  </si>
  <si>
    <t>Degree</t>
  </si>
  <si>
    <t>Master</t>
  </si>
  <si>
    <t>Średnie</t>
  </si>
  <si>
    <t>Master</t>
  </si>
  <si>
    <t>Doctorate</t>
  </si>
  <si>
    <t>Master</t>
  </si>
  <si>
    <t>Średnie</t>
  </si>
  <si>
    <t>Master</t>
  </si>
  <si>
    <t>Degree</t>
  </si>
  <si>
    <t>Master</t>
  </si>
  <si>
    <t>Primary education</t>
  </si>
  <si>
    <t>Master</t>
  </si>
  <si>
    <t>Średnie</t>
  </si>
  <si>
    <t>Master</t>
  </si>
  <si>
    <t>Degree</t>
  </si>
  <si>
    <t>Master</t>
  </si>
  <si>
    <t>Degree</t>
  </si>
  <si>
    <t>Master</t>
  </si>
  <si>
    <t>Średnie</t>
  </si>
  <si>
    <t>Master</t>
  </si>
  <si>
    <t>Degree</t>
  </si>
  <si>
    <t>Master</t>
  </si>
  <si>
    <t>Degree</t>
  </si>
  <si>
    <t>Średnie</t>
  </si>
  <si>
    <t>Master</t>
  </si>
  <si>
    <t>Degree</t>
  </si>
  <si>
    <t>Master</t>
  </si>
  <si>
    <t>Degree</t>
  </si>
  <si>
    <t>Master</t>
  </si>
  <si>
    <t>Upper secondary education</t>
  </si>
  <si>
    <t>Master</t>
  </si>
  <si>
    <t>Upper secondary education</t>
  </si>
  <si>
    <t>Degree</t>
  </si>
  <si>
    <t>Master</t>
  </si>
  <si>
    <t>Degree</t>
  </si>
  <si>
    <t>Master</t>
  </si>
  <si>
    <t>Doctorate</t>
  </si>
  <si>
    <t>Degree</t>
  </si>
  <si>
    <t>Doctorate</t>
  </si>
  <si>
    <t>Post-secondary education</t>
  </si>
  <si>
    <t>Doctorate</t>
  </si>
  <si>
    <t>Master</t>
  </si>
  <si>
    <t>Doctorate</t>
  </si>
  <si>
    <t>Degree</t>
  </si>
  <si>
    <t>Master</t>
  </si>
  <si>
    <t>Degree</t>
  </si>
  <si>
    <t>Master</t>
  </si>
  <si>
    <t>Degree</t>
  </si>
  <si>
    <t>Master</t>
  </si>
  <si>
    <t>Degree</t>
  </si>
  <si>
    <t>Doctorate</t>
  </si>
  <si>
    <t>Degree</t>
  </si>
  <si>
    <t>Upper secondary education</t>
  </si>
  <si>
    <t>Degree</t>
  </si>
  <si>
    <t>Master</t>
  </si>
  <si>
    <t>Degree</t>
  </si>
  <si>
    <t>Master</t>
  </si>
  <si>
    <t>Degree</t>
  </si>
  <si>
    <t>Doctorate</t>
  </si>
  <si>
    <t>Degree</t>
  </si>
  <si>
    <t>Short-cycle tertiary education</t>
  </si>
  <si>
    <t>Master</t>
  </si>
  <si>
    <t>Degree</t>
  </si>
  <si>
    <t>Master</t>
  </si>
  <si>
    <t>Doctorate</t>
  </si>
  <si>
    <t>Whatisyouraverageyearlyincome</t>
  </si>
  <si>
    <t>What is your average yearly income?</t>
  </si>
  <si>
    <t>Prefer not to answer</t>
  </si>
  <si>
    <t>21,000-30,999 €</t>
  </si>
  <si>
    <t>11,000-20,999 €</t>
  </si>
  <si>
    <t>More than 71,000 €</t>
  </si>
  <si>
    <t>11,000-20,999 €</t>
  </si>
  <si>
    <t>No income</t>
  </si>
  <si>
    <t>41,000-50,999 €</t>
  </si>
  <si>
    <t>Less than 10,999 €</t>
  </si>
  <si>
    <t>41,000-50,999 €</t>
  </si>
  <si>
    <t>11,000-20,999 €</t>
  </si>
  <si>
    <t>Prefer not to answer</t>
  </si>
  <si>
    <t>11,000-20,999 €</t>
  </si>
  <si>
    <t>21,000-30,999 €</t>
  </si>
  <si>
    <t>31,000-40,999 €</t>
  </si>
  <si>
    <t>Prefer not to answer</t>
  </si>
  <si>
    <t>21,000-30,999 €</t>
  </si>
  <si>
    <t>41,000-50,999 €</t>
  </si>
  <si>
    <t>21,000-30,999 €</t>
  </si>
  <si>
    <t>11,000-20,999 €</t>
  </si>
  <si>
    <t>51,000-70,999 €</t>
  </si>
  <si>
    <t>11,000-20,999 €</t>
  </si>
  <si>
    <t>51,000-70,999 €</t>
  </si>
  <si>
    <t>Less than 10,999 €</t>
  </si>
  <si>
    <t>11,000-20,999 €</t>
  </si>
  <si>
    <t>Less than 10,999 €</t>
  </si>
  <si>
    <t>11,000-20,999 €</t>
  </si>
  <si>
    <t>Less than 10,999 €</t>
  </si>
  <si>
    <t>Prefer not to answer</t>
  </si>
  <si>
    <t>11,000-20,999 €</t>
  </si>
  <si>
    <t>21,000-30,999 €</t>
  </si>
  <si>
    <t>More than 71,000 €</t>
  </si>
  <si>
    <t>11,000-20,999 €</t>
  </si>
  <si>
    <t>31,000-40,999 €</t>
  </si>
  <si>
    <t>51,000-70,999 €</t>
  </si>
  <si>
    <t>No income</t>
  </si>
  <si>
    <t>21,000-30,999 €</t>
  </si>
  <si>
    <t>More than 71,000 €</t>
  </si>
  <si>
    <t>21,000-30,999 €</t>
  </si>
  <si>
    <t>31,000-40,999 €</t>
  </si>
  <si>
    <t>21,000-30,999 €</t>
  </si>
  <si>
    <t>51,000-70,999 €</t>
  </si>
  <si>
    <t>21,000-30,999 €</t>
  </si>
  <si>
    <t>51,000-70,999 €</t>
  </si>
  <si>
    <t>Less than 10,999 €</t>
  </si>
  <si>
    <t>Prefer not to answer</t>
  </si>
  <si>
    <t>31,000-40,999 €</t>
  </si>
  <si>
    <t>41,000-50,999 €</t>
  </si>
  <si>
    <t>Less than 10,999 €</t>
  </si>
  <si>
    <t>31,000-40,999 €</t>
  </si>
  <si>
    <t>21,000-30,999 €</t>
  </si>
  <si>
    <t>Prefer not to answer</t>
  </si>
  <si>
    <t>51,000-70,999 €</t>
  </si>
  <si>
    <t>31,000-40,999 €</t>
  </si>
  <si>
    <t>51,000-70,999 €</t>
  </si>
  <si>
    <t>11,000-20,999 €</t>
  </si>
  <si>
    <t>Prefer not to answer</t>
  </si>
  <si>
    <t>More than 71,000 €</t>
  </si>
  <si>
    <t>Less than 10,999 €</t>
  </si>
  <si>
    <t>41,000-50,999 €</t>
  </si>
  <si>
    <t>31,000-40,999 €</t>
  </si>
  <si>
    <t>Prefer not to answer</t>
  </si>
  <si>
    <t>51,000-70,999 €</t>
  </si>
  <si>
    <t>21,000-30,999 €</t>
  </si>
  <si>
    <t>31,000-40,999 €</t>
  </si>
  <si>
    <t>Prefer not to answer</t>
  </si>
  <si>
    <t>21,000-30,999 €</t>
  </si>
  <si>
    <t>41,000-50,999 €</t>
  </si>
  <si>
    <t>Prefer not to answer</t>
  </si>
  <si>
    <t>51,000-70,999 €</t>
  </si>
  <si>
    <t>Prefer not to answer</t>
  </si>
  <si>
    <t>41,000-50,999 €</t>
  </si>
  <si>
    <t>11,000-20,999 €</t>
  </si>
  <si>
    <t>More than 71,000 €</t>
  </si>
  <si>
    <t>51,000-70,999 €</t>
  </si>
  <si>
    <t>21,000-30,999 €</t>
  </si>
  <si>
    <t>Prefer not to answer</t>
  </si>
  <si>
    <t>More than 71,000 €</t>
  </si>
  <si>
    <t>21,000-30,999 €</t>
  </si>
  <si>
    <t>More than 71,000 €</t>
  </si>
  <si>
    <t>31,000-40,999 €</t>
  </si>
  <si>
    <t>51,000-70,999 €</t>
  </si>
  <si>
    <t>More than 71,000 €</t>
  </si>
  <si>
    <t>51,000-70,999 €</t>
  </si>
  <si>
    <t>More than 71,000 €</t>
  </si>
  <si>
    <t>41,000-50,999 €</t>
  </si>
  <si>
    <t>51,000-70,999 €</t>
  </si>
  <si>
    <t>11,000-20,999 €</t>
  </si>
  <si>
    <t>Prefer not to answer</t>
  </si>
  <si>
    <t>More than 71,000 €</t>
  </si>
  <si>
    <t>Prefer not to answer</t>
  </si>
  <si>
    <t>51,000-70,999 €</t>
  </si>
  <si>
    <t>More than 71,000 €</t>
  </si>
  <si>
    <t>11,000-20,999 €</t>
  </si>
  <si>
    <t>31,000-40,999 €</t>
  </si>
  <si>
    <t>More than 71,000 €</t>
  </si>
  <si>
    <t>Less than 10,999 €</t>
  </si>
  <si>
    <t>11,000-20,999 €</t>
  </si>
  <si>
    <t>41,000-50,999 €</t>
  </si>
  <si>
    <t>Less than 10,999 €</t>
  </si>
  <si>
    <t>31,000-40,999 €</t>
  </si>
  <si>
    <t>51,000-70,999 €</t>
  </si>
  <si>
    <t>Less than 10,999 €</t>
  </si>
  <si>
    <t>41,000-50,999 €</t>
  </si>
  <si>
    <t>21,000-30,999 €</t>
  </si>
  <si>
    <t>31,000-40,999 €</t>
  </si>
  <si>
    <t>11,000-20,999 €</t>
  </si>
  <si>
    <t>41,000-50,999 €</t>
  </si>
  <si>
    <t>51,000-70,999 €</t>
  </si>
  <si>
    <t>21,000-30,999 €</t>
  </si>
  <si>
    <t>31,000-40,999 €</t>
  </si>
  <si>
    <t>21,000-30,999 €</t>
  </si>
  <si>
    <t>41,000-50,999 €</t>
  </si>
  <si>
    <t>51,000-70,999 €</t>
  </si>
  <si>
    <t>41,000-50,999 €</t>
  </si>
  <si>
    <t>Prefer not to answer</t>
  </si>
  <si>
    <t>11,000-20,999 €</t>
  </si>
  <si>
    <t>More than 71,000 €</t>
  </si>
  <si>
    <t>51,000-70,999 €</t>
  </si>
  <si>
    <t>41,000-50,999 €</t>
  </si>
  <si>
    <t>More than 71,000 €</t>
  </si>
  <si>
    <t>41,000-50,999 €</t>
  </si>
  <si>
    <t>31,000-40,999 €</t>
  </si>
  <si>
    <t>41,000-50,999 €</t>
  </si>
  <si>
    <t>51,000-70,999 €</t>
  </si>
  <si>
    <t>21,000-30,999 €</t>
  </si>
  <si>
    <t>51,000-70,999 €</t>
  </si>
  <si>
    <t>21,000-30,999 €</t>
  </si>
  <si>
    <t>Less than 10,999 €</t>
  </si>
  <si>
    <t>51,000-70,999 €</t>
  </si>
  <si>
    <t>More than 71,000 €</t>
  </si>
  <si>
    <t>&lt; 1.300.000 dinara</t>
  </si>
  <si>
    <t>Prefer not to answer</t>
  </si>
  <si>
    <t>&lt; 1.300.000 dinara</t>
  </si>
  <si>
    <t>11,000-20,999 €</t>
  </si>
  <si>
    <t>&lt; 1.300.000 dinara</t>
  </si>
  <si>
    <t>Prefer not to answer</t>
  </si>
  <si>
    <t>11,000-20,999 €</t>
  </si>
  <si>
    <t>&lt; 1.300.000 dinara</t>
  </si>
  <si>
    <t>Prefer not to answer</t>
  </si>
  <si>
    <t>11,000-20,999 €</t>
  </si>
  <si>
    <t>Prefer not to answer</t>
  </si>
  <si>
    <t>&lt; 1.300.000 dinara</t>
  </si>
  <si>
    <t>Prefer not to answer</t>
  </si>
  <si>
    <t>&lt; 1.300.000 dinara</t>
  </si>
  <si>
    <t>21,000-30,999 €</t>
  </si>
  <si>
    <t>Prefer not to answer</t>
  </si>
  <si>
    <t>&lt; 1.300.000 dinara</t>
  </si>
  <si>
    <t>11,000-20,999 €</t>
  </si>
  <si>
    <t>&lt; 1.300.000 dinara</t>
  </si>
  <si>
    <t>Prefer not to answer</t>
  </si>
  <si>
    <t>21.000-30.999 €</t>
  </si>
  <si>
    <t>11,000-20,999 €</t>
  </si>
  <si>
    <t>21.000-30.999 €</t>
  </si>
  <si>
    <t>No income</t>
  </si>
  <si>
    <t>11,000-20,999 €</t>
  </si>
  <si>
    <t>More than 71,000 €</t>
  </si>
  <si>
    <t>Wole nie odpowiadać</t>
  </si>
  <si>
    <t>No income</t>
  </si>
  <si>
    <t>Mniej niż 10,999 €</t>
  </si>
  <si>
    <t>Wole nie odpowiadać</t>
  </si>
  <si>
    <t>41,000-50,999 €</t>
  </si>
  <si>
    <t>Wole nie odpowiadać</t>
  </si>
  <si>
    <t>21,000-30,999 €</t>
  </si>
  <si>
    <t>Wole nie odpowiadać</t>
  </si>
  <si>
    <t>Mniej niż 10,999 €</t>
  </si>
  <si>
    <t>21,000-30,999 €</t>
  </si>
  <si>
    <t>31,000-40,999 €</t>
  </si>
  <si>
    <t>Wole nie odpowiadać</t>
  </si>
  <si>
    <t>31,000-40,999 €</t>
  </si>
  <si>
    <t>Wole nie odpowiadać</t>
  </si>
  <si>
    <t>No income</t>
  </si>
  <si>
    <t>11,000-20,999 €</t>
  </si>
  <si>
    <t>Mniej niż 10,999 €</t>
  </si>
  <si>
    <t>Wole nie odpowiadać</t>
  </si>
  <si>
    <t>Mniej niż 10,999 €</t>
  </si>
  <si>
    <t>11,000-20,999 €</t>
  </si>
  <si>
    <t>51,000-70,999 €</t>
  </si>
  <si>
    <t>Mniej niż 10,999 €</t>
  </si>
  <si>
    <t>Wole nie odpowiadać</t>
  </si>
  <si>
    <t>11,000-20,999 €</t>
  </si>
  <si>
    <t>Mniej niż 10,999 €</t>
  </si>
  <si>
    <t>Wole nie odpowiadać</t>
  </si>
  <si>
    <t>Mniej niż 10,999 €</t>
  </si>
  <si>
    <t>No income</t>
  </si>
  <si>
    <t>Wole nie odpowiadać</t>
  </si>
  <si>
    <t>Mniej niż 10,999 €</t>
  </si>
  <si>
    <t>Wole nie odpowiadać</t>
  </si>
  <si>
    <t>11,000-20,999 €</t>
  </si>
  <si>
    <t>Mniej niż 10,999 €</t>
  </si>
  <si>
    <t>Wole nie odpowiadać</t>
  </si>
  <si>
    <t>Mniej niż 10,999 €</t>
  </si>
  <si>
    <t>Wole nie odpowiadać</t>
  </si>
  <si>
    <t>Mniej niż 10,999 €</t>
  </si>
  <si>
    <t>21,000-30,999 €</t>
  </si>
  <si>
    <t>Więcej niż 71,000 €</t>
  </si>
  <si>
    <t>11,000-20,999 €</t>
  </si>
  <si>
    <t>Wole nie odpowiadać</t>
  </si>
  <si>
    <t>Mniej niż 10,999 €</t>
  </si>
  <si>
    <t>21,000-30,999 €</t>
  </si>
  <si>
    <t>Mniej niż 10,999 €</t>
  </si>
  <si>
    <t>No income</t>
  </si>
  <si>
    <t>11,000-20,999 €</t>
  </si>
  <si>
    <t>Mniej niż 10,999 €</t>
  </si>
  <si>
    <t>No income</t>
  </si>
  <si>
    <t>21,000-30,999 €</t>
  </si>
  <si>
    <t>11,000-20,999 €</t>
  </si>
  <si>
    <t>Mniej niż 10,999 €</t>
  </si>
  <si>
    <t>Wole nie odpowiadać</t>
  </si>
  <si>
    <t>Mniej niż 10,999 €</t>
  </si>
  <si>
    <t>21,000-30,999 €</t>
  </si>
  <si>
    <t>Wole nie odpowiadać</t>
  </si>
  <si>
    <t>21,000-30,999 €</t>
  </si>
  <si>
    <t>11,000-20,999 €</t>
  </si>
  <si>
    <t>Mniej niż 10,999 €</t>
  </si>
  <si>
    <t>11,000-20,999 €</t>
  </si>
  <si>
    <t>Wole nie odpowiadać</t>
  </si>
  <si>
    <t>41,000-50,999 €</t>
  </si>
  <si>
    <t>21,000-30,999 €</t>
  </si>
  <si>
    <t>11,000-20,999 €</t>
  </si>
  <si>
    <t>Wole nie odpowiadać</t>
  </si>
  <si>
    <t>Mniej niż 10,999 €</t>
  </si>
  <si>
    <t>41,000-50,999 €</t>
  </si>
  <si>
    <t>31,000-40,999 €</t>
  </si>
  <si>
    <t>Wole nie odpowiadać</t>
  </si>
  <si>
    <t>Mniej niż 10,999 €</t>
  </si>
  <si>
    <t>21,000-30,999 €</t>
  </si>
  <si>
    <t>Mniej niż 10,999 €</t>
  </si>
  <si>
    <t>Wole nie odpowiadać</t>
  </si>
  <si>
    <t>11,000-20,999 €</t>
  </si>
  <si>
    <t>Wole nie odpowiadać</t>
  </si>
  <si>
    <t>Więcej niż 71,000 €</t>
  </si>
  <si>
    <t>Wole nie odpowiadać</t>
  </si>
  <si>
    <t>11,000-20,999 €</t>
  </si>
  <si>
    <t>Mniej niż 10,999 €</t>
  </si>
  <si>
    <t>Wole nie odpowiadać</t>
  </si>
  <si>
    <t>21,000-30,999 €</t>
  </si>
  <si>
    <t>11,000-20,999 €</t>
  </si>
  <si>
    <t>Wole nie odpowiadać</t>
  </si>
  <si>
    <t>Mniej niż 10,999 €</t>
  </si>
  <si>
    <t>Wole nie odpowiadać</t>
  </si>
  <si>
    <t>11,000-20,999 €</t>
  </si>
  <si>
    <t>Mniej niż 10,999 €</t>
  </si>
  <si>
    <t>21,000-30,999 €</t>
  </si>
  <si>
    <t>Wole nie odpowiadać</t>
  </si>
  <si>
    <t>Mniej niż 10,999 €</t>
  </si>
  <si>
    <t>Więcej niż 71,000 €</t>
  </si>
  <si>
    <t>Wole nie odpowiadać</t>
  </si>
  <si>
    <t>Mniej niż 10,999 €</t>
  </si>
  <si>
    <t>11,000-20,999 €</t>
  </si>
  <si>
    <t>Wole nie odpowiadać</t>
  </si>
  <si>
    <t>Mniej niż 10,999 €</t>
  </si>
  <si>
    <t>51,000-70,999 €</t>
  </si>
  <si>
    <t>Mniej niż 10,999 €</t>
  </si>
  <si>
    <t>21,000-30,999 €</t>
  </si>
  <si>
    <t>Mniej niż 10,999 €</t>
  </si>
  <si>
    <t>Wole nie odpowiadać</t>
  </si>
  <si>
    <t>21,000-30,999 €</t>
  </si>
  <si>
    <t>11,000-20,999 €</t>
  </si>
  <si>
    <t>Wole nie odpowiadać</t>
  </si>
  <si>
    <t>Mniej niż 10,999 €</t>
  </si>
  <si>
    <t>Wole nie odpowiadać</t>
  </si>
  <si>
    <t>11,000-20,999 €</t>
  </si>
  <si>
    <t>Wole nie odpowiadać</t>
  </si>
  <si>
    <t>31,000-40,999 €</t>
  </si>
  <si>
    <t>Wole nie odpowiadać</t>
  </si>
  <si>
    <t>11,000-20,999 €</t>
  </si>
  <si>
    <t>21,000-30,999 €</t>
  </si>
  <si>
    <t>11,000-20,999 €</t>
  </si>
  <si>
    <t>31,000-40,999 €</t>
  </si>
  <si>
    <t>11,000-20,999 €</t>
  </si>
  <si>
    <t>31,000-40,999 €</t>
  </si>
  <si>
    <t>Prefer not to answer</t>
  </si>
  <si>
    <t>31,000-40,999 €</t>
  </si>
  <si>
    <t>21,000-30,999 €</t>
  </si>
  <si>
    <t>Prefer not to answer</t>
  </si>
  <si>
    <t>31,000-40,999 €</t>
  </si>
  <si>
    <t>11,000-20,999 €</t>
  </si>
  <si>
    <t>21,000-30,999 €</t>
  </si>
  <si>
    <t>31,000-40,999 €</t>
  </si>
  <si>
    <t>21,000-30,999 €</t>
  </si>
  <si>
    <t>31,000-40,999 €</t>
  </si>
  <si>
    <t>More than 71,000 €</t>
  </si>
  <si>
    <t>11,000-20,999 €</t>
  </si>
  <si>
    <t>51,000-70,999 €</t>
  </si>
  <si>
    <t>More than 71,000 €</t>
  </si>
  <si>
    <t>31,000-40,999 €</t>
  </si>
  <si>
    <t>Prefer not to answer</t>
  </si>
  <si>
    <t>No income</t>
  </si>
  <si>
    <t>21,000-30,999 €</t>
  </si>
  <si>
    <t>Prefer not to answer</t>
  </si>
  <si>
    <t>11,000-20,999 €</t>
  </si>
  <si>
    <t>Less than 10,999 €</t>
  </si>
  <si>
    <t>Prefer not to answer</t>
  </si>
  <si>
    <t>21,000-30,999 €</t>
  </si>
  <si>
    <t>31,000-40,999 €</t>
  </si>
  <si>
    <t>21,000-30,999 €</t>
  </si>
  <si>
    <t>41,000-50,999 €</t>
  </si>
  <si>
    <t>21,000-30,999 €</t>
  </si>
  <si>
    <t>31,000-40,999 €</t>
  </si>
  <si>
    <t>11,000-20,999 €</t>
  </si>
  <si>
    <t>41,000-50,999 €</t>
  </si>
  <si>
    <t>31,000-40,999 €</t>
  </si>
  <si>
    <t>More than 71,000 €</t>
  </si>
  <si>
    <t>21,000-30,999 €</t>
  </si>
  <si>
    <t>11,000-20,999 €</t>
  </si>
  <si>
    <t>31,000-40,999 €</t>
  </si>
  <si>
    <t>No income</t>
  </si>
  <si>
    <t>Less than 10,999 €</t>
  </si>
  <si>
    <t>21,000-30,999 €</t>
  </si>
  <si>
    <t>11,000-20,999 €</t>
  </si>
  <si>
    <t>51,000-70,999 €</t>
  </si>
  <si>
    <t>Prefer not to answer</t>
  </si>
  <si>
    <t>11,000-20,999 €</t>
  </si>
  <si>
    <t>Prefer not to answer</t>
  </si>
  <si>
    <t>11,000-20,999 €</t>
  </si>
  <si>
    <t>Whatisyourhouseholdtype</t>
  </si>
  <si>
    <t>What is your household type?</t>
  </si>
  <si>
    <t>Prefer not to answer</t>
  </si>
  <si>
    <t>Cohabiting</t>
  </si>
  <si>
    <t>Married/Civil partnership-Heterosexual</t>
  </si>
  <si>
    <t>Single</t>
  </si>
  <si>
    <t>Prefer not to answer</t>
  </si>
  <si>
    <t>Married/Civil partnership-Heterosexual</t>
  </si>
  <si>
    <t>Cohabiting</t>
  </si>
  <si>
    <t>Married/Civil partnership-Heterosexual</t>
  </si>
  <si>
    <t>Cohabiting</t>
  </si>
  <si>
    <t>Married/Civil partnership-Heterosexual</t>
  </si>
  <si>
    <t>Single</t>
  </si>
  <si>
    <t>Cohabiting</t>
  </si>
  <si>
    <t>Single</t>
  </si>
  <si>
    <t>Prefer not to answer</t>
  </si>
  <si>
    <t>Married/Civil partnership-Heterosexual</t>
  </si>
  <si>
    <t>Single</t>
  </si>
  <si>
    <t>Cohabiting</t>
  </si>
  <si>
    <t>Single</t>
  </si>
  <si>
    <t>Married/Civil partnership-Heterosexual</t>
  </si>
  <si>
    <t>Single</t>
  </si>
  <si>
    <t>Cohabiting</t>
  </si>
  <si>
    <t>Married/Civil partnership-Heterosexual</t>
  </si>
  <si>
    <t>Cohabiting</t>
  </si>
  <si>
    <t>Married/Civil partnership-Heterosexual</t>
  </si>
  <si>
    <t>Cohabiting</t>
  </si>
  <si>
    <t>Single</t>
  </si>
  <si>
    <t>Married/Civil partnership-Heterosexual</t>
  </si>
  <si>
    <t>Single</t>
  </si>
  <si>
    <t>Married/Civil partnership-Heterosexual</t>
  </si>
  <si>
    <t>Prefer not to answer</t>
  </si>
  <si>
    <t>Cohabiting</t>
  </si>
  <si>
    <t>Married/Civil partnership-Heterosexual</t>
  </si>
  <si>
    <t>Cohabiting</t>
  </si>
  <si>
    <t>Single</t>
  </si>
  <si>
    <t>Married/Civil partnership-Heterosexual</t>
  </si>
  <si>
    <t>Cohabiting</t>
  </si>
  <si>
    <t>Lone parent</t>
  </si>
  <si>
    <t>Cohabiting</t>
  </si>
  <si>
    <t>Single</t>
  </si>
  <si>
    <t>Married/Civil partnership-Heterosexual</t>
  </si>
  <si>
    <t>Cohabiting</t>
  </si>
  <si>
    <t>Married/Civil partnership-Heterosexual</t>
  </si>
  <si>
    <t>Lone parent</t>
  </si>
  <si>
    <t>Prefer not to answer</t>
  </si>
  <si>
    <t>Married/Civil partnership-Heterosexual</t>
  </si>
  <si>
    <t>Single</t>
  </si>
  <si>
    <t>Married/Civil partnership-Heterosexual</t>
  </si>
  <si>
    <t>Cohabiting</t>
  </si>
  <si>
    <t>Married/Civil partnership-Heterosexual</t>
  </si>
  <si>
    <t>Single</t>
  </si>
  <si>
    <t>Married/Civil partnership-Heterosexual</t>
  </si>
  <si>
    <t>Prefer not to answer</t>
  </si>
  <si>
    <t>Married/Civil partnership-Heterosexual</t>
  </si>
  <si>
    <t>Lone parent</t>
  </si>
  <si>
    <t>Single</t>
  </si>
  <si>
    <t>Married/Civil partnership-Heterosexual</t>
  </si>
  <si>
    <t>Cohabiting</t>
  </si>
  <si>
    <t>Married/Civil partnership-Heterosexual</t>
  </si>
  <si>
    <t>Lone parent</t>
  </si>
  <si>
    <t>Single</t>
  </si>
  <si>
    <t>Prefer not to answer</t>
  </si>
  <si>
    <t>Single</t>
  </si>
  <si>
    <t>Married/Civil partnership-Heterosexual</t>
  </si>
  <si>
    <t>Lone parent</t>
  </si>
  <si>
    <t>Single</t>
  </si>
  <si>
    <t>Cohabiting</t>
  </si>
  <si>
    <t>Single</t>
  </si>
  <si>
    <t>Married/Civil partnership-Heterosexual</t>
  </si>
  <si>
    <t>Single</t>
  </si>
  <si>
    <t>Married/Civil partnership-Heterosexual</t>
  </si>
  <si>
    <t>Single</t>
  </si>
  <si>
    <t>Married/Civil partnership-Heterosexual</t>
  </si>
  <si>
    <t>Single</t>
  </si>
  <si>
    <t>Prefer not to answer</t>
  </si>
  <si>
    <t>Cohabiting</t>
  </si>
  <si>
    <t>Married/Civil partnership-Heterosexual</t>
  </si>
  <si>
    <t>Cohabiting</t>
  </si>
  <si>
    <t>Married/Civil partnership-Heterosexual</t>
  </si>
  <si>
    <t>Single</t>
  </si>
  <si>
    <t>Married/Civil partnership-Heterosexual</t>
  </si>
  <si>
    <t>Cohabiting</t>
  </si>
  <si>
    <t>Single</t>
  </si>
  <si>
    <t>Prefer not to answer</t>
  </si>
  <si>
    <t>Cohabiting</t>
  </si>
  <si>
    <t>Married/Civil partnership-Heterosexual</t>
  </si>
  <si>
    <t>Cohabiting</t>
  </si>
  <si>
    <t>Married/Civil partnership-Heterosexual</t>
  </si>
  <si>
    <t>Single</t>
  </si>
  <si>
    <t>Cohabiting</t>
  </si>
  <si>
    <t>Single</t>
  </si>
  <si>
    <t>Married/Civil partnership-Heterosexual</t>
  </si>
  <si>
    <t>Single</t>
  </si>
  <si>
    <t>Lone parent</t>
  </si>
  <si>
    <t>Single</t>
  </si>
  <si>
    <t>Married/Civil partnership-Heterosexual</t>
  </si>
  <si>
    <t>Cohabiting</t>
  </si>
  <si>
    <t>Married/Civil partnership-Heterosexual</t>
  </si>
  <si>
    <t>Single</t>
  </si>
  <si>
    <t>Married/Civil partnership-Heterosexual</t>
  </si>
  <si>
    <t>Single</t>
  </si>
  <si>
    <t>Cohabiting</t>
  </si>
  <si>
    <t>Married/Civil partnership-Heterosexual</t>
  </si>
  <si>
    <t>Lone parent</t>
  </si>
  <si>
    <t>Married/Civil partnership-Heterosexual</t>
  </si>
  <si>
    <t>Single</t>
  </si>
  <si>
    <t>Vanbračna zajednica</t>
  </si>
  <si>
    <t>Single</t>
  </si>
  <si>
    <t>Brak/građansko partnerstvo-Heteroseksualno</t>
  </si>
  <si>
    <t>Vanbračna zajednica</t>
  </si>
  <si>
    <t>Brak/građansko partnerstvo-Heteroseksualno</t>
  </si>
  <si>
    <t>Prefer not to answer</t>
  </si>
  <si>
    <t>Single</t>
  </si>
  <si>
    <t>Prefer not to answer</t>
  </si>
  <si>
    <t>Single</t>
  </si>
  <si>
    <t>Brak/građansko partnerstvo-Heteroseksualno</t>
  </si>
  <si>
    <t>Single</t>
  </si>
  <si>
    <t>Vanbračna zajednica</t>
  </si>
  <si>
    <t>Brak/građansko partnerstvo-Heteroseksualno</t>
  </si>
  <si>
    <t>Single</t>
  </si>
  <si>
    <t>Brak/građansko partnerstvo-Heteroseksualno</t>
  </si>
  <si>
    <t>Single</t>
  </si>
  <si>
    <t>Cohabiting</t>
  </si>
  <si>
    <t>Single</t>
  </si>
  <si>
    <t>Cohabiting</t>
  </si>
  <si>
    <t>Single</t>
  </si>
  <si>
    <t>Cohabiting</t>
  </si>
  <si>
    <t>Single</t>
  </si>
  <si>
    <t>Married/Civil partnership-Heterosexual</t>
  </si>
  <si>
    <t>Wolę nie odpowiadać</t>
  </si>
  <si>
    <t>Małżeństwo/Związek partnesrski heteroseksualny</t>
  </si>
  <si>
    <t>Wolę nie odpowiadać</t>
  </si>
  <si>
    <t>Małżeństwo/Związek partnesrski heteroseksualny</t>
  </si>
  <si>
    <t>Lone parent</t>
  </si>
  <si>
    <t>Małżeństwo/Związek partnesrski heteroseksualny</t>
  </si>
  <si>
    <t>Wolę nie odpowiadać</t>
  </si>
  <si>
    <t>Single</t>
  </si>
  <si>
    <t>Małżeństwo/Związek partnesrski heteroseksualny</t>
  </si>
  <si>
    <t>Single</t>
  </si>
  <si>
    <t>Wolę nie odpowiadać</t>
  </si>
  <si>
    <t>Małżeństwo/Związek partnesrski heteroseksualny</t>
  </si>
  <si>
    <t>Single</t>
  </si>
  <si>
    <t>Małżeństwo/ Związek partnerski homoseksualny</t>
  </si>
  <si>
    <t>Wolę nie odpowiadać</t>
  </si>
  <si>
    <t>Single</t>
  </si>
  <si>
    <t>Małżeństwo/Związek partnesrski heteroseksualny</t>
  </si>
  <si>
    <t>Lone parent</t>
  </si>
  <si>
    <t>Małżeństwo/Związek partnesrski heteroseksualny</t>
  </si>
  <si>
    <t>Single</t>
  </si>
  <si>
    <t>Małżeństwo/Związek partnesrski heteroseksualny</t>
  </si>
  <si>
    <t>Single</t>
  </si>
  <si>
    <t>Współlokatorstwo</t>
  </si>
  <si>
    <t>Wolę nie odpowiadać</t>
  </si>
  <si>
    <t>Małżeństwo/Związek partnesrski heteroseksualny</t>
  </si>
  <si>
    <t>Wolę nie odpowiadać</t>
  </si>
  <si>
    <t>Małżeństwo/Związek partnesrski heteroseksualny</t>
  </si>
  <si>
    <t>Współlokatorstwo</t>
  </si>
  <si>
    <t>Małżeństwo/Związek partnesrski heteroseksualny</t>
  </si>
  <si>
    <t>Wolę nie odpowiadać</t>
  </si>
  <si>
    <t>Małżeństwo/Związek partnesrski heteroseksualny</t>
  </si>
  <si>
    <t>Małżeństwo/ Związek partnerski homoseksualny</t>
  </si>
  <si>
    <t>Współlokatorstwo</t>
  </si>
  <si>
    <t>Małżeństwo/Związek partnesrski heteroseksualny</t>
  </si>
  <si>
    <t>Współlokatorstwo</t>
  </si>
  <si>
    <t>Małżeństwo/Związek partnesrski heteroseksualny</t>
  </si>
  <si>
    <t>Współlokatorstwo</t>
  </si>
  <si>
    <t>Małżeństwo/Związek partnesrski heteroseksualny</t>
  </si>
  <si>
    <t>Wolę nie odpowiadać</t>
  </si>
  <si>
    <t>Małżeństwo/Związek partnesrski heteroseksualny</t>
  </si>
  <si>
    <t>Współlokatorstwo</t>
  </si>
  <si>
    <t>Małżeństwo/Związek partnesrski heteroseksualny</t>
  </si>
  <si>
    <t>Single</t>
  </si>
  <si>
    <t>Małżeństwo/Związek partnesrski heteroseksualny</t>
  </si>
  <si>
    <t>Single</t>
  </si>
  <si>
    <t>Małżeństwo/Związek partnesrski heteroseksualny</t>
  </si>
  <si>
    <t>Wolę nie odpowiadać</t>
  </si>
  <si>
    <t>Małżeństwo/Związek partnesrski heteroseksualny</t>
  </si>
  <si>
    <t>Małżeństwo/ Związek partnerski homoseksualny</t>
  </si>
  <si>
    <t>Małżeństwo/Związek partnesrski heteroseksualny</t>
  </si>
  <si>
    <t>Single</t>
  </si>
  <si>
    <t>Małżeństwo/Związek partnesrski heteroseksualny</t>
  </si>
  <si>
    <t>Single</t>
  </si>
  <si>
    <t>Małżeństwo/Związek partnesrski heteroseksualny</t>
  </si>
  <si>
    <t>Single</t>
  </si>
  <si>
    <t>Małżeństwo/Związek partnesrski heteroseksualny</t>
  </si>
  <si>
    <t>Wolę nie odpowiadać</t>
  </si>
  <si>
    <t>Małżeństwo/Związek partnesrski heteroseksualny</t>
  </si>
  <si>
    <t>Małżeństwo/ Związek partnerski homoseksualny</t>
  </si>
  <si>
    <t>Single</t>
  </si>
  <si>
    <t>Wolę nie odpowiadać</t>
  </si>
  <si>
    <t>Małżeństwo/Związek partnesrski heteroseksualny</t>
  </si>
  <si>
    <t>Single</t>
  </si>
  <si>
    <t>Małżeństwo/Związek partnesrski heteroseksualny</t>
  </si>
  <si>
    <t>Lone parent</t>
  </si>
  <si>
    <t>Małżeństwo/Związek partnesrski heteroseksualny</t>
  </si>
  <si>
    <t>Współlokatorstwo</t>
  </si>
  <si>
    <t>Małżeństwo/Związek partnesrski heteroseksualny</t>
  </si>
  <si>
    <t>Małżeństwo/ Związek partnerski homoseksualny</t>
  </si>
  <si>
    <t>Małżeństwo/Związek partnesrski heteroseksualny</t>
  </si>
  <si>
    <t>Małżeństwo/ Związek partnerski homoseksualny</t>
  </si>
  <si>
    <t>Małżeństwo/Związek partnesrski heteroseksualny</t>
  </si>
  <si>
    <t>Wolę nie odpowiadać</t>
  </si>
  <si>
    <t>Małżeństwo/Związek partnesrski heteroseksualny</t>
  </si>
  <si>
    <t>Wolę nie odpowiadać</t>
  </si>
  <si>
    <t>Małżeństwo/Związek partnesrski heteroseksualny</t>
  </si>
  <si>
    <t>Wolę nie odpowiadać</t>
  </si>
  <si>
    <t>Małżeństwo/Związek partnesrski heteroseksualny</t>
  </si>
  <si>
    <t>Wolę nie odpowiadać</t>
  </si>
  <si>
    <t>Married/Civil partnership-Heterosexual</t>
  </si>
  <si>
    <t>Married/Civil partnership-Same sex</t>
  </si>
  <si>
    <t>Married/Civil partnership-Heterosexual</t>
  </si>
  <si>
    <t>Cohabiting</t>
  </si>
  <si>
    <t>Married/Civil partnership-Heterosexual</t>
  </si>
  <si>
    <t>Single</t>
  </si>
  <si>
    <t>Married/Civil partnership-Heterosexual</t>
  </si>
  <si>
    <t>Lone parent</t>
  </si>
  <si>
    <t>Married/Civil partnership-Heterosexual</t>
  </si>
  <si>
    <t>Cohabiting</t>
  </si>
  <si>
    <t>Married/Civil partnership-Heterosexual</t>
  </si>
  <si>
    <t>Cohabiting</t>
  </si>
  <si>
    <t>Married/Civil partnership-Same sex</t>
  </si>
  <si>
    <t>Cohabiting</t>
  </si>
  <si>
    <t>Married/Civil partnership-Heterosexual</t>
  </si>
  <si>
    <t>Cohabiting</t>
  </si>
  <si>
    <t>Single</t>
  </si>
  <si>
    <t>Married/Civil partnership-Heterosexual</t>
  </si>
  <si>
    <t>Single</t>
  </si>
  <si>
    <t>Cohabiting</t>
  </si>
  <si>
    <t>Married/Civil partnership-Heterosexual</t>
  </si>
  <si>
    <t>Cohabiting</t>
  </si>
  <si>
    <t>Married/Civil partnership-Heterosexual</t>
  </si>
  <si>
    <t>Single</t>
  </si>
  <si>
    <t>Cohabiting</t>
  </si>
  <si>
    <t>Married/Civil partnership-Heterosexual</t>
  </si>
  <si>
    <t>Cohabiting</t>
  </si>
  <si>
    <t>Inyourfamilyunitdoyoulivewithanydependentpersonchildrenorelderl</t>
  </si>
  <si>
    <t>In your family unit, do you live with any dependent person (children or elderly caring for disabled spouse)?</t>
  </si>
  <si>
    <t>School age children (5-16 years)</t>
  </si>
  <si>
    <t>No</t>
  </si>
  <si>
    <t>School age children (5-16 years)</t>
  </si>
  <si>
    <t>No</t>
  </si>
  <si>
    <t>School age children (5-16 years)</t>
  </si>
  <si>
    <t>No</t>
  </si>
  <si>
    <t>Preschool age children (under 5 years)</t>
  </si>
  <si>
    <t>No</t>
  </si>
  <si>
    <t>Preschool age children (under 5 years)</t>
  </si>
  <si>
    <t>No</t>
  </si>
  <si>
    <t>Preschool age children (under 5 years)</t>
  </si>
  <si>
    <t>No</t>
  </si>
  <si>
    <t>Preschool age children (under 5 years)</t>
  </si>
  <si>
    <t>No</t>
  </si>
  <si>
    <t>Preschool age children (under 5 years)</t>
  </si>
  <si>
    <t>No</t>
  </si>
  <si>
    <t>Preschool age children (under 5 years)</t>
  </si>
  <si>
    <t>No</t>
  </si>
  <si>
    <t>Preschool age children (under 5 years)</t>
  </si>
  <si>
    <t>No</t>
  </si>
  <si>
    <t>Preschool age children (under 5 years)</t>
  </si>
  <si>
    <t>School age children (5-16 years)</t>
  </si>
  <si>
    <t>No</t>
  </si>
  <si>
    <t>Preschool age children (under 5 years)</t>
  </si>
  <si>
    <t>School age children (5-16 years)</t>
  </si>
  <si>
    <t>No</t>
  </si>
  <si>
    <t>Preschool age children (under 5 years)</t>
  </si>
  <si>
    <t>No</t>
  </si>
  <si>
    <t>School age children (5-16 years)</t>
  </si>
  <si>
    <t>No</t>
  </si>
  <si>
    <t>School age children (5-16 years)</t>
  </si>
  <si>
    <t>Preschool age children (under 5 years)</t>
  </si>
  <si>
    <t>No</t>
  </si>
  <si>
    <t>School age children (5-16 years)</t>
  </si>
  <si>
    <t>No</t>
  </si>
  <si>
    <t>School age children (5-16 years)</t>
  </si>
  <si>
    <t>No</t>
  </si>
  <si>
    <t>School age children (5-16 years)</t>
  </si>
  <si>
    <t>No</t>
  </si>
  <si>
    <t>School age children (5-16 years)</t>
  </si>
  <si>
    <t>No</t>
  </si>
  <si>
    <t>School age children (5-16 years)</t>
  </si>
  <si>
    <t>No</t>
  </si>
  <si>
    <t>Preschool age children (under 5 years)</t>
  </si>
  <si>
    <t>School age children (5-16 years)</t>
  </si>
  <si>
    <t>No</t>
  </si>
  <si>
    <t>School age children (5-16 years)</t>
  </si>
  <si>
    <t>No</t>
  </si>
  <si>
    <t>School age children (5-16 years)</t>
  </si>
  <si>
    <t>Preschool age children (under 5 years)</t>
  </si>
  <si>
    <t>School age children (5-16 years)</t>
  </si>
  <si>
    <t>No</t>
  </si>
  <si>
    <t>Preschool age children (under 5 years)</t>
  </si>
  <si>
    <t>No</t>
  </si>
  <si>
    <t>School age children (5-16 years)</t>
  </si>
  <si>
    <t>No</t>
  </si>
  <si>
    <t>School age children (5-16 years)</t>
  </si>
  <si>
    <t>No</t>
  </si>
  <si>
    <t>School age children (5-16 years)</t>
  </si>
  <si>
    <t>No</t>
  </si>
  <si>
    <t>School age children (5-16 years)</t>
  </si>
  <si>
    <t>No</t>
  </si>
  <si>
    <t>School age children (5-16 years)</t>
  </si>
  <si>
    <t>No</t>
  </si>
  <si>
    <t>School age children (5-16 years)</t>
  </si>
  <si>
    <t>No</t>
  </si>
  <si>
    <t>Preschool age children (under 5 years)</t>
  </si>
  <si>
    <t>No</t>
  </si>
  <si>
    <t>School age children (5-16 years)</t>
  </si>
  <si>
    <t>No</t>
  </si>
  <si>
    <t>School age children (5-16 years)</t>
  </si>
  <si>
    <t>No</t>
  </si>
  <si>
    <t>Elderly relative</t>
  </si>
  <si>
    <t>No</t>
  </si>
  <si>
    <t>School age children (5-16 years)</t>
  </si>
  <si>
    <t>No</t>
  </si>
  <si>
    <t>School age children (5-16 years)</t>
  </si>
  <si>
    <t>Preschool age children (under 5 years)</t>
  </si>
  <si>
    <t>School age children (5-16 years)</t>
  </si>
  <si>
    <t>No</t>
  </si>
  <si>
    <t>Preschool age children (under 5 years)</t>
  </si>
  <si>
    <t>No</t>
  </si>
  <si>
    <t>Preschool age children (under 5 years)</t>
  </si>
  <si>
    <t>Elderly relative</t>
  </si>
  <si>
    <t>No</t>
  </si>
  <si>
    <t>Preschool age children (under 5 years)</t>
  </si>
  <si>
    <t>No</t>
  </si>
  <si>
    <t>Dziecko w wieku przedszkolnym (poniżej 5 roku życia)</t>
  </si>
  <si>
    <t>No</t>
  </si>
  <si>
    <t>Krewny w podeszłym wieku</t>
  </si>
  <si>
    <t>School age children (5-16 years)</t>
  </si>
  <si>
    <t>Dziecko w wieku przedszkolnym (poniżej 5 roku życia)</t>
  </si>
  <si>
    <t>No</t>
  </si>
  <si>
    <t>School age children (5-16 years)</t>
  </si>
  <si>
    <t>No</t>
  </si>
  <si>
    <t>School age children (5-16 years)</t>
  </si>
  <si>
    <t>No</t>
  </si>
  <si>
    <t>Krewny w podeszłym wieku</t>
  </si>
  <si>
    <t>No</t>
  </si>
  <si>
    <t>Dziecko w wieku przedszkolnym (poniżej 5 roku życia)</t>
  </si>
  <si>
    <t>School age children (5-16 years)</t>
  </si>
  <si>
    <t>Dziecko w wieku przedszkolnym (poniżej 5 roku życia)</t>
  </si>
  <si>
    <t>School age children (5-16 years)</t>
  </si>
  <si>
    <t>No</t>
  </si>
  <si>
    <t>School age children (5-16 years)</t>
  </si>
  <si>
    <t>Krewny w podeszłym wieku</t>
  </si>
  <si>
    <t>No</t>
  </si>
  <si>
    <t>School age children (5-16 years)</t>
  </si>
  <si>
    <t>No</t>
  </si>
  <si>
    <t>School age children (5-16 years)</t>
  </si>
  <si>
    <t>No</t>
  </si>
  <si>
    <t>Dziecko w wieku przedszkolnym (poniżej 5 roku życia)</t>
  </si>
  <si>
    <t>No</t>
  </si>
  <si>
    <t>Dziecko w wieku przedszkolnym (poniżej 5 roku życia)</t>
  </si>
  <si>
    <t>No</t>
  </si>
  <si>
    <t>School age children (5-16 years)</t>
  </si>
  <si>
    <t>No</t>
  </si>
  <si>
    <t>School age children (5-16 years)</t>
  </si>
  <si>
    <t>No</t>
  </si>
  <si>
    <t>School age children (5-16 years)</t>
  </si>
  <si>
    <t>No</t>
  </si>
  <si>
    <t>School age children (5-16 years)</t>
  </si>
  <si>
    <t>No</t>
  </si>
  <si>
    <t>School age children (5-16 years)</t>
  </si>
  <si>
    <t>No</t>
  </si>
  <si>
    <t>School age children (5-16 years)</t>
  </si>
  <si>
    <t>No</t>
  </si>
  <si>
    <t>School age children (5-16 years)</t>
  </si>
  <si>
    <t>Dziecko w wieku przedszkolnym (poniżej 5 roku życia)</t>
  </si>
  <si>
    <t>School age children (5-16 years)</t>
  </si>
  <si>
    <t>No</t>
  </si>
  <si>
    <t>Krewny w podeszłym wieku</t>
  </si>
  <si>
    <t>No</t>
  </si>
  <si>
    <t>School age children (5-16 years)</t>
  </si>
  <si>
    <t>No</t>
  </si>
  <si>
    <t>School age children (5-16 years)</t>
  </si>
  <si>
    <t>No</t>
  </si>
  <si>
    <t>Krewny w podeszłym wieku</t>
  </si>
  <si>
    <t>School age children (5-16 years)</t>
  </si>
  <si>
    <t>No</t>
  </si>
  <si>
    <t>School age children (5-16 years)</t>
  </si>
  <si>
    <t>No</t>
  </si>
  <si>
    <t>School age children (5-16 years)</t>
  </si>
  <si>
    <t>Krewny w podeszłym wieku</t>
  </si>
  <si>
    <t>No</t>
  </si>
  <si>
    <t>School age children (5-16 years)</t>
  </si>
  <si>
    <t>No</t>
  </si>
  <si>
    <t>Dziecko w wieku przedszkolnym (poniżej 5 roku życia)</t>
  </si>
  <si>
    <t>School age children (5-16 years)</t>
  </si>
  <si>
    <t>No</t>
  </si>
  <si>
    <t>School age children (5-16 years)</t>
  </si>
  <si>
    <t>No</t>
  </si>
  <si>
    <t>School age children (5-16 years)</t>
  </si>
  <si>
    <t>No</t>
  </si>
  <si>
    <t>Preschool age children (under 5 years)</t>
  </si>
  <si>
    <t>No</t>
  </si>
  <si>
    <t>Preschool age children (under 5 years)</t>
  </si>
  <si>
    <t>Disabled spouse</t>
  </si>
  <si>
    <t>No</t>
  </si>
  <si>
    <t>Disabled spouse</t>
  </si>
  <si>
    <t>Preschool age children (under 5 years)</t>
  </si>
  <si>
    <t>No</t>
  </si>
  <si>
    <t>School age children (5-16 years)</t>
  </si>
  <si>
    <t>Elderly relative</t>
  </si>
  <si>
    <t>No</t>
  </si>
  <si>
    <t>School age children (5-16 years)</t>
  </si>
  <si>
    <t>No</t>
  </si>
  <si>
    <t>School age children (5-16 years)</t>
  </si>
  <si>
    <t>No</t>
  </si>
  <si>
    <t>Preschool age children (under 5 years)</t>
  </si>
  <si>
    <t>School age children (5-16 years)</t>
  </si>
  <si>
    <t>No</t>
  </si>
  <si>
    <t>Preschool age children (under 5 years)</t>
  </si>
  <si>
    <t>School age children (5-16 years)</t>
  </si>
  <si>
    <t>No</t>
  </si>
  <si>
    <t>Disabled spouse</t>
  </si>
  <si>
    <t>No</t>
  </si>
  <si>
    <t>School age children (5-16 years)</t>
  </si>
  <si>
    <t>No</t>
  </si>
  <si>
    <t>School age children (5-16 years)</t>
  </si>
  <si>
    <t>Preschool age children (under 5 years)</t>
  </si>
  <si>
    <t>School age children (5-16 years)</t>
  </si>
  <si>
    <t>Preschool age children (under 5 years)</t>
  </si>
  <si>
    <t>No</t>
  </si>
  <si>
    <t>School age children (5-16 years)</t>
  </si>
  <si>
    <t>Preschool age children (under 5 years)</t>
  </si>
  <si>
    <t>No</t>
  </si>
  <si>
    <t>Doyoutravelonaweeklybasiswithadependentpersonchildrenelderlycar</t>
  </si>
  <si>
    <t>Do you travel on a weekly basis with a dependent person? (children, elderly, caring for disabled person).</t>
  </si>
  <si>
    <t>Prefer not to answer</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</si>
  <si>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</si>
  <si>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</si>
  <si>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</si>
  <si>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</si>
  <si>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</si>
  <si>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</si>
  <si>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</si>
  <si>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</si>
  <si>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</si>
  <si>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</si>
  <si>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</si>
  <si>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</si>
  <si>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</si>
  <si>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</si>
  <si>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</si>
  <si>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</si>
  <si>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</si>
  <si>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</si>
  <si>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</si>
  <si>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</si>
  <si>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</si>
  <si>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</si>
  <si>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</si>
  <si>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</si>
  <si>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</si>
  <si>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</si>
  <si>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</si>
  <si>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</si>
  <si>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</si>
  <si>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</si>
  <si>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</si>
  <si>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</si>
  <si>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</si>
  <si>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</si>
  <si>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</si>
  <si>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</si>
  <si>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</si>
  <si>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Prefer not to answer</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</si>
  <si>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</si>
  <si>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</si>
  <si>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</si>
  <si>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</si>
  <si>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</si>
  <si>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</si>
  <si>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</si>
  <si>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</si>
  <si>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</si>
  <si>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</si>
  <si>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</si>
  <si>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</si>
  <si>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</si>
  <si>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</si>
  <si>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</si>
  <si>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</si>
  <si>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</si>
  <si>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</si>
  <si>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</si>
  <si>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</si>
  <si>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</si>
  <si>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</si>
  <si>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</si>
  <si>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</si>
  <si>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</si>
  <si>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</si>
  <si>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</si>
  <si>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</si>
  <si>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</si>
  <si>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</si>
  <si>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</si>
  <si>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</si>
  <si>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</si>
  <si>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</si>
  <si>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</si>
  <si>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</si>
  <si>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</si>
  <si>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</si>
  <si>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</si>
  <si>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</si>
  <si>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</si>
  <si>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</si>
  <si>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</si>
  <si>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Wolę nie odpowiadać</t>
  </si>
  <si>
    <t>No</t>
  </si>
  <si>
    <t>Yes</t>
  </si>
  <si>
    <t>No</t>
  </si>
  <si>
    <t>Yes</t>
  </si>
  <si>
    <t>No</t>
  </si>
  <si>
    <t>Yes</t>
  </si>
  <si>
    <t>No</t>
  </si>
  <si>
    <t>Yes</t>
  </si>
  <si>
    <t>No</t>
  </si>
  <si>
    <t>Yes</t>
  </si>
  <si>
    <t>No</t>
  </si>
  <si>
    <t>Yes</t>
  </si>
  <si>
    <t>No</t>
  </si>
  <si>
    <t>Yes</t>
  </si>
  <si>
    <t>No</t>
  </si>
  <si>
    <t>Yes</t>
  </si>
  <si>
    <t>No</t>
  </si>
  <si>
    <t>Yes</t>
  </si>
  <si>
    <t>No</t>
  </si>
  <si>
    <t>Yes</t>
  </si>
  <si>
    <t>Wolę nie odpowiadać</t>
  </si>
  <si>
    <t>No</t>
  </si>
  <si>
    <t>Wolę nie odpowiadać</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</si>
  <si>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</si>
  <si>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</si>
  <si>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</si>
  <si>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</si>
  <si>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</si>
  <si>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</si>
  <si>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</si>
  <si>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</si>
  <si>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</si>
  <si>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</si>
  <si>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</si>
  <si>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</si>
  <si>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</si>
  <si>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</si>
  <si>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</si>
  <si>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</si>
  <si>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</si>
  <si>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</si>
  <si>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</si>
  <si>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</si>
  <si>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</si>
  <si>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</si>
  <si>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</si>
  <si>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</si>
  <si>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</si>
  <si>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</si>
  <si>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</si>
  <si>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</si>
  <si>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</si>
  <si>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</si>
  <si>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Yes</t>
  </si>
  <si>
    <t>No</t>
  </si>
  <si>
    <t>Whatisyourprofessionalstatus</t>
  </si>
  <si>
    <t>What is your professional status?</t>
  </si>
  <si>
    <t>Paid employment</t>
  </si>
  <si>
    <t>Student</t>
  </si>
  <si>
    <t>Retired</t>
  </si>
  <si>
    <t>Student</t>
  </si>
  <si>
    <t>Self-employed</t>
  </si>
  <si>
    <t>Paid employment</t>
  </si>
  <si>
    <t>Other</t>
  </si>
  <si>
    <t>Paid employment</t>
  </si>
  <si>
    <t>Self-employed</t>
  </si>
  <si>
    <t>Paid employment</t>
  </si>
  <si>
    <t>Retired</t>
  </si>
  <si>
    <t>Paid employment</t>
  </si>
  <si>
    <t>Unemployed (other reason)</t>
  </si>
  <si>
    <t>Student</t>
  </si>
  <si>
    <t>Paid employment</t>
  </si>
  <si>
    <t>Self-employed</t>
  </si>
  <si>
    <t>Paid employment</t>
  </si>
  <si>
    <t>Student</t>
  </si>
  <si>
    <t>Paid employment</t>
  </si>
  <si>
    <t>Student</t>
  </si>
  <si>
    <t>Self-employed</t>
  </si>
  <si>
    <t>Student</t>
  </si>
  <si>
    <t>Paid employment</t>
  </si>
  <si>
    <t>Self-employed</t>
  </si>
  <si>
    <t>Student</t>
  </si>
  <si>
    <t>Paid employment</t>
  </si>
  <si>
    <t>Retired</t>
  </si>
  <si>
    <t>Paid employment</t>
  </si>
  <si>
    <t>Keeping house/house maker Home maker</t>
  </si>
  <si>
    <t>Prefer not to answer</t>
  </si>
  <si>
    <t>Paid employment</t>
  </si>
  <si>
    <t>Self-employed</t>
  </si>
  <si>
    <t>Paid employment</t>
  </si>
  <si>
    <t>Student</t>
  </si>
  <si>
    <t>Prefer not to answer</t>
  </si>
  <si>
    <t>Paid employment</t>
  </si>
  <si>
    <t>Student</t>
  </si>
  <si>
    <t>Self-employed</t>
  </si>
  <si>
    <t>Paid employment</t>
  </si>
  <si>
    <t>Student</t>
  </si>
  <si>
    <t>Paid employment</t>
  </si>
  <si>
    <t>Retired</t>
  </si>
  <si>
    <t>Paid employment</t>
  </si>
  <si>
    <t>Self-employed</t>
  </si>
  <si>
    <t>Student</t>
  </si>
  <si>
    <t>Paid employment</t>
  </si>
  <si>
    <t>Self-employed</t>
  </si>
  <si>
    <t>Paid employment</t>
  </si>
  <si>
    <t>Self-employed</t>
  </si>
  <si>
    <t>Paid employment</t>
  </si>
  <si>
    <t>Self-employed</t>
  </si>
  <si>
    <t>Unemployed (other reason)</t>
  </si>
  <si>
    <t>Self-employed</t>
  </si>
  <si>
    <t>Paid employment</t>
  </si>
  <si>
    <t>Other</t>
  </si>
  <si>
    <t>Paid employment</t>
  </si>
  <si>
    <t>Student</t>
  </si>
  <si>
    <t>Paid employment</t>
  </si>
  <si>
    <t>Student</t>
  </si>
  <si>
    <t>Paid employment</t>
  </si>
  <si>
    <t>Self-employed</t>
  </si>
  <si>
    <t>Paid employment</t>
  </si>
  <si>
    <t>Student</t>
  </si>
  <si>
    <t>Paid employment</t>
  </si>
  <si>
    <t>Unemployed (other reason)</t>
  </si>
  <si>
    <t>Other</t>
  </si>
  <si>
    <t>Unemployed (other reason)</t>
  </si>
  <si>
    <t>Paid employment</t>
  </si>
  <si>
    <t>Self-employed</t>
  </si>
  <si>
    <t>Paid employment</t>
  </si>
  <si>
    <t>Self-employed</t>
  </si>
  <si>
    <t>Unemployed (other reason)</t>
  </si>
  <si>
    <t>Self-employed</t>
  </si>
  <si>
    <t>Paid employment</t>
  </si>
  <si>
    <t>Retired</t>
  </si>
  <si>
    <t>Paid employment</t>
  </si>
  <si>
    <t>Self-employed</t>
  </si>
  <si>
    <t>Unemployed (other reason)</t>
  </si>
  <si>
    <t>Paid employment</t>
  </si>
  <si>
    <t>Student</t>
  </si>
  <si>
    <t>Paid employment</t>
  </si>
  <si>
    <t>Student</t>
  </si>
  <si>
    <t>Paid employment</t>
  </si>
  <si>
    <t>Student</t>
  </si>
  <si>
    <t>Self-employed</t>
  </si>
  <si>
    <t>Paid employment</t>
  </si>
  <si>
    <t>Student</t>
  </si>
  <si>
    <t>Self-employed</t>
  </si>
  <si>
    <t>Paid employment</t>
  </si>
  <si>
    <t>Self-employed</t>
  </si>
  <si>
    <t>Unemployed (other reason)</t>
  </si>
  <si>
    <t>Self-employed</t>
  </si>
  <si>
    <t>Paid employment</t>
  </si>
  <si>
    <t>Student</t>
  </si>
  <si>
    <t>Other</t>
  </si>
  <si>
    <t>Student</t>
  </si>
  <si>
    <t>Praca płatna</t>
  </si>
  <si>
    <t>Self-employed</t>
  </si>
  <si>
    <t>Praca płatna</t>
  </si>
  <si>
    <t>Student</t>
  </si>
  <si>
    <t>Praca płatna</t>
  </si>
  <si>
    <t>Wolę nie odpowiadać</t>
  </si>
  <si>
    <t>Praca płatna</t>
  </si>
  <si>
    <t>Student</t>
  </si>
  <si>
    <t>Praca płatna</t>
  </si>
  <si>
    <t>Keeping house/house maker Home maker</t>
  </si>
  <si>
    <t>Praca płatna</t>
  </si>
  <si>
    <t>Wolę nie odpowiadać</t>
  </si>
  <si>
    <t>Praca płatna</t>
  </si>
  <si>
    <t>Self-employed</t>
  </si>
  <si>
    <t>Praca płatna</t>
  </si>
  <si>
    <t>Student</t>
  </si>
  <si>
    <t>Praca płatna</t>
  </si>
  <si>
    <t>Student</t>
  </si>
  <si>
    <t>Praca płatna</t>
  </si>
  <si>
    <t>Non-paid work</t>
  </si>
  <si>
    <t>Praca płatna</t>
  </si>
  <si>
    <t>Student</t>
  </si>
  <si>
    <t>Praca płatna</t>
  </si>
  <si>
    <t>Student</t>
  </si>
  <si>
    <t>Praca płatna</t>
  </si>
  <si>
    <t>Student</t>
  </si>
  <si>
    <t>Praca płatna</t>
  </si>
  <si>
    <t>Student</t>
  </si>
  <si>
    <t>Praca płatna</t>
  </si>
  <si>
    <t>Student</t>
  </si>
  <si>
    <t>Praca płatna</t>
  </si>
  <si>
    <t>Other</t>
  </si>
  <si>
    <t>Self-employed</t>
  </si>
  <si>
    <t>Praca płatna</t>
  </si>
  <si>
    <t>Other</t>
  </si>
  <si>
    <t>Praca płatna</t>
  </si>
  <si>
    <t>Non-paid work</t>
  </si>
  <si>
    <t>Praca płatna</t>
  </si>
  <si>
    <t>Self-employed</t>
  </si>
  <si>
    <t>Retired</t>
  </si>
  <si>
    <t>Praca płatna</t>
  </si>
  <si>
    <t>Student</t>
  </si>
  <si>
    <t>Praca płatna</t>
  </si>
  <si>
    <t>Unemployed (health reason)</t>
  </si>
  <si>
    <t>Praca płatna</t>
  </si>
  <si>
    <t>Paid employment</t>
  </si>
  <si>
    <t>Retired</t>
  </si>
  <si>
    <t>Paid employment</t>
  </si>
  <si>
    <t>Other</t>
  </si>
  <si>
    <t>Non-paid work</t>
  </si>
  <si>
    <t>Paid employment</t>
  </si>
  <si>
    <t>Self-employed</t>
  </si>
  <si>
    <t>Paid employment</t>
  </si>
  <si>
    <t>Other</t>
  </si>
  <si>
    <t>Paid employment</t>
  </si>
  <si>
    <t>Student</t>
  </si>
  <si>
    <t>Paid employment</t>
  </si>
  <si>
    <t>Student</t>
  </si>
  <si>
    <t>Paid employment</t>
  </si>
  <si>
    <t>Self-employed</t>
  </si>
  <si>
    <t>Paid employment</t>
  </si>
  <si>
    <t>Other</t>
  </si>
  <si>
    <t>Self-employed</t>
  </si>
  <si>
    <t>Other</t>
  </si>
  <si>
    <t>Keeping house/house maker Home maker</t>
  </si>
  <si>
    <t>Paid employment</t>
  </si>
  <si>
    <t>Self-employed</t>
  </si>
  <si>
    <t>Paid employment</t>
  </si>
  <si>
    <t>Self-employed</t>
  </si>
  <si>
    <t>Paid employment</t>
  </si>
  <si>
    <t>Inemploymentdoyou</t>
  </si>
  <si>
    <t>In employment do you...</t>
  </si>
  <si>
    <t>Work part time (less than 30 hours per week)</t>
  </si>
  <si>
    <t>Work full time (30 hours per week or more)</t>
  </si>
  <si>
    <t>Work part time (less than 30 hours per week)</t>
  </si>
  <si>
    <t>Other</t>
  </si>
  <si>
    <t>Work full time (30 hours per week or more)</t>
  </si>
  <si>
    <t>Work part time (less than 30 hours per week)</t>
  </si>
  <si>
    <t>Work full time (30 hours per week or more)</t>
  </si>
  <si>
    <t>Other</t>
  </si>
  <si>
    <t>Work full time (30 hours per week or more)</t>
  </si>
  <si>
    <t>Work part time (less than 30 hours per week)</t>
  </si>
  <si>
    <t>Work full time (30 hours per week or more)</t>
  </si>
  <si>
    <t>Work part time (less than 30 hours per week)</t>
  </si>
  <si>
    <t>Work full time (30 hours per week or more)</t>
  </si>
  <si>
    <t>Work part time (less than 30 hours per week)</t>
  </si>
  <si>
    <t>Work full time (30 hours per week or more)</t>
  </si>
  <si>
    <t>Work part time (less than 30 hours per week)</t>
  </si>
  <si>
    <t>Work full time (30 hours per week or more)</t>
  </si>
  <si>
    <t>Other</t>
  </si>
  <si>
    <t>Work full time (30 hours per week or more)</t>
  </si>
  <si>
    <t>Work part time (less than 30 hours per week)</t>
  </si>
  <si>
    <t>Work full time (30 hours per week or more)</t>
  </si>
  <si>
    <t>Other</t>
  </si>
  <si>
    <t>Work full time (30 hours per week or more)</t>
  </si>
  <si>
    <t>Work part time (less than 30 hours per week)</t>
  </si>
  <si>
    <t>Other</t>
  </si>
  <si>
    <t>Work full time (30 hours per week or more)</t>
  </si>
  <si>
    <t>Other</t>
  </si>
  <si>
    <t>Work part time (less than 30 hours per week)</t>
  </si>
  <si>
    <t>Work full time (30 hours per week or more)</t>
  </si>
  <si>
    <t>Other</t>
  </si>
  <si>
    <t>Work full time (30 hours per week or more)</t>
  </si>
  <si>
    <t>Other</t>
  </si>
  <si>
    <t>Work full time (30 hours per week or more)</t>
  </si>
  <si>
    <t>Other</t>
  </si>
  <si>
    <t>Work full time (30 hours per week or more)</t>
  </si>
  <si>
    <t>Other</t>
  </si>
  <si>
    <t>Work full time (30 hours per week or more)</t>
  </si>
  <si>
    <t>Other</t>
  </si>
  <si>
    <t>Work full time (30 hours per week or more)</t>
  </si>
  <si>
    <t>Other</t>
  </si>
  <si>
    <t>Work full time (30 hours per week or more)</t>
  </si>
  <si>
    <t>Other</t>
  </si>
  <si>
    <t>Work full time (30 hours per week or more)</t>
  </si>
  <si>
    <t>Other</t>
  </si>
  <si>
    <t>Work full time (30 hours per week or more)</t>
  </si>
  <si>
    <t>Other</t>
  </si>
  <si>
    <t>Work full time (30 hours per week or more)</t>
  </si>
  <si>
    <t>Other</t>
  </si>
  <si>
    <t>Work full time (30 hours per week or more)</t>
  </si>
  <si>
    <t>Work part time (less than 30 hours per week)</t>
  </si>
  <si>
    <t>Work full time (30 hours per week or more)</t>
  </si>
  <si>
    <t>Work part time (less than 30 hours per week)</t>
  </si>
  <si>
    <t>Work full time (30 hours per week or more)</t>
  </si>
  <si>
    <t>Work part time (less than 30 hours per week)</t>
  </si>
  <si>
    <t>Work full time (30 hours per week or more)</t>
  </si>
  <si>
    <t>Other</t>
  </si>
  <si>
    <t>Work full time (30 hours per week or more)</t>
  </si>
  <si>
    <t>Other</t>
  </si>
  <si>
    <t>Work full time (30 hours per week or more)</t>
  </si>
  <si>
    <t>Other</t>
  </si>
  <si>
    <t>Work full time (30 hours per week or more)</t>
  </si>
  <si>
    <t>Work part time (less than 30 hours per week)</t>
  </si>
  <si>
    <t>Work full time (30 hours per week or more)</t>
  </si>
  <si>
    <t>Other</t>
  </si>
  <si>
    <t>Work full time (30 hours per week or more)</t>
  </si>
  <si>
    <t>Work part time (less than 30 hours per week)</t>
  </si>
  <si>
    <t>Other</t>
  </si>
  <si>
    <t>Work full time (30 hours per week or more)</t>
  </si>
  <si>
    <t>Work part time (less than 30 hours per week)</t>
  </si>
  <si>
    <t>Ostalo (naznačite)</t>
  </si>
  <si>
    <t>Work part time (less than 30 hours per week)</t>
  </si>
  <si>
    <t>Ostalo (naznačite)</t>
  </si>
  <si>
    <t>Puno radno vreme (≥30 sati nedeljno)</t>
  </si>
  <si>
    <t>Work part time (less than 30 hours per week)</t>
  </si>
  <si>
    <t>Ostalo (naznačite)</t>
  </si>
  <si>
    <t>Puno radno vreme (≥30 sati nedeljno)</t>
  </si>
  <si>
    <t>Work part time (less than 30 hours per week)</t>
  </si>
  <si>
    <t>Puno radno vreme (≥30 sati nedeljno)</t>
  </si>
  <si>
    <t>Ostalo (naznačite)</t>
  </si>
  <si>
    <t>Work full time (30 hours per week or more)</t>
  </si>
  <si>
    <t>Na niepełny etat (mniej niż 30 godzin tygodniowo)</t>
  </si>
  <si>
    <t>Other</t>
  </si>
  <si>
    <t>Na niepełny etat (mniej niż 30 godzin tygodniowo)</t>
  </si>
  <si>
    <t>Na cały etat (30 godzin tygodniowo lub więcej)</t>
  </si>
  <si>
    <t>Na niepełny etat (mniej niż 30 godzin tygodniowo)</t>
  </si>
  <si>
    <t>Na cały etat (30 godzin tygodniowo lub więcej)</t>
  </si>
  <si>
    <t>Na niepełny etat (mniej niż 30 godzin tygodniowo)</t>
  </si>
  <si>
    <t>Na cały etat (30 godzin tygodniowo lub więcej)</t>
  </si>
  <si>
    <t>Other</t>
  </si>
  <si>
    <t>Na cały etat (30 godzin tygodniowo lub więcej)</t>
  </si>
  <si>
    <t>Other</t>
  </si>
  <si>
    <t>Na cały etat (30 godzin tygodniowo lub więcej)</t>
  </si>
  <si>
    <t>Other</t>
  </si>
  <si>
    <t>Na cały etat (30 godzin tygodniowo lub więcej)</t>
  </si>
  <si>
    <t>Na niepełny etat (mniej niż 30 godzin tygodniowo)</t>
  </si>
  <si>
    <t>Na cały etat (30 godzin tygodniowo lub więcej)</t>
  </si>
  <si>
    <t>Na niepełny etat (mniej niż 30 godzin tygodniowo)</t>
  </si>
  <si>
    <t>Na cały etat (30 godzin tygodniowo lub więcej)</t>
  </si>
  <si>
    <t>Na niepełny etat (mniej niż 30 godzin tygodniowo)</t>
  </si>
  <si>
    <t>Na cały etat (30 godzin tygodniowo lub więcej)</t>
  </si>
  <si>
    <t>Na niepełny etat (mniej niż 30 godzin tygodniowo)</t>
  </si>
  <si>
    <t>Na cały etat (30 godzin tygodniowo lub więcej)</t>
  </si>
  <si>
    <t>Na niepełny etat (mniej niż 30 godzin tygodniowo)</t>
  </si>
  <si>
    <t>Other</t>
  </si>
  <si>
    <t>Na cały etat (30 godzin tygodniowo lub więcej)</t>
  </si>
  <si>
    <t>Other</t>
  </si>
  <si>
    <t>Na cały etat (30 godzin tygodniowo lub więcej)</t>
  </si>
  <si>
    <t>Na niepełny etat (mniej niż 30 godzin tygodniowo)</t>
  </si>
  <si>
    <t>Na cały etat (30 godzin tygodniowo lub więcej)</t>
  </si>
  <si>
    <t>Na niepełny etat (mniej niż 30 godzin tygodniowo)</t>
  </si>
  <si>
    <t>Na cały etat (30 godzin tygodniowo lub więcej)</t>
  </si>
  <si>
    <t>Na niepełny etat (mniej niż 30 godzin tygodniowo)</t>
  </si>
  <si>
    <t>Na cały etat (30 godzin tygodniowo lub więcej)</t>
  </si>
  <si>
    <t>Other</t>
  </si>
  <si>
    <t>Na cały etat (30 godzin tygodniowo lub więcej)</t>
  </si>
  <si>
    <t>Other</t>
  </si>
  <si>
    <t>Na cały etat (30 godzin tygodniowo lub więcej)</t>
  </si>
  <si>
    <t>Na niepełny etat (mniej niż 30 godzin tygodniowo)</t>
  </si>
  <si>
    <t>Na cały etat (30 godzin tygodniowo lub więcej)</t>
  </si>
  <si>
    <t>Na niepełny etat (mniej niż 30 godzin tygodniowo)</t>
  </si>
  <si>
    <t>Na cały etat (30 godzin tygodniowo lub więcej)</t>
  </si>
  <si>
    <t>Other</t>
  </si>
  <si>
    <t>Na cały etat (30 godzin tygodniowo lub więcej)</t>
  </si>
  <si>
    <t>Work full time (30 hours per week or more)</t>
  </si>
  <si>
    <t>Other</t>
  </si>
  <si>
    <t>Work full time (30 hours per week or more)</t>
  </si>
  <si>
    <t>Other</t>
  </si>
  <si>
    <t>Work full time (30 hours per week or more)</t>
  </si>
  <si>
    <t>Other</t>
  </si>
  <si>
    <t>Work full time (30 hours per week or more)</t>
  </si>
  <si>
    <t>Other</t>
  </si>
  <si>
    <t>Work full time (30 hours per week or more)</t>
  </si>
  <si>
    <t>Work part time (less than 30 hours per week)</t>
  </si>
  <si>
    <t>Work full time (30 hours per week or more)</t>
  </si>
  <si>
    <t>Work part time (less than 30 hours per week)</t>
  </si>
  <si>
    <t>Work full time (30 hours per week or more)</t>
  </si>
  <si>
    <t>Other</t>
  </si>
  <si>
    <t>Work part time (less than 30 hours per week)</t>
  </si>
  <si>
    <t>Work full time (30 hours per week or more)</t>
  </si>
  <si>
    <t>Other</t>
  </si>
  <si>
    <t>Work full time (30 hours per week or more)</t>
  </si>
  <si>
    <t>Doyoucurrentlyhaveanillnessimpairmentordisabilitywhichaffectsho</t>
  </si>
  <si>
    <t>Do you currently have an illness, impairment or disability which affects how your work or travel that has an expected duration of 12 months or more?</t>
  </si>
  <si>
    <t>No</t>
  </si>
  <si>
    <t>Yes</t>
  </si>
  <si>
    <t>Prefer not to answer</t>
  </si>
  <si>
    <t>No</t>
  </si>
  <si>
    <t>Yes</t>
  </si>
  <si>
    <t>No</t>
  </si>
  <si>
    <t>Yes</t>
  </si>
  <si>
    <t>No</t>
  </si>
  <si>
    <t>Yes</t>
  </si>
  <si>
    <t>No</t>
  </si>
  <si>
    <t>Yes</t>
  </si>
  <si>
    <t>No</t>
  </si>
  <si>
    <t>Yes</t>
  </si>
  <si>
    <t>No</t>
  </si>
  <si>
    <t>Yes</t>
  </si>
  <si>
    <t>No</t>
  </si>
  <si>
    <t>Yes</t>
  </si>
  <si>
    <t>Prefer not to answer</t>
  </si>
  <si>
    <t>No</t>
  </si>
  <si>
    <t>Yes</t>
  </si>
  <si>
    <t>No</t>
  </si>
  <si>
    <t>Prefer not to answer</t>
  </si>
  <si>
    <t>No</t>
  </si>
  <si>
    <t>Prefer not to answer</t>
  </si>
  <si>
    <t>No</t>
  </si>
  <si>
    <t>Yes</t>
  </si>
  <si>
    <t>No</t>
  </si>
  <si>
    <t>Yes</t>
  </si>
  <si>
    <t>No</t>
  </si>
  <si>
    <t>Yes</t>
  </si>
  <si>
    <t>No</t>
  </si>
  <si>
    <t>Yes</t>
  </si>
  <si>
    <t>No</t>
  </si>
  <si>
    <t>Wolę nie odpowiadać</t>
  </si>
  <si>
    <t>No</t>
  </si>
  <si>
    <t>Yes</t>
  </si>
  <si>
    <t>No</t>
  </si>
  <si>
    <t>Yes</t>
  </si>
  <si>
    <t>No</t>
  </si>
  <si>
    <t>Yes</t>
  </si>
  <si>
    <t>No</t>
  </si>
  <si>
    <t>Yes</t>
  </si>
  <si>
    <t>No</t>
  </si>
  <si>
    <t>Yes</t>
  </si>
  <si>
    <t>No</t>
  </si>
  <si>
    <t>Yes</t>
  </si>
  <si>
    <t>No</t>
  </si>
  <si>
    <t>Yes</t>
  </si>
  <si>
    <t>No</t>
  </si>
  <si>
    <t>Yes</t>
  </si>
  <si>
    <t>Doesthishealthproblemaffectthekindofpaidworkthatyoumightdo</t>
  </si>
  <si>
    <t>Does this health problem affect the kind of paid work that you might do?</t>
  </si>
  <si>
    <t>1</t>
  </si>
  <si>
    <t>0</t>
  </si>
  <si>
    <t>1</t>
  </si>
  <si>
    <t>0</t>
  </si>
  <si>
    <t>1</t>
  </si>
  <si>
    <t>0</t>
  </si>
  <si>
    <t>1</t>
  </si>
  <si>
    <t>0</t>
  </si>
  <si>
    <t>1</t>
  </si>
  <si>
    <t>0</t>
  </si>
  <si>
    <t>1</t>
  </si>
  <si>
    <t>0</t>
  </si>
  <si>
    <t>1</t>
  </si>
  <si>
    <t>0</t>
  </si>
  <si>
    <t>Doesthishealthproblemaffecttheamountofpaidworkthatyoumightdo</t>
  </si>
  <si>
    <t>Does this health problem affect the amount of paid work that you might do?</t>
  </si>
  <si>
    <t>1</t>
  </si>
  <si>
    <t>0</t>
  </si>
  <si>
    <t>1</t>
  </si>
  <si>
    <t>0</t>
  </si>
  <si>
    <t>1</t>
  </si>
  <si>
    <t>0</t>
  </si>
  <si>
    <t>1</t>
  </si>
  <si>
    <t>0</t>
  </si>
  <si>
    <t>1</t>
  </si>
  <si>
    <t>0</t>
  </si>
  <si>
    <t>1</t>
  </si>
  <si>
    <t>0</t>
  </si>
  <si>
    <t>1</t>
  </si>
  <si>
    <t>0</t>
  </si>
  <si>
    <t>Doesyourhealthproblemlimityouruseoftransport</t>
  </si>
  <si>
    <t>Does your health problem limit your use of transport?</t>
  </si>
  <si>
    <t>0</t>
  </si>
  <si>
    <t>1</t>
  </si>
  <si>
    <t>0</t>
  </si>
  <si>
    <t>1</t>
  </si>
  <si>
    <t>0</t>
  </si>
  <si>
    <t>1</t>
  </si>
  <si>
    <t>0</t>
  </si>
  <si>
    <t>1</t>
  </si>
  <si>
    <t>0</t>
  </si>
  <si>
    <t>1</t>
  </si>
  <si>
    <t>0</t>
  </si>
  <si>
    <t>1</t>
  </si>
  <si>
    <t>0</t>
  </si>
  <si>
    <t>1</t>
  </si>
  <si>
    <t>0</t>
  </si>
  <si>
    <t>Whatisyourmaincitizenship</t>
  </si>
  <si>
    <t>What is your (main) citizenship?</t>
  </si>
  <si>
    <t>?</t>
  </si>
  <si>
    <t>British</t>
  </si>
  <si>
    <t>French</t>
  </si>
  <si>
    <t>German</t>
  </si>
  <si>
    <t>UK</t>
  </si>
  <si>
    <t>?</t>
  </si>
  <si>
    <t>German</t>
  </si>
  <si>
    <t>italian</t>
  </si>
  <si>
    <t>french</t>
  </si>
  <si>
    <t>France</t>
  </si>
  <si>
    <t>Portuguese</t>
  </si>
  <si>
    <t>p</t>
  </si>
  <si>
    <t>Polish</t>
  </si>
  <si>
    <t>Mexican</t>
  </si>
  <si>
    <t>Portuguese</t>
  </si>
  <si>
    <t>French</t>
  </si>
  <si>
    <t>_</t>
  </si>
  <si>
    <t>uk</t>
  </si>
  <si>
    <t>Italian</t>
  </si>
  <si>
    <t>italian</t>
  </si>
  <si>
    <t>I don't understand what it means</t>
  </si>
  <si>
    <t>Permanant</t>
  </si>
  <si>
    <t>italian</t>
  </si>
  <si>
    <t>French-British</t>
  </si>
  <si>
    <t>Italian</t>
  </si>
  <si>
    <t>British</t>
  </si>
  <si>
    <t>Mexican</t>
  </si>
  <si>
    <t>United States</t>
  </si>
  <si>
    <t>Spanish</t>
  </si>
  <si>
    <t>Canadian</t>
  </si>
  <si>
    <t>ITALian</t>
  </si>
  <si>
    <t>Mexican</t>
  </si>
  <si>
    <t>Italian</t>
  </si>
  <si>
    <t>Austrian</t>
  </si>
  <si>
    <t>United Kingdom</t>
  </si>
  <si>
    <t>Greek</t>
  </si>
  <si>
    <t>Russia</t>
  </si>
  <si>
    <t>Italian</t>
  </si>
  <si>
    <t>Greek</t>
  </si>
  <si>
    <t>UK</t>
  </si>
  <si>
    <t>french</t>
  </si>
  <si>
    <t>W</t>
  </si>
  <si>
    <t>British</t>
  </si>
  <si>
    <t>british</t>
  </si>
  <si>
    <t>Scottish</t>
  </si>
  <si>
    <t>French</t>
  </si>
  <si>
    <t>British</t>
  </si>
  <si>
    <t>UK</t>
  </si>
  <si>
    <t>French</t>
  </si>
  <si>
    <t>Uk</t>
  </si>
  <si>
    <t>Polish</t>
  </si>
  <si>
    <t>british</t>
  </si>
  <si>
    <t>British</t>
  </si>
  <si>
    <t>White British</t>
  </si>
  <si>
    <t>Spanish</t>
  </si>
  <si>
    <t>French</t>
  </si>
  <si>
    <t>mandalorian</t>
  </si>
  <si>
    <t>Française</t>
  </si>
  <si>
    <t>Francaise</t>
  </si>
  <si>
    <t>Française</t>
  </si>
  <si>
    <t>Francaisz</t>
  </si>
  <si>
    <t>française</t>
  </si>
  <si>
    <t>Francaise</t>
  </si>
  <si>
    <t>Française</t>
  </si>
  <si>
    <t>française</t>
  </si>
  <si>
    <t>Française</t>
  </si>
  <si>
    <t>francais</t>
  </si>
  <si>
    <t>francaise</t>
  </si>
  <si>
    <t>fr</t>
  </si>
  <si>
    <t>Française</t>
  </si>
  <si>
    <t>francaise</t>
  </si>
  <si>
    <t>Française</t>
  </si>
  <si>
    <t>f</t>
  </si>
  <si>
    <t>Française</t>
  </si>
  <si>
    <t>Fr</t>
  </si>
  <si>
    <t>Française</t>
  </si>
  <si>
    <t>Francaise</t>
  </si>
  <si>
    <t>Française</t>
  </si>
  <si>
    <t>fr</t>
  </si>
  <si>
    <t>francaise</t>
  </si>
  <si>
    <t>Française</t>
  </si>
  <si>
    <t>française</t>
  </si>
  <si>
    <t>Francaise</t>
  </si>
  <si>
    <t>FR</t>
  </si>
  <si>
    <t>FRANCAISE</t>
  </si>
  <si>
    <t>Française</t>
  </si>
  <si>
    <t>Français</t>
  </si>
  <si>
    <t>française</t>
  </si>
  <si>
    <t>francais</t>
  </si>
  <si>
    <t>Francaise</t>
  </si>
  <si>
    <t>Suisse</t>
  </si>
  <si>
    <t>Fr</t>
  </si>
  <si>
    <t>française</t>
  </si>
  <si>
    <t>francaise</t>
  </si>
  <si>
    <t>Française</t>
  </si>
  <si>
    <t>Français</t>
  </si>
  <si>
    <t>Française</t>
  </si>
  <si>
    <t>Françaisr</t>
  </si>
  <si>
    <t>française</t>
  </si>
  <si>
    <t>Francaise</t>
  </si>
  <si>
    <t>Libanaise</t>
  </si>
  <si>
    <t>FR</t>
  </si>
  <si>
    <t>française</t>
  </si>
  <si>
    <t>francaise</t>
  </si>
  <si>
    <t>française</t>
  </si>
  <si>
    <t>Fr</t>
  </si>
  <si>
    <t>française</t>
  </si>
  <si>
    <t>francaise</t>
  </si>
  <si>
    <t>Français</t>
  </si>
  <si>
    <t>française</t>
  </si>
  <si>
    <t>Française</t>
  </si>
  <si>
    <t>Fr</t>
  </si>
  <si>
    <t>française</t>
  </si>
  <si>
    <t>Francaise</t>
  </si>
  <si>
    <t>francais</t>
  </si>
  <si>
    <t>Française</t>
  </si>
  <si>
    <t>Français</t>
  </si>
  <si>
    <t>française</t>
  </si>
  <si>
    <t>Française</t>
  </si>
  <si>
    <t>Fr</t>
  </si>
  <si>
    <t>francaise</t>
  </si>
  <si>
    <t>Française</t>
  </si>
  <si>
    <t>francaise</t>
  </si>
  <si>
    <t>Franco-Britannique</t>
  </si>
  <si>
    <t>Française</t>
  </si>
  <si>
    <t>Irlandaise</t>
  </si>
  <si>
    <t>Francaise</t>
  </si>
  <si>
    <t>france</t>
  </si>
  <si>
    <t>francaise</t>
  </si>
  <si>
    <t>Srpsko</t>
  </si>
  <si>
    <t>srpsko</t>
  </si>
  <si>
    <t>Srpsko</t>
  </si>
  <si>
    <t>SRB</t>
  </si>
  <si>
    <t>Srpsko</t>
  </si>
  <si>
    <t>srpsko</t>
  </si>
  <si>
    <t>Srpsko</t>
  </si>
  <si>
    <t>srpsko</t>
  </si>
  <si>
    <t>Srpsko</t>
  </si>
  <si>
    <t>srpsko</t>
  </si>
  <si>
    <t>Srpsko</t>
  </si>
  <si>
    <t>a</t>
  </si>
  <si>
    <t>Srpsko</t>
  </si>
  <si>
    <t>srpsko</t>
  </si>
  <si>
    <t>Srpsko</t>
  </si>
  <si>
    <t>italiana</t>
  </si>
  <si>
    <t>Colombiano</t>
  </si>
  <si>
    <t>Italiana</t>
  </si>
  <si>
    <t>italiana</t>
  </si>
  <si>
    <t>Italiana</t>
  </si>
  <si>
    <t>italiana</t>
  </si>
  <si>
    <t>Italiana</t>
  </si>
  <si>
    <t>it</t>
  </si>
  <si>
    <t>Warszawa</t>
  </si>
  <si>
    <t>puszczykowo</t>
  </si>
  <si>
    <t>Warszawa</t>
  </si>
  <si>
    <t>warszawa</t>
  </si>
  <si>
    <t>Warszawa</t>
  </si>
  <si>
    <t>warszawa</t>
  </si>
  <si>
    <t>Warszawa</t>
  </si>
  <si>
    <t>warszawa</t>
  </si>
  <si>
    <t>Warszawa</t>
  </si>
  <si>
    <t>Ożarów Mazowiecki</t>
  </si>
  <si>
    <t>Warszawa</t>
  </si>
  <si>
    <t>warszawa</t>
  </si>
  <si>
    <t>Warszawa</t>
  </si>
  <si>
    <t>Warszawa, ursus</t>
  </si>
  <si>
    <t>Warszawa</t>
  </si>
  <si>
    <t>Warsaw</t>
  </si>
  <si>
    <t>Warszawa</t>
  </si>
  <si>
    <t>warszawa</t>
  </si>
  <si>
    <t>Warszawa</t>
  </si>
  <si>
    <t>warszawa</t>
  </si>
  <si>
    <t>Warszawa</t>
  </si>
  <si>
    <t>wołomin</t>
  </si>
  <si>
    <t>Warszawa</t>
  </si>
  <si>
    <t>Swarzędz</t>
  </si>
  <si>
    <t>Warszawa</t>
  </si>
  <si>
    <t>warszawa</t>
  </si>
  <si>
    <t>Poznań</t>
  </si>
  <si>
    <t>Warszawa</t>
  </si>
  <si>
    <t>Londyn</t>
  </si>
  <si>
    <t>Pruszków</t>
  </si>
  <si>
    <t>Warszawa</t>
  </si>
  <si>
    <t>dużym</t>
  </si>
  <si>
    <t>Warszawa</t>
  </si>
  <si>
    <t>Warsaw</t>
  </si>
  <si>
    <t>Warszawa</t>
  </si>
  <si>
    <t>Łomianki</t>
  </si>
  <si>
    <t>Piaseczno</t>
  </si>
  <si>
    <t>Lomianki</t>
  </si>
  <si>
    <t>Łomianki</t>
  </si>
  <si>
    <t>Warszawa</t>
  </si>
  <si>
    <t>Łomianki</t>
  </si>
  <si>
    <t>Warszawa</t>
  </si>
  <si>
    <t>Warszawa i Białystok</t>
  </si>
  <si>
    <t>Warszawa</t>
  </si>
  <si>
    <t>miejscowość podmiejska poza II strefą</t>
  </si>
  <si>
    <t>Warszawa</t>
  </si>
  <si>
    <t>małe miasto</t>
  </si>
  <si>
    <t>podwarszawskim</t>
  </si>
  <si>
    <t>na wsi</t>
  </si>
  <si>
    <t>W żadnym mieście. Na wsi.</t>
  </si>
  <si>
    <t>Warszawa</t>
  </si>
  <si>
    <t>Łódź</t>
  </si>
  <si>
    <t>Warszawa</t>
  </si>
  <si>
    <t>warszawa</t>
  </si>
  <si>
    <t>Piastów</t>
  </si>
  <si>
    <t>xx</t>
  </si>
  <si>
    <t>Warszawa</t>
  </si>
  <si>
    <t>warszawa</t>
  </si>
  <si>
    <t>Warszawa</t>
  </si>
  <si>
    <t>Marki</t>
  </si>
  <si>
    <t>Radom</t>
  </si>
  <si>
    <t>Warszawa</t>
  </si>
  <si>
    <t>Teresin</t>
  </si>
  <si>
    <t>Warszawa</t>
  </si>
  <si>
    <t>Piastów</t>
  </si>
  <si>
    <t>Pcim</t>
  </si>
  <si>
    <t>Warszawa</t>
  </si>
  <si>
    <t>Wołomin</t>
  </si>
  <si>
    <t>Warszawa</t>
  </si>
  <si>
    <t>WARSZAWA</t>
  </si>
  <si>
    <t>Warszawa</t>
  </si>
  <si>
    <t>warszawa</t>
  </si>
  <si>
    <t>Warszawa</t>
  </si>
  <si>
    <t>Española</t>
  </si>
  <si>
    <t>Español</t>
  </si>
  <si>
    <t>es</t>
  </si>
  <si>
    <t>Española</t>
  </si>
  <si>
    <t>española</t>
  </si>
  <si>
    <t>ESPAÑOLA</t>
  </si>
  <si>
    <t>Española</t>
  </si>
  <si>
    <t>Español</t>
  </si>
  <si>
    <t>Polonia</t>
  </si>
  <si>
    <t>española</t>
  </si>
  <si>
    <t>España</t>
  </si>
  <si>
    <t>Catalana</t>
  </si>
  <si>
    <t>Española</t>
  </si>
  <si>
    <t>española</t>
  </si>
  <si>
    <t>Española</t>
  </si>
  <si>
    <t>española</t>
  </si>
  <si>
    <t>Española</t>
  </si>
  <si>
    <t>española</t>
  </si>
  <si>
    <t>Catalana</t>
  </si>
  <si>
    <t>España</t>
  </si>
  <si>
    <t>catalana/española</t>
  </si>
  <si>
    <t>Española</t>
  </si>
  <si>
    <t>española</t>
  </si>
  <si>
    <t>Española</t>
  </si>
  <si>
    <t>ESPAÑOLA</t>
  </si>
  <si>
    <t>Española</t>
  </si>
  <si>
    <t>España</t>
  </si>
  <si>
    <t>ESPAÑOLA</t>
  </si>
  <si>
    <t>Española</t>
  </si>
  <si>
    <t>ESPAÑOLA</t>
  </si>
  <si>
    <t>Español</t>
  </si>
  <si>
    <t>española</t>
  </si>
  <si>
    <t>ESPAÑOLA</t>
  </si>
  <si>
    <t>España</t>
  </si>
  <si>
    <t>Española</t>
  </si>
  <si>
    <t>española</t>
  </si>
  <si>
    <t>Española</t>
  </si>
  <si>
    <t>Español</t>
  </si>
  <si>
    <t>España</t>
  </si>
  <si>
    <t>Española</t>
  </si>
  <si>
    <t>Español</t>
  </si>
  <si>
    <t>Española</t>
  </si>
  <si>
    <t>alemana</t>
  </si>
  <si>
    <t>Española</t>
  </si>
  <si>
    <t>Valencia (España)</t>
  </si>
  <si>
    <t>Española</t>
  </si>
  <si>
    <t>Withwhichethnicgroupdoyoumostlyidentifywith</t>
  </si>
  <si>
    <t>With which ethnic group do you mostly identify with?</t>
  </si>
  <si>
    <t>White</t>
  </si>
  <si>
    <t>Other</t>
  </si>
  <si>
    <t>Black</t>
  </si>
  <si>
    <t>White</t>
  </si>
  <si>
    <t>Other</t>
  </si>
  <si>
    <t>White</t>
  </si>
  <si>
    <t>Prefer not to answer</t>
  </si>
  <si>
    <t>White</t>
  </si>
  <si>
    <t>Mixed</t>
  </si>
  <si>
    <t>White</t>
  </si>
  <si>
    <t>Asian</t>
  </si>
  <si>
    <t>Mixed</t>
  </si>
  <si>
    <t>White</t>
  </si>
  <si>
    <t>Other</t>
  </si>
  <si>
    <t>White</t>
  </si>
  <si>
    <t>Black</t>
  </si>
  <si>
    <t>White</t>
  </si>
  <si>
    <t>Prefer not to answer</t>
  </si>
  <si>
    <t>White</t>
  </si>
  <si>
    <t>Mixed</t>
  </si>
  <si>
    <t>White</t>
  </si>
  <si>
    <t>Prefer not to answer</t>
  </si>
  <si>
    <t>White</t>
  </si>
  <si>
    <t>Mixed</t>
  </si>
  <si>
    <t>White</t>
  </si>
  <si>
    <t>Biała</t>
  </si>
  <si>
    <t>Wolę nie odpowiadać</t>
  </si>
  <si>
    <t>Biała</t>
  </si>
  <si>
    <t>Other</t>
  </si>
  <si>
    <t>Biała</t>
  </si>
  <si>
    <t>Wolę nie odpowiadać</t>
  </si>
  <si>
    <t>Other</t>
  </si>
  <si>
    <t>Biała</t>
  </si>
  <si>
    <t>Wolę nie odpowiadać</t>
  </si>
  <si>
    <t>Biała</t>
  </si>
  <si>
    <t>Wolę nie odpowiadać</t>
  </si>
  <si>
    <t>Biała</t>
  </si>
  <si>
    <t>Black</t>
  </si>
  <si>
    <t>Biała</t>
  </si>
  <si>
    <t>Other</t>
  </si>
  <si>
    <t>Biała</t>
  </si>
  <si>
    <t>Black</t>
  </si>
  <si>
    <t>Biała</t>
  </si>
  <si>
    <t>White</t>
  </si>
  <si>
    <t>Black</t>
  </si>
  <si>
    <t>White</t>
  </si>
  <si>
    <t>Mixed</t>
  </si>
  <si>
    <t>White</t>
  </si>
  <si>
    <t>Prefer not to answer</t>
  </si>
  <si>
    <t>White</t>
  </si>
  <si>
    <t>Whichreligiousgroupdoyoumostidentifywith</t>
  </si>
  <si>
    <t>Which religious group do you most identify with?</t>
  </si>
  <si>
    <t>No religion</t>
  </si>
  <si>
    <t>Christian (all denominations)</t>
  </si>
  <si>
    <t>No religion</t>
  </si>
  <si>
    <t>Christian (all denominations)</t>
  </si>
  <si>
    <t>No religion</t>
  </si>
  <si>
    <t>Christian (all denominations)</t>
  </si>
  <si>
    <t>No religion</t>
  </si>
  <si>
    <t>Prefer not to answer</t>
  </si>
  <si>
    <t>No religion</t>
  </si>
  <si>
    <t>Other</t>
  </si>
  <si>
    <t>Christian (all denominations)</t>
  </si>
  <si>
    <t>No religion</t>
  </si>
  <si>
    <t>Folk religion</t>
  </si>
  <si>
    <t>Christian (all denominations)</t>
  </si>
  <si>
    <t>Other</t>
  </si>
  <si>
    <t>No religion</t>
  </si>
  <si>
    <t>Christian (all denominations)</t>
  </si>
  <si>
    <t>No religion</t>
  </si>
  <si>
    <t>Christian (all denominations)</t>
  </si>
  <si>
    <t>No religion</t>
  </si>
  <si>
    <t>Prefer not to answer</t>
  </si>
  <si>
    <t>Christian (all denominations)</t>
  </si>
  <si>
    <t>No religion</t>
  </si>
  <si>
    <t>Christian (all denominations)</t>
  </si>
  <si>
    <t>No religion</t>
  </si>
  <si>
    <t>Christian (all denominations)</t>
  </si>
  <si>
    <t>No religion</t>
  </si>
  <si>
    <t>Christian (all denominations)</t>
  </si>
  <si>
    <t>No religion</t>
  </si>
  <si>
    <t>Prefer not to answer</t>
  </si>
  <si>
    <t>Christian (all denominations)</t>
  </si>
  <si>
    <t>No religion</t>
  </si>
  <si>
    <t>Christian (all denominations)</t>
  </si>
  <si>
    <t>No religion</t>
  </si>
  <si>
    <t>Folk religion</t>
  </si>
  <si>
    <t>Hrišćanskoj</t>
  </si>
  <si>
    <t>No religion</t>
  </si>
  <si>
    <t>Hrišćanskoj</t>
  </si>
  <si>
    <t>Prefer not to answer</t>
  </si>
  <si>
    <t>Hrišćanskoj</t>
  </si>
  <si>
    <t>Prefer not to answer</t>
  </si>
  <si>
    <t>Hrišćanskoj</t>
  </si>
  <si>
    <t>No religion</t>
  </si>
  <si>
    <t>Hrišćanskoj</t>
  </si>
  <si>
    <t>No religion</t>
  </si>
  <si>
    <t>Christian (all denominations)</t>
  </si>
  <si>
    <t>No religion</t>
  </si>
  <si>
    <t>Christian (all denominations)</t>
  </si>
  <si>
    <t>No religion</t>
  </si>
  <si>
    <t>Christian (all denominations)</t>
  </si>
  <si>
    <t>Chrześcijaństwo</t>
  </si>
  <si>
    <t>Żadnej</t>
  </si>
  <si>
    <t>Chrześcijaństwo</t>
  </si>
  <si>
    <t>Wolę nie odpowiadać</t>
  </si>
  <si>
    <t>Żadnej</t>
  </si>
  <si>
    <t>Chrześcijaństwo</t>
  </si>
  <si>
    <t>Żadnej</t>
  </si>
  <si>
    <t>Chrześcijaństwo</t>
  </si>
  <si>
    <t>Żadnej</t>
  </si>
  <si>
    <t>Chrześcijaństwo</t>
  </si>
  <si>
    <t>Żadnej</t>
  </si>
  <si>
    <t>Chrześcijaństwo</t>
  </si>
  <si>
    <t>Żadnej</t>
  </si>
  <si>
    <t>Wolę nie odpowiadać</t>
  </si>
  <si>
    <t>Other</t>
  </si>
  <si>
    <t>Chrześcijaństwo</t>
  </si>
  <si>
    <t>Żadnej</t>
  </si>
  <si>
    <t>Chrześcijaństwo</t>
  </si>
  <si>
    <t>Żadnej</t>
  </si>
  <si>
    <t>Chrześcijaństwo</t>
  </si>
  <si>
    <t>Wolę nie odpowiadać</t>
  </si>
  <si>
    <t>Chrześcijaństwo</t>
  </si>
  <si>
    <t>Wolę nie odpowiadać</t>
  </si>
  <si>
    <t>Żadnej</t>
  </si>
  <si>
    <t>Other</t>
  </si>
  <si>
    <t>Chrześcijaństwo</t>
  </si>
  <si>
    <t>Folk religion</t>
  </si>
  <si>
    <t>Wolę nie odpowiadać</t>
  </si>
  <si>
    <t>Żadnej</t>
  </si>
  <si>
    <t>Chrześcijaństwo</t>
  </si>
  <si>
    <t>Żadnej</t>
  </si>
  <si>
    <t>Other</t>
  </si>
  <si>
    <t>Chrześcijaństwo</t>
  </si>
  <si>
    <t>Żadnej</t>
  </si>
  <si>
    <t>Chrześcijaństwo</t>
  </si>
  <si>
    <t>Żadnej</t>
  </si>
  <si>
    <t>Other</t>
  </si>
  <si>
    <t>Żadnej</t>
  </si>
  <si>
    <t>Chrześcijaństwo</t>
  </si>
  <si>
    <t>Żadnej</t>
  </si>
  <si>
    <t>Wolę nie odpowiadać</t>
  </si>
  <si>
    <t>Żadnej</t>
  </si>
  <si>
    <t>Wolę nie odpowiadać</t>
  </si>
  <si>
    <t>Chrześcijaństwo</t>
  </si>
  <si>
    <t>Wolę nie odpowiadać</t>
  </si>
  <si>
    <t>Chrześcijaństwo</t>
  </si>
  <si>
    <t>Wolę nie odpowiadać</t>
  </si>
  <si>
    <t>Chrześcijaństwo</t>
  </si>
  <si>
    <t>Żadnej</t>
  </si>
  <si>
    <t>Chrześcijaństwo</t>
  </si>
  <si>
    <t>Wolę nie odpowiadać</t>
  </si>
  <si>
    <t>Chrześcijaństwo</t>
  </si>
  <si>
    <t>Wolę nie odpowiadać</t>
  </si>
  <si>
    <t>Chrześcijaństwo</t>
  </si>
  <si>
    <t>Wolę nie odpowiadać</t>
  </si>
  <si>
    <t>Chrześcijaństwo</t>
  </si>
  <si>
    <t>Hindu</t>
  </si>
  <si>
    <t>Żadnej</t>
  </si>
  <si>
    <t>Chrześcijaństwo</t>
  </si>
  <si>
    <t>Żadnej</t>
  </si>
  <si>
    <t>Chrześcijaństwo</t>
  </si>
  <si>
    <t>Wolę nie odpowiadać</t>
  </si>
  <si>
    <t>Chrześcijaństwo</t>
  </si>
  <si>
    <t>Żadnej</t>
  </si>
  <si>
    <t>Chrześcijaństwo</t>
  </si>
  <si>
    <t>Folk religion</t>
  </si>
  <si>
    <t>Żadnej</t>
  </si>
  <si>
    <t>Chrześcijaństwo</t>
  </si>
  <si>
    <t>Żadnej</t>
  </si>
  <si>
    <t>Chrześcijaństwo</t>
  </si>
  <si>
    <t>Folk religion</t>
  </si>
  <si>
    <t>Żadnej</t>
  </si>
  <si>
    <t>Chrześcijaństwo</t>
  </si>
  <si>
    <t>Wolę nie odpowiadać</t>
  </si>
  <si>
    <t>Chrześcijaństwo</t>
  </si>
  <si>
    <t>Żadnej</t>
  </si>
  <si>
    <t>Wolę nie odpowiadać</t>
  </si>
  <si>
    <t>Chrześcijaństwo</t>
  </si>
  <si>
    <t>Wolę nie odpowiadać</t>
  </si>
  <si>
    <t>Christian (all denominations)</t>
  </si>
  <si>
    <t>No religion</t>
  </si>
  <si>
    <t>Prefer not to answer</t>
  </si>
  <si>
    <t>Jewish</t>
  </si>
  <si>
    <t>No religion</t>
  </si>
  <si>
    <t>Christian (all denominations)</t>
  </si>
  <si>
    <t>No religion</t>
  </si>
  <si>
    <t>Christian (all denominations)</t>
  </si>
  <si>
    <t>No religion</t>
  </si>
  <si>
    <t>Prefer not to answer</t>
  </si>
  <si>
    <t>No religion</t>
  </si>
  <si>
    <t>Christian (all denominations)</t>
  </si>
  <si>
    <t>No religion</t>
  </si>
  <si>
    <t>Christian (all denominations)</t>
  </si>
  <si>
    <t>No religion</t>
  </si>
  <si>
    <t>Christian (all denominations)</t>
  </si>
  <si>
    <t>No religion</t>
  </si>
  <si>
    <t>Christian (all denominations)</t>
  </si>
  <si>
    <t>No religion</t>
  </si>
  <si>
    <t>Christian (all denominations)</t>
  </si>
  <si>
    <t>No religion</t>
  </si>
  <si>
    <t>Christian (all denominations)</t>
  </si>
  <si>
    <t>Buddhist</t>
  </si>
  <si>
    <t>Christian (all denominations)</t>
  </si>
  <si>
    <t>No religion</t>
  </si>
  <si>
    <t>Christian (all denominations)</t>
  </si>
  <si>
    <t>No religion</t>
  </si>
  <si>
    <t>Christian (all denominations)</t>
  </si>
  <si>
    <t>No religion</t>
  </si>
  <si>
    <t>Christian (all denominations)</t>
  </si>
  <si>
    <t>No religion</t>
  </si>
  <si>
    <t>Christian (all denominations)</t>
  </si>
  <si>
    <t>No religion</t>
  </si>
  <si>
    <t>Christian (all denominations)</t>
  </si>
  <si>
    <t>No religion</t>
  </si>
  <si>
    <t>Christian (all denominations)</t>
  </si>
  <si>
    <t>Doyouidentifyas</t>
  </si>
  <si>
    <t>Do you identify as...</t>
  </si>
  <si>
    <t>Prefer not to answer</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</si>
  <si>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</si>
  <si>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</si>
  <si>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</si>
  <si>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</si>
  <si>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</si>
  <si>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</si>
  <si>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</si>
  <si>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</si>
  <si>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</si>
  <si>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Prefer not to answer</t>
  </si>
  <si>
    <t>Woman: A person assigned female at birth who feels as a woman</t>
  </si>
  <si>
    <t>Non-binary: A person who does not define oneself as a man or woman</t>
  </si>
  <si>
    <t>Woman: A person assigned female at birth who feels as a woman</t>
  </si>
  <si>
    <t>Non-binary: A person who does not define oneself as a man or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</si>
  <si>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</si>
  <si>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</si>
  <si>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</si>
  <si>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</si>
  <si>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Non-binary: A person who does not define oneself as a man or woman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</si>
  <si>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</si>
  <si>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</si>
  <si>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</si>
  <si>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</si>
  <si>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</si>
  <si>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Non-binary: A person who does not define oneself as a man or woman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</si>
  <si>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</si>
  <si>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</si>
  <si>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</si>
  <si>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</si>
  <si>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</si>
  <si>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</si>
  <si>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</si>
  <si>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</si>
  <si>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Prefer not to answer</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</si>
  <si>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</si>
  <si>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</si>
  <si>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</si>
  <si>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</si>
  <si>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</si>
  <si>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</si>
  <si>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Prefer not to answer</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</si>
  <si>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</si>
  <si>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</si>
  <si>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</si>
  <si>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</si>
  <si>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</si>
  <si>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</si>
  <si>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</si>
  <si>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</si>
  <si>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</si>
  <si>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</si>
  <si>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</si>
  <si>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</si>
  <si>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</si>
  <si>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</si>
  <si>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</si>
  <si>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</si>
  <si>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</si>
  <si>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</si>
  <si>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</si>
  <si>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Wolę nieodpowiadać</t>
  </si>
  <si>
    <t>Mężczyznę: osoba uznana za mężczyznę przy urodzeniu, czująca się mężczyzną</t>
  </si>
  <si>
    <t>Kobietę: osoba uznana za kobietę przy urodzeniu, czująca się kobietą</t>
  </si>
  <si>
    <t>Wolę nieodpowiadać</t>
  </si>
  <si>
    <t>Kobietę: osoba uznana za kobietę przy urodzeniu, czująca się kobietą</t>
  </si>
  <si>
    <t>Mężczyznę: osoba uznana za mężczyznę przy urodzeniu, czująca się mężczyzną</t>
  </si>
  <si>
    <t>Wolę nieodpowiadać</t>
  </si>
  <si>
    <t>Mężczyznę: osoba uznana za mężczyznę przy urodzeniu, czująca się mężczyzną</t>
  </si>
  <si>
    <t>Osobę niebinarną: nie definiującą się ani jako kobieta ani jako mężczyzna</t>
  </si>
  <si>
    <t>Mężczyznę: osoba uznana za mężczyznę przy urodzeniu, czująca się mężczyzną</t>
  </si>
  <si>
    <t>Kobietę: osoba uznana za kobietę przy urodzeniu, czująca się kobietą</t>
  </si>
  <si>
    <t>Osobę niebinarną: nie definiującą się ani jako kobieta ani jako mężczyzna</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</si>
  <si>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</si>
  <si>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</si>
  <si>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</si>
  <si>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</si>
  <si>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</si>
  <si>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Wolę nieodpowiadać</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</si>
  <si>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</si>
  <si>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</si>
  <si>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</si>
  <si>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</si>
  <si>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Wolę nieodpowiadać</t>
  </si>
  <si>
    <t>Kobietę: osoba uznana za kobietę przy urodzeniu, czująca się kobietą</t>
  </si>
  <si>
    <t>Mężczyznę: osoba uznana za mężczyznę przy urodzeniu, czująca się mężczyzną</t>
  </si>
  <si>
    <t>Osobę niebinarną: nie definiującą się ani jako kobieta ani jako mężczyzna</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</si>
  <si>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</si>
  <si>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</si>
  <si>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</si>
  <si>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</si>
  <si>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</si>
  <si>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Wolę nieodpowiadać</t>
  </si>
  <si>
    <t>Kobietę: osoba uznana za kobietę przy urodzeniu, czująca się kobietą</t>
  </si>
  <si>
    <t>Mężczyznę: osoba uznana za mężczyznę przy urodzeniu, czująca się mężczyzną</t>
  </si>
  <si>
    <t>Kobietę: osoba uznana za kobietę przy urodzeniu, czująca się kobietą</t>
  </si>
  <si>
    <t>Osobę niebinarną: nie definiującą się ani jako kobieta ani jako mężczyzna</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</si>
  <si>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</si>
  <si>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</si>
  <si>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</si>
  <si>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</si>
  <si>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</si>
  <si>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</si>
  <si>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</si>
  <si>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</si>
  <si>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Wolę nieodpowiadać</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</si>
  <si>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</si>
  <si>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</si>
  <si>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</si>
  <si>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</si>
  <si>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Transseksualną kobietę: osoba uznana za mężczyznę przy urodzeniu ale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</si>
  <si>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</si>
  <si>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</si>
  <si>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</si>
  <si>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</si>
  <si>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Wolę nieodpowiadać</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</si>
  <si>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</si>
  <si>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</si>
  <si>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</si>
  <si>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</si>
  <si>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</si>
  <si>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</si>
  <si>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</si>
  <si>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Kobietę: osoba uznana za kobietę przy urodzeniu, czująca się kobietą</t>
  </si>
  <si>
    <t>Mężczyznę: osoba uznana za mężczyznę przy urodzeniu, czująca się mężczyzną</t>
  </si>
  <si>
    <t>Transseksualnego mężczyznę: osoba uznana za kobietę przy urodzeniu ale czująca się mężczyzną</t>
  </si>
  <si>
    <t>Mężczyznę: osoba uznana za mężczyznę przy urodzeniu, czująca się mężczyzną</t>
  </si>
  <si>
    <t>Kobietę: osoba uznana za kobietę przy urodzeniu, czująca się kobietą</t>
  </si>
  <si>
    <t>Mężczyznę: osoba uznana za mężczyznę przy urodzeniu, czująca się mężczyzną</t>
  </si>
  <si>
    <t>Osobę niebinarną: nie definiującą się ani jako kobieta ani jako mężczyzna</t>
  </si>
  <si>
    <t>Kobietę: osoba uznana za kobietę przy urodzeniu, czująca się kobietą</t>
  </si>
  <si>
    <t>Mężczyznę: osoba uznana za mężczyznę przy urodzeniu, czująca się mężczyzną</t>
  </si>
  <si>
    <t>Kobietę: osoba uznana za kobietę przy urodzeniu, czująca się kobietą</t>
  </si>
  <si>
    <t>Male: A person assigned male at birth who feels as a man</t>
  </si>
  <si>
    <t>Woman: A person assigned female at birth who feels as a woman</t>
  </si>
  <si>
    <t>Male: A person assigned male at birth who feels as a man</t>
  </si>
  <si>
    <t>Transsexual woman: A person assigned as male at birth but feels as a woman</t>
  </si>
  <si>
    <t>Woman: A person assigned female at birth who feels as a woman</t>
  </si>
  <si>
    <t>Prefer not to answer</t>
  </si>
  <si>
    <t>Male: A person assigned male at birth who feels as a man</t>
  </si>
  <si>
    <t>Woman: A person assigned female at birth who feels as a woman</t>
  </si>
  <si>
    <t>Prefer not to answer</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</si>
  <si>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</si>
  <si>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</si>
  <si>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</si>
  <si>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</si>
  <si>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</si>
  <si>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</si>
  <si>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</si>
  <si>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</si>
  <si>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</si>
  <si>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</si>
  <si>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Woman: A person assigned female at birth who feels as a woman</t>
  </si>
  <si>
    <t>Male: A person assigned male at birth who feels as a man</t>
  </si>
  <si>
    <t>Prefer not to answer</t>
  </si>
  <si>
    <t>Woman: A person assigned female at birth who feels as a woman</t>
  </si>
  <si>
    <t>Male: A person assigned male at birth who feels as a man</t>
  </si>
  <si>
    <t>Prefer not to answer</t>
  </si>
  <si>
    <t>Woman: A person assigned female at birth who feels as a woman</t>
  </si>
  <si>
    <t>Doyouconsideryourselftobe</t>
  </si>
  <si>
    <t>Do you consider yourself to be...?</t>
  </si>
  <si>
    <t>Prefer not to answer</t>
  </si>
  <si>
    <t>Bisexual</t>
  </si>
  <si>
    <t>Heterosexual</t>
  </si>
  <si>
    <t>Homosexual</t>
  </si>
  <si>
    <t>Heterosexual</t>
  </si>
  <si>
    <t>Bisexual</t>
  </si>
  <si>
    <t>Other</t>
  </si>
  <si>
    <t>Heterosexual</t>
  </si>
  <si>
    <t>Prefer not to answer</t>
  </si>
  <si>
    <t>Heterosexual</t>
  </si>
  <si>
    <t>Bisexual</t>
  </si>
  <si>
    <t>Heterosexual</t>
  </si>
  <si>
    <t>Bisexual</t>
  </si>
  <si>
    <t>Heterosexual</t>
  </si>
  <si>
    <t>Bisexual</t>
  </si>
  <si>
    <t>Heterosexual</t>
  </si>
  <si>
    <t>Bisexual</t>
  </si>
  <si>
    <t>Heterosexual</t>
  </si>
  <si>
    <t>Bisexual</t>
  </si>
  <si>
    <t>Heterosexual</t>
  </si>
  <si>
    <t>Bisexual</t>
  </si>
  <si>
    <t>Heterosexual</t>
  </si>
  <si>
    <t>Bisexual</t>
  </si>
  <si>
    <t>Other</t>
  </si>
  <si>
    <t>Heterosexual</t>
  </si>
  <si>
    <t>Prefer not to answer</t>
  </si>
  <si>
    <t>Heterosexual</t>
  </si>
  <si>
    <t>Bisexual</t>
  </si>
  <si>
    <t>Heterosexual</t>
  </si>
  <si>
    <t>Other</t>
  </si>
  <si>
    <t>Heterosexual</t>
  </si>
  <si>
    <t>Wolę nie odpowiadać</t>
  </si>
  <si>
    <t>Heterosexual</t>
  </si>
  <si>
    <t>Bisexual</t>
  </si>
  <si>
    <t>Homosexual</t>
  </si>
  <si>
    <t>Heterosexual</t>
  </si>
  <si>
    <t>Bisexual</t>
  </si>
  <si>
    <t>Heterosexual</t>
  </si>
  <si>
    <t>Wolę nie odpowiadać</t>
  </si>
  <si>
    <t>Bisexual</t>
  </si>
  <si>
    <t>Heterosexual</t>
  </si>
  <si>
    <t>Wolę nie odpowiadać</t>
  </si>
  <si>
    <t>Inna</t>
  </si>
  <si>
    <t>Heterosexual</t>
  </si>
  <si>
    <t>Homosexual</t>
  </si>
  <si>
    <t>Inna</t>
  </si>
  <si>
    <t>Heterosexual</t>
  </si>
  <si>
    <t>Homosexual</t>
  </si>
  <si>
    <t>Heterosexual</t>
  </si>
  <si>
    <t>Bisexual</t>
  </si>
  <si>
    <t>Heterosexual</t>
  </si>
  <si>
    <t>Wolę nie odpowiadać</t>
  </si>
  <si>
    <t>Heterosexual</t>
  </si>
  <si>
    <t>Homosexual</t>
  </si>
  <si>
    <t>Wolę nie odpowiadać</t>
  </si>
  <si>
    <t>Heterosexual</t>
  </si>
  <si>
    <t>Bisexual</t>
  </si>
  <si>
    <t>Heterosexual</t>
  </si>
  <si>
    <t>Homosexual</t>
  </si>
  <si>
    <t>Heterosexual</t>
  </si>
  <si>
    <t>Wolę nie odpowiadać</t>
  </si>
  <si>
    <t>Heterosexual</t>
  </si>
  <si>
    <t>Bisexual</t>
  </si>
  <si>
    <t>Heterosexual</t>
  </si>
  <si>
    <t>Wolę nie odpowiadać</t>
  </si>
  <si>
    <t>Heterosexual</t>
  </si>
  <si>
    <t>Wolę nie odpowiadać</t>
  </si>
  <si>
    <t>Heterosexual</t>
  </si>
  <si>
    <t>Bisexual</t>
  </si>
  <si>
    <t>Heterosexual</t>
  </si>
  <si>
    <t>Wolę nie odpowiadać</t>
  </si>
  <si>
    <t>Heterosexual</t>
  </si>
  <si>
    <t>Bisexual</t>
  </si>
  <si>
    <t>Homosexual</t>
  </si>
  <si>
    <t>Heterosexual</t>
  </si>
  <si>
    <t>Bisexual</t>
  </si>
  <si>
    <t>Heterosexual</t>
  </si>
  <si>
    <t>Bisexual</t>
  </si>
  <si>
    <t>Heterosexual</t>
  </si>
  <si>
    <t>Prefer not to answer</t>
  </si>
  <si>
    <t>Heterosexual</t>
  </si>
  <si>
    <t>Prefer not to answer</t>
  </si>
  <si>
    <t>Heterosexual</t>
  </si>
  <si>
    <t>Bisexual</t>
  </si>
  <si>
    <t>Heterosexual</t>
  </si>
  <si>
    <t>Homosexual</t>
  </si>
  <si>
    <t>Heterosexual</t>
  </si>
  <si>
    <t>Bisexual</t>
  </si>
  <si>
    <t>Heterosexual</t>
  </si>
  <si>
    <t>Prefer not to answer</t>
  </si>
  <si>
    <t>Heterosexual</t>
  </si>
  <si>
    <t>YouselectedOtherPleasespecifyifyouwish1</t>
  </si>
  <si>
    <t>You selected "Other". Please specify if you wish:</t>
  </si>
  <si>
    <t>Przeciw LGBT</t>
  </si>
  <si>
    <t>Nie chce</t>
  </si>
  <si>
    <t>Haveyoueverbeendiscriminatedagainstusingworkingintransportforyo</t>
  </si>
  <si>
    <t>Areyoucurrentlyworkingintransport</t>
  </si>
  <si>
    <t>Ifyeswhichtransportsectordoyouworkin</t>
  </si>
  <si>
    <t>If yes, which transport sector do you work in?</t>
  </si>
  <si>
    <t>Other</t>
  </si>
  <si>
    <t>Research, innovation and technology</t>
  </si>
  <si>
    <t>Other</t>
  </si>
  <si>
    <t>Policy making and public authority</t>
  </si>
  <si>
    <t>Research, innovation and technology</t>
  </si>
  <si>
    <t>Policy making and public authority</t>
  </si>
  <si>
    <t>Other</t>
  </si>
  <si>
    <t>Central government or civil service</t>
  </si>
  <si>
    <t>Other</t>
  </si>
  <si>
    <t>Policy making and public authority</t>
  </si>
  <si>
    <t>On-site job in the public transport (planner, maintenance, administration...)</t>
  </si>
  <si>
    <t>Research, innovation and technology</t>
  </si>
  <si>
    <t>Other</t>
  </si>
  <si>
    <t>Élaboration des politiques et pouvoirs publics</t>
  </si>
  <si>
    <t>Autre</t>
  </si>
  <si>
    <t>Administration centrale ou fonction publique</t>
  </si>
  <si>
    <t>Travail sur site dans les transports publics (planificateur, maintenance, administration...)</t>
  </si>
  <si>
    <t>Administration centrale ou fonction publique</t>
  </si>
  <si>
    <t>Travail sur site dans les transports publics (planificateur, maintenance, administration...)</t>
  </si>
  <si>
    <t>Élaboration des politiques et pouvoirs publics</t>
  </si>
  <si>
    <t>Administration centrale ou fonction publique</t>
  </si>
  <si>
    <t>Autre</t>
  </si>
  <si>
    <t>Formation</t>
  </si>
  <si>
    <t>Autre</t>
  </si>
  <si>
    <t>Travail sur site dans les transports publics (planificateur, maintenance, administration...)</t>
  </si>
  <si>
    <t>Élaboration des politiques et pouvoirs publics</t>
  </si>
  <si>
    <t>Recherche, innovation et technologie</t>
  </si>
  <si>
    <t>Državna služba</t>
  </si>
  <si>
    <t>Ostalo (naznačite)</t>
  </si>
  <si>
    <t>Državna služba</t>
  </si>
  <si>
    <t>Logistika</t>
  </si>
  <si>
    <t>Ostalo (naznačite)</t>
  </si>
  <si>
    <t>Javni prevoz</t>
  </si>
  <si>
    <t>Altro</t>
  </si>
  <si>
    <t>Ricerca, innovazione e tecnologia</t>
  </si>
  <si>
    <t>Mansione in sede nel trasporto urbano privato (pianificazione, manutenzione, amministrazione…)</t>
  </si>
  <si>
    <t>Mansione in sede nel trasporto regionale o internazionale privato (pianificazione, manutenzione, amministrazione…)</t>
  </si>
  <si>
    <t>Inny</t>
  </si>
  <si>
    <t>Badania, innowacje, technologia</t>
  </si>
  <si>
    <t>Praca w terenie w sektorze prywatnego regionalnego lub międzynarodowego transportu (kierowca)</t>
  </si>
  <si>
    <t>Badania, innowacje, technologia</t>
  </si>
  <si>
    <t>Praca w terenie w transporcie publicznym (kierowca)</t>
  </si>
  <si>
    <t>Praca w biurze w transporcie miejskim (planista, utrzymanie, administracja…)</t>
  </si>
  <si>
    <t>Władza publiczna, polityka</t>
  </si>
  <si>
    <t>Praca w biurze w transporcie miejskim (planista, utrzymanie, administracja…)</t>
  </si>
  <si>
    <t>Badania, innowacje, technologia</t>
  </si>
  <si>
    <t>Praca w biurze w transporcie miejskim (planista, utrzymanie, administracja…)</t>
  </si>
  <si>
    <t>Inny</t>
  </si>
  <si>
    <t>Praca w biurze w transporcie miejskim (planista, utrzymanie, administracja…)</t>
  </si>
  <si>
    <t>Inny</t>
  </si>
  <si>
    <t>Praca w biurze w transporcie miejskim (planista, utrzymanie, administracja…)</t>
  </si>
  <si>
    <t>Inny</t>
  </si>
  <si>
    <t>Praca w biurze w transporcie miejskim (planista, utrzymanie, administracja…)</t>
  </si>
  <si>
    <t>Praca w biurze w sektorze prywatnego transportu w mieście (planista, utrzymanie, administracja…)</t>
  </si>
  <si>
    <t>Praca w biurze w transporcie miejskim (planista, utrzymanie, administracja…)</t>
  </si>
  <si>
    <t>Praca w biurze w sektorze prywatnego regionalnego lub międzynarodowego transportu (planista, utrzymanie, administracja…)</t>
  </si>
  <si>
    <t>Praca w biurze w transporcie miejskim (planista, utrzymanie, administracja…)</t>
  </si>
  <si>
    <t>Inny</t>
  </si>
  <si>
    <t>Praca w biurze w transporcie miejskim (planista, utrzymanie, administracja…)</t>
  </si>
  <si>
    <t>Władza publiczna, polityka</t>
  </si>
  <si>
    <t>Praca w biurze w transporcie miejskim (planista, utrzymanie, administracja…)</t>
  </si>
  <si>
    <t>Transporte urbano privado, con centro de trabajo fijo (planificación, mantenimiento, administración…)</t>
  </si>
  <si>
    <t>Otro</t>
  </si>
  <si>
    <t>Transporte regional o internacional privado, con centro de trabajo fijo (planificación, mantenimiento, administración…)</t>
  </si>
  <si>
    <t>Otro</t>
  </si>
  <si>
    <t>Transporte regional o internacional privado, con centro de trabajo fijo (planificación, mantenimiento, administración…)</t>
  </si>
  <si>
    <t>Investigación, innovación y tecnología</t>
  </si>
  <si>
    <t>Transporte urbano privado, con centro de trabajo fijo (planificación, mantenimiento, administración…)</t>
  </si>
  <si>
    <t>Investigación, innovación y tecnología</t>
  </si>
  <si>
    <t>Whatmodeoftransportdoyouworkwith</t>
  </si>
  <si>
    <t>What mode of transport do you work with?</t>
  </si>
  <si>
    <t>Bike</t>
  </si>
  <si>
    <t>Multimodal</t>
  </si>
  <si>
    <t>Other (Logistics forwarder)</t>
  </si>
  <si>
    <t>Multimodal</t>
  </si>
  <si>
    <t>Train</t>
  </si>
  <si>
    <t>Multimodal</t>
  </si>
  <si>
    <t>Bike</t>
  </si>
  <si>
    <t>Car</t>
  </si>
  <si>
    <t>Other (Logistics forwarder)</t>
  </si>
  <si>
    <t>Train</t>
  </si>
  <si>
    <t>Tram</t>
  </si>
  <si>
    <t>Bike</t>
  </si>
  <si>
    <t>Voiture</t>
  </si>
  <si>
    <t>Multimodal</t>
  </si>
  <si>
    <t>Vélo</t>
  </si>
  <si>
    <t>Multimodal</t>
  </si>
  <si>
    <t>Vélo</t>
  </si>
  <si>
    <t>Voiture</t>
  </si>
  <si>
    <t>Train</t>
  </si>
  <si>
    <t>Tram</t>
  </si>
  <si>
    <t>Voiture</t>
  </si>
  <si>
    <t>Multimodal</t>
  </si>
  <si>
    <t>Automobil</t>
  </si>
  <si>
    <t>Bicicletta</t>
  </si>
  <si>
    <t>Multimodale</t>
  </si>
  <si>
    <t>Bicicletta</t>
  </si>
  <si>
    <t>Autovettura</t>
  </si>
  <si>
    <t>Pociąg</t>
  </si>
  <si>
    <t>Autobus</t>
  </si>
  <si>
    <t>Pociąg</t>
  </si>
  <si>
    <t>Autobus</t>
  </si>
  <si>
    <t>Transport multimodalny</t>
  </si>
  <si>
    <t>Autobus</t>
  </si>
  <si>
    <t>Transport multimodalny</t>
  </si>
  <si>
    <t>Autobus</t>
  </si>
  <si>
    <t>Tramwaj</t>
  </si>
  <si>
    <t>Transport multimodalny</t>
  </si>
  <si>
    <t>Autobus</t>
  </si>
  <si>
    <t>Tramwaj</t>
  </si>
  <si>
    <t>Transport multimodalny</t>
  </si>
  <si>
    <t>Autobus</t>
  </si>
  <si>
    <t>Transport multimodalny</t>
  </si>
  <si>
    <t>Autobus</t>
  </si>
  <si>
    <t>Pociąg</t>
  </si>
  <si>
    <t>Transport multimodalny</t>
  </si>
  <si>
    <t>Tramwaj</t>
  </si>
  <si>
    <t>Transport multimodalny</t>
  </si>
  <si>
    <t>Autobus</t>
  </si>
  <si>
    <t>Tramwaj</t>
  </si>
  <si>
    <t>Autobus</t>
  </si>
  <si>
    <t>Transport multimodalny</t>
  </si>
  <si>
    <t>Rower</t>
  </si>
  <si>
    <t>Autobus</t>
  </si>
  <si>
    <t>Pociąg</t>
  </si>
  <si>
    <t>Autobus</t>
  </si>
  <si>
    <t>Pociąg</t>
  </si>
  <si>
    <t>Autobus</t>
  </si>
  <si>
    <t>Transport multimodalny</t>
  </si>
  <si>
    <t>Autobus</t>
  </si>
  <si>
    <t>Inny (spedytor logistyczny)</t>
  </si>
  <si>
    <t>Autobus</t>
  </si>
  <si>
    <t>Inny (spedytor logistyczny)</t>
  </si>
  <si>
    <t>Transport multimodalny</t>
  </si>
  <si>
    <t>Tramwaj</t>
  </si>
  <si>
    <t>Camión</t>
  </si>
  <si>
    <t>Bicicleta</t>
  </si>
  <si>
    <t>Camión</t>
  </si>
  <si>
    <t>Tren</t>
  </si>
  <si>
    <t>Multimodal</t>
  </si>
  <si>
    <t>Tren</t>
  </si>
  <si>
    <t>Multimodal</t>
  </si>
  <si>
    <t>Tren</t>
  </si>
  <si>
    <t>Multimodal</t>
  </si>
  <si>
    <t>Whatlevelisyourrole</t>
  </si>
  <si>
    <t>What level is your role?</t>
  </si>
  <si>
    <t>Other</t>
  </si>
  <si>
    <t>Supervisor/Foreman</t>
  </si>
  <si>
    <t>Other</t>
  </si>
  <si>
    <t>Operator</t>
  </si>
  <si>
    <t>Other</t>
  </si>
  <si>
    <t>Manager</t>
  </si>
  <si>
    <t>Other</t>
  </si>
  <si>
    <t>Operator</t>
  </si>
  <si>
    <t>Other</t>
  </si>
  <si>
    <t>Director</t>
  </si>
  <si>
    <t>Other</t>
  </si>
  <si>
    <t>Operator</t>
  </si>
  <si>
    <t>Manager</t>
  </si>
  <si>
    <t>Operator</t>
  </si>
  <si>
    <t>Manager</t>
  </si>
  <si>
    <t>Operator</t>
  </si>
  <si>
    <t>Director</t>
  </si>
  <si>
    <t>Manager/cadre</t>
  </si>
  <si>
    <t>Directeur-.trice</t>
  </si>
  <si>
    <t>Manager/cadre</t>
  </si>
  <si>
    <t>Directeur-.trice</t>
  </si>
  <si>
    <t>Manager/cadre</t>
  </si>
  <si>
    <t>Autre</t>
  </si>
  <si>
    <t>Manager/cadre</t>
  </si>
  <si>
    <t>Directeur-.trice</t>
  </si>
  <si>
    <t>Manager/cadre</t>
  </si>
  <si>
    <t>Autre</t>
  </si>
  <si>
    <t>Manager/cadre</t>
  </si>
  <si>
    <t>Directeur-.trice</t>
  </si>
  <si>
    <t>Ostalo</t>
  </si>
  <si>
    <t>Operator</t>
  </si>
  <si>
    <t>Ostalo</t>
  </si>
  <si>
    <t>Menadžer</t>
  </si>
  <si>
    <t>Ostalo</t>
  </si>
  <si>
    <t>Operator</t>
  </si>
  <si>
    <t>Ostalo</t>
  </si>
  <si>
    <t>Operator</t>
  </si>
  <si>
    <t>Ostalo</t>
  </si>
  <si>
    <t>Direktor</t>
  </si>
  <si>
    <t>Altro</t>
  </si>
  <si>
    <t>Gestore</t>
  </si>
  <si>
    <t>Inne</t>
  </si>
  <si>
    <t>Operator</t>
  </si>
  <si>
    <t>Inne</t>
  </si>
  <si>
    <t>Operator</t>
  </si>
  <si>
    <t>Inne</t>
  </si>
  <si>
    <t>Manager</t>
  </si>
  <si>
    <t>Inne</t>
  </si>
  <si>
    <t>Manager</t>
  </si>
  <si>
    <t>Inne</t>
  </si>
  <si>
    <t>Manager</t>
  </si>
  <si>
    <t>Operator</t>
  </si>
  <si>
    <t>Manager</t>
  </si>
  <si>
    <t>Inne</t>
  </si>
  <si>
    <t>Operator</t>
  </si>
  <si>
    <t>Inne</t>
  </si>
  <si>
    <t>Manager</t>
  </si>
  <si>
    <t>Inne</t>
  </si>
  <si>
    <t>Koordynator/Majster</t>
  </si>
  <si>
    <t>Inne</t>
  </si>
  <si>
    <t>Manager</t>
  </si>
  <si>
    <t>Inne</t>
  </si>
  <si>
    <t>Koordynator/Majster</t>
  </si>
  <si>
    <t>Inne</t>
  </si>
  <si>
    <t>Koordynator/Majster</t>
  </si>
  <si>
    <t>Manager</t>
  </si>
  <si>
    <t>Inne</t>
  </si>
  <si>
    <t>Operario</t>
  </si>
  <si>
    <t>Otro</t>
  </si>
  <si>
    <t>Gerente</t>
  </si>
  <si>
    <t>Supervisor o encargado</t>
  </si>
  <si>
    <t>Director</t>
  </si>
  <si>
    <t>Otro</t>
  </si>
  <si>
    <t>Gerente</t>
  </si>
  <si>
    <t>Supervisor o encargado</t>
  </si>
  <si>
    <t>Operario</t>
  </si>
  <si>
    <t>Director</t>
  </si>
  <si>
    <t>Operario</t>
  </si>
  <si>
    <t>Whatisyourusualmethodoftraveltowork</t>
  </si>
  <si>
    <t>What is your usual method of travel to work?</t>
  </si>
  <si>
    <t>Railway - train</t>
  </si>
  <si>
    <t>Bicycle</t>
  </si>
  <si>
    <t>Underground train/light railway/tram</t>
  </si>
  <si>
    <t>Other way of travelling</t>
  </si>
  <si>
    <t>Car, van, minibus, work van</t>
  </si>
  <si>
    <t>Underground train/light railway/tram</t>
  </si>
  <si>
    <t>Bicycle</t>
  </si>
  <si>
    <t>Underground train/light railway/tram</t>
  </si>
  <si>
    <t>Railway - train</t>
  </si>
  <si>
    <t>Other way of travelling</t>
  </si>
  <si>
    <t>Taxi</t>
  </si>
  <si>
    <t>Car, van, minibus, work van</t>
  </si>
  <si>
    <t>Underground train/light railway/tram</t>
  </si>
  <si>
    <t>Bicycle</t>
  </si>
  <si>
    <t>Underground train/light railway/tram</t>
  </si>
  <si>
    <t>Walk</t>
  </si>
  <si>
    <t>Bicycle</t>
  </si>
  <si>
    <t>Walk</t>
  </si>
  <si>
    <t>Bicycle</t>
  </si>
  <si>
    <t>Bus, coach, private bus</t>
  </si>
  <si>
    <t>Other way of travelling</t>
  </si>
  <si>
    <t>Underground train/light railway/tram</t>
  </si>
  <si>
    <t>Bicycle</t>
  </si>
  <si>
    <t>Railway - train</t>
  </si>
  <si>
    <t>Underground train/light railway/tram</t>
  </si>
  <si>
    <t>Bicycle</t>
  </si>
  <si>
    <t>Bus, coach, private bus</t>
  </si>
  <si>
    <t>Underground train/light railway/tram</t>
  </si>
  <si>
    <t>Bus, coach, private bus</t>
  </si>
  <si>
    <t>Car, van, minibus, work van</t>
  </si>
  <si>
    <t>Bicycle</t>
  </si>
  <si>
    <t>Railway - train</t>
  </si>
  <si>
    <t>Bus, coach, private bus</t>
  </si>
  <si>
    <t>Bicycle</t>
  </si>
  <si>
    <t>Walk</t>
  </si>
  <si>
    <t>Underground train/light railway/tram</t>
  </si>
  <si>
    <t>Other way of travelling</t>
  </si>
  <si>
    <t>Car, van, minibus, work van</t>
  </si>
  <si>
    <t>Bicycle</t>
  </si>
  <si>
    <t>Bus, coach, private bus</t>
  </si>
  <si>
    <t>Bicycle</t>
  </si>
  <si>
    <t>Car, van, minibus, work van</t>
  </si>
  <si>
    <t>Walk</t>
  </si>
  <si>
    <t>Railway - train</t>
  </si>
  <si>
    <t>Bus, coach, private bus</t>
  </si>
  <si>
    <t>Car, van, minibus, work van</t>
  </si>
  <si>
    <t>Railway - train</t>
  </si>
  <si>
    <t>Car, van, minibus, work van</t>
  </si>
  <si>
    <t>Other way of travelling</t>
  </si>
  <si>
    <t>Underground train/light railway/tram</t>
  </si>
  <si>
    <t>Car, van, minibus, work van</t>
  </si>
  <si>
    <t>Railway - train</t>
  </si>
  <si>
    <t>Car, van, minibus, work van</t>
  </si>
  <si>
    <t>Underground train/light railway/tram</t>
  </si>
  <si>
    <t>Car, van, minibus, work van</t>
  </si>
  <si>
    <t>Underground train/light railway/tram</t>
  </si>
  <si>
    <t>Bicycle</t>
  </si>
  <si>
    <t>Underground train/light railway/tram</t>
  </si>
  <si>
    <t>Walk</t>
  </si>
  <si>
    <t>Railway - train</t>
  </si>
  <si>
    <t>Bicycle</t>
  </si>
  <si>
    <t>Underground train/light railway/tram</t>
  </si>
  <si>
    <t>Bicycle</t>
  </si>
  <si>
    <t>Underground train/light railway/tram</t>
  </si>
  <si>
    <t>Bicycle</t>
  </si>
  <si>
    <t>Walk</t>
  </si>
  <si>
    <t>Car, van, minibus, work van</t>
  </si>
  <si>
    <t>Underground train/light railway/tram</t>
  </si>
  <si>
    <t>Car, van, minibus, work van</t>
  </si>
  <si>
    <t>Walk</t>
  </si>
  <si>
    <t>Car, van, minibus, work van</t>
  </si>
  <si>
    <t>Bus, coach, private bus</t>
  </si>
  <si>
    <t>Car, van, minibus, work van</t>
  </si>
  <si>
    <t>Underground train/light railway/tram</t>
  </si>
  <si>
    <t>Car, van, minibus, work van</t>
  </si>
  <si>
    <t>Underground train/light railway/tram</t>
  </si>
  <si>
    <t>Walk</t>
  </si>
  <si>
    <t>Car, van, minibus, work van</t>
  </si>
  <si>
    <t>Underground train/light railway/tram</t>
  </si>
  <si>
    <t>Car, van, minibus, work van</t>
  </si>
  <si>
    <t>Walk</t>
  </si>
  <si>
    <t>Railway - train</t>
  </si>
  <si>
    <t>Motorbike, moped, scooter</t>
  </si>
  <si>
    <t>Underground train/light railway/tram</t>
  </si>
  <si>
    <t>Car, van, minibus, work van</t>
  </si>
  <si>
    <t>Walk</t>
  </si>
  <si>
    <t>Underground train/light railway/tram</t>
  </si>
  <si>
    <t>Bicycle</t>
  </si>
  <si>
    <t>Underground train/light railway/tram</t>
  </si>
  <si>
    <t>Bicycle</t>
  </si>
  <si>
    <t>Car, van, minibus, work van</t>
  </si>
  <si>
    <t>Other way of travelling</t>
  </si>
  <si>
    <t>Bus, coach, private bus</t>
  </si>
  <si>
    <t>Underground train/light railway/tram</t>
  </si>
  <si>
    <t>Bicycle</t>
  </si>
  <si>
    <t>Underground train/light railway/tram</t>
  </si>
  <si>
    <t>Railway - train</t>
  </si>
  <si>
    <t>Underground train/light railway/tram</t>
  </si>
  <si>
    <t>Bicycle</t>
  </si>
  <si>
    <t>Underground train/light railway/tram</t>
  </si>
  <si>
    <t>Other way of travelling</t>
  </si>
  <si>
    <t>Railway - train</t>
  </si>
  <si>
    <t>Bicycle</t>
  </si>
  <si>
    <t>Other way of travelling</t>
  </si>
  <si>
    <t>Car, van, minibus, work van</t>
  </si>
  <si>
    <t>Underground train/light railway/tram</t>
  </si>
  <si>
    <t>Bicycle</t>
  </si>
  <si>
    <t>Underground train/light railway/tram</t>
  </si>
  <si>
    <t>Car, van, minibus, work van</t>
  </si>
  <si>
    <t>Railway - train</t>
  </si>
  <si>
    <t>Car, van, minibus, work van</t>
  </si>
  <si>
    <t>Bus, coach, private bus</t>
  </si>
  <si>
    <t>Underground train/light railway/tram</t>
  </si>
  <si>
    <t>Bicycle</t>
  </si>
  <si>
    <t>Car, van, minibus, work van</t>
  </si>
  <si>
    <t>Walk</t>
  </si>
  <si>
    <t>Car, van, minibus, work van</t>
  </si>
  <si>
    <t>Bus, coach, private bus</t>
  </si>
  <si>
    <t>Car, van, minibus, work van</t>
  </si>
  <si>
    <t>Walk</t>
  </si>
  <si>
    <t>Car, van, minibus, work van</t>
  </si>
  <si>
    <t>Bus, coach, private bus</t>
  </si>
  <si>
    <t>Car, van, minibus, work van</t>
  </si>
  <si>
    <t>Underground train/light railway/tram</t>
  </si>
  <si>
    <t>Car, van, minibus, work van</t>
  </si>
  <si>
    <t>Walk</t>
  </si>
  <si>
    <t>Bus, coach, private bus</t>
  </si>
  <si>
    <t>Car, van, minibus, work van</t>
  </si>
  <si>
    <t>Walk</t>
  </si>
  <si>
    <t>Bus, coach, private bus</t>
  </si>
  <si>
    <t>Car, van, minibus, work van</t>
  </si>
  <si>
    <t>Bus, coach, private bus</t>
  </si>
  <si>
    <t>Walk</t>
  </si>
  <si>
    <t>Railway - train</t>
  </si>
  <si>
    <t>Bus, coach, private bus</t>
  </si>
  <si>
    <t>Bicycle</t>
  </si>
  <si>
    <t>Motorbike, moped, scooter</t>
  </si>
  <si>
    <t>Underground train/light railway/tram</t>
  </si>
  <si>
    <t>Bicycle</t>
  </si>
  <si>
    <t>Railway - train</t>
  </si>
  <si>
    <t>Bicycle</t>
  </si>
  <si>
    <t>Railway - train</t>
  </si>
  <si>
    <t>Underground train/light railway/tram</t>
  </si>
  <si>
    <t>Bicycle</t>
  </si>
  <si>
    <t>Car, van, minibus, work van</t>
  </si>
  <si>
    <t>Bus, coach, private bus</t>
  </si>
  <si>
    <t>Underground train/light railway/tram</t>
  </si>
  <si>
    <t>Kolej - pociąg</t>
  </si>
  <si>
    <t>Car, van, minibus, work van</t>
  </si>
  <si>
    <t>Underground train/light railway/tram</t>
  </si>
  <si>
    <t>Bus, coach, private bus</t>
  </si>
  <si>
    <t>Bicycle</t>
  </si>
  <si>
    <t>Bus, coach, private bus</t>
  </si>
  <si>
    <t>Na piechotę</t>
  </si>
  <si>
    <t>Underground train/light railway/tram</t>
  </si>
  <si>
    <t>Bus, coach, private bus</t>
  </si>
  <si>
    <t>Underground train/light railway/tram</t>
  </si>
  <si>
    <t>Car, van, minibus, work van</t>
  </si>
  <si>
    <t>Bus, coach, private bus</t>
  </si>
  <si>
    <t>Bicycle</t>
  </si>
  <si>
    <t>Bus, coach, private bus</t>
  </si>
  <si>
    <t>Kolej - pociąg</t>
  </si>
  <si>
    <t>Motorbike, moped, scooter</t>
  </si>
  <si>
    <t>Car, van, minibus, work van</t>
  </si>
  <si>
    <t>Underground train/light railway/tram</t>
  </si>
  <si>
    <t>Car, van, minibus, work van</t>
  </si>
  <si>
    <t>Underground train/light railway/tram</t>
  </si>
  <si>
    <t>Bicycle</t>
  </si>
  <si>
    <t>Bus, coach, private bus</t>
  </si>
  <si>
    <t>Bicycle</t>
  </si>
  <si>
    <t>Car, van, minibus, work van</t>
  </si>
  <si>
    <t>Bus, coach, private bus</t>
  </si>
  <si>
    <t>Underground train/light railway/tram</t>
  </si>
  <si>
    <t>Kolej - pociąg</t>
  </si>
  <si>
    <t>Car, van, minibus, work van</t>
  </si>
  <si>
    <t>Kolej - pociąg</t>
  </si>
  <si>
    <t>Bus, coach, private bus</t>
  </si>
  <si>
    <t>Kolej - pociąg</t>
  </si>
  <si>
    <t>Na piechotę</t>
  </si>
  <si>
    <t>Bus, coach, private bus</t>
  </si>
  <si>
    <t>Car, van, minibus, work van</t>
  </si>
  <si>
    <t>Inny sposób podróżowania</t>
  </si>
  <si>
    <t>Bicycle</t>
  </si>
  <si>
    <t>Bus, coach, private bus</t>
  </si>
  <si>
    <t>Underground train/light railway/tram</t>
  </si>
  <si>
    <t>Bicycle</t>
  </si>
  <si>
    <t>Bus, coach, private bus</t>
  </si>
  <si>
    <t>Underground train/light railway/tram</t>
  </si>
  <si>
    <t>Bus, coach, private bus</t>
  </si>
  <si>
    <t>Kolej - pociąg</t>
  </si>
  <si>
    <t>Underground train/light railway/tram</t>
  </si>
  <si>
    <t>Car, van, minibus, work van</t>
  </si>
  <si>
    <t>Inny sposób podróżowania</t>
  </si>
  <si>
    <t>Underground train/light railway/tram</t>
  </si>
  <si>
    <t>Bus, coach, private bus</t>
  </si>
  <si>
    <t>Kolej - pociąg</t>
  </si>
  <si>
    <t>Underground train/light railway/tram</t>
  </si>
  <si>
    <t>Car, van, minibus, work van</t>
  </si>
  <si>
    <t>Na piechotę</t>
  </si>
  <si>
    <t>Bus, coach, private bus</t>
  </si>
  <si>
    <t>Bicycle</t>
  </si>
  <si>
    <t>Underground train/light railway/tram</t>
  </si>
  <si>
    <t>Bus, coach, private bus</t>
  </si>
  <si>
    <t>Underground train/light railway/tram</t>
  </si>
  <si>
    <t>Kolej - pociąg</t>
  </si>
  <si>
    <t>Car, van, minibus, work van</t>
  </si>
  <si>
    <t>Kolej - pociąg</t>
  </si>
  <si>
    <t>Na piechotę</t>
  </si>
  <si>
    <t>Inny sposób podróżowania</t>
  </si>
  <si>
    <t>Underground train/light railway/tram</t>
  </si>
  <si>
    <t>Kolej - pociąg</t>
  </si>
  <si>
    <t>Bus, coach, private bus</t>
  </si>
  <si>
    <t>Underground train/light railway/tram</t>
  </si>
  <si>
    <t>Bus, coach, private bus</t>
  </si>
  <si>
    <t>Car, van, minibus, work van</t>
  </si>
  <si>
    <t>Inny sposób podróżowania</t>
  </si>
  <si>
    <t>Motorbike, moped, scooter</t>
  </si>
  <si>
    <t>Na piechotę</t>
  </si>
  <si>
    <t>Bus, coach, private bus</t>
  </si>
  <si>
    <t>Car, van, minibus, work van</t>
  </si>
  <si>
    <t>Bus, coach, private bus</t>
  </si>
  <si>
    <t>Kolej - pociąg</t>
  </si>
  <si>
    <t>Bus, coach, private bus</t>
  </si>
  <si>
    <t>Kolej - pociąg</t>
  </si>
  <si>
    <t>Bicycle</t>
  </si>
  <si>
    <t>Car, van, minibus, work van</t>
  </si>
  <si>
    <t>Kolej - pociąg</t>
  </si>
  <si>
    <t>Bus, coach, private bus</t>
  </si>
  <si>
    <t>Inny sposób podróżowania</t>
  </si>
  <si>
    <t>Bus, coach, private bus</t>
  </si>
  <si>
    <t>Bicycle</t>
  </si>
  <si>
    <t>Underground train/light railway/tram</t>
  </si>
  <si>
    <t>Walk</t>
  </si>
  <si>
    <t>Car, van, minibus, work van</t>
  </si>
  <si>
    <t>Bus, coach, private bus</t>
  </si>
  <si>
    <t>Underground train/light railway/tram</t>
  </si>
  <si>
    <t>Car, van, minibus, work van</t>
  </si>
  <si>
    <t>Bicycle</t>
  </si>
  <si>
    <t>Car, van, minibus, work van</t>
  </si>
  <si>
    <t>Underground train/light railway/tram</t>
  </si>
  <si>
    <t>Car, van, minibus, work van</t>
  </si>
  <si>
    <t>Bus, coach, private bus</t>
  </si>
  <si>
    <t>Car, van, minibus, work van</t>
  </si>
  <si>
    <t>Walk</t>
  </si>
  <si>
    <t>Underground train/light railway/tram</t>
  </si>
  <si>
    <t>Bus, coach, private bus</t>
  </si>
  <si>
    <t>Underground train/light railway/tram</t>
  </si>
  <si>
    <t>Railway - train</t>
  </si>
  <si>
    <t>Car, van, minibus, work van</t>
  </si>
  <si>
    <t>Other way of travelling</t>
  </si>
  <si>
    <t>Railway - train</t>
  </si>
  <si>
    <t>Bus, coach, private bus</t>
  </si>
  <si>
    <t>Bicycle</t>
  </si>
  <si>
    <t>Railway - train</t>
  </si>
  <si>
    <t>Bus, coach, private bus</t>
  </si>
  <si>
    <t>Underground train/light railway/tram</t>
  </si>
  <si>
    <t>Bicycle</t>
  </si>
  <si>
    <t>Car, van, minibus, work van</t>
  </si>
  <si>
    <t>Bus, coach, private bus</t>
  </si>
  <si>
    <t>Walk</t>
  </si>
  <si>
    <t>Car, van, minibus, work van</t>
  </si>
  <si>
    <t>Walk</t>
  </si>
  <si>
    <t>Underground train/light railway/tram</t>
  </si>
  <si>
    <t>Walk</t>
  </si>
  <si>
    <t>Car, van, minibus, work van</t>
  </si>
  <si>
    <t>Underground train/light railway/tram</t>
  </si>
  <si>
    <t>Bicycle</t>
  </si>
  <si>
    <t>Car, van, minibus, work van</t>
  </si>
  <si>
    <t>Underground train/light railway/tram</t>
  </si>
  <si>
    <t>Car, van, minibus, work van</t>
  </si>
  <si>
    <t>Walk</t>
  </si>
  <si>
    <t>Underground train/light railway/tram</t>
  </si>
  <si>
    <t>Car, van, minibus, work van</t>
  </si>
  <si>
    <t>Bus, coach, private bus</t>
  </si>
  <si>
    <t>Car, van, minibus, work van</t>
  </si>
  <si>
    <t>StartDateUTC</t>
  </si>
  <si>
    <t>SubmitDateUTC</t>
  </si>
  <si>
    <t>NetworkID</t>
  </si>
  <si>
    <t>Network ID</t>
  </si>
  <si>
    <t>7203966eea</t>
  </si>
  <si>
    <t>e498e90f4d</t>
  </si>
  <si>
    <t>1cf3e97681</t>
  </si>
  <si>
    <t>f1a17c31f1</t>
  </si>
  <si>
    <t>70f9bad4a3</t>
  </si>
  <si>
    <t>9e454d0281</t>
  </si>
  <si>
    <t>b6618b2a02</t>
  </si>
  <si>
    <t>6af1d7b16f</t>
  </si>
  <si>
    <t>aeae6ad641</t>
  </si>
  <si>
    <t>39965414c9</t>
  </si>
  <si>
    <t>4254429ac1</t>
  </si>
  <si>
    <t>66d2bcc0b3</t>
  </si>
  <si>
    <t>7cdaae8fa1</t>
  </si>
  <si>
    <t>fcb1f17f2c</t>
  </si>
  <si>
    <t>d5d472dde9</t>
  </si>
  <si>
    <t>e4d4fd4195</t>
  </si>
  <si>
    <t>9520a336ef</t>
  </si>
  <si>
    <t>89c766ec02</t>
  </si>
  <si>
    <t>366af3e22b</t>
  </si>
  <si>
    <t>6bbe430d8d</t>
  </si>
  <si>
    <t>2f8cc3d9e7</t>
  </si>
  <si>
    <t>7a545e19e6</t>
  </si>
  <si>
    <t>96fea38d48</t>
  </si>
  <si>
    <t>d67c82bbf2</t>
  </si>
  <si>
    <t>9bb14bece0</t>
  </si>
  <si>
    <t>b9a0a3d0ac</t>
  </si>
  <si>
    <t>1031956160</t>
  </si>
  <si>
    <t>2da92b3941</t>
  </si>
  <si>
    <t>9ec0830779</t>
  </si>
  <si>
    <t>3374d6261e</t>
  </si>
  <si>
    <t>da254c5dfa</t>
  </si>
  <si>
    <t>58c0cc2a99</t>
  </si>
  <si>
    <t>42a2825b39</t>
  </si>
  <si>
    <t>b409dec3bf</t>
  </si>
  <si>
    <t>2d5bc22b60</t>
  </si>
  <si>
    <t>2d0c3e5a15</t>
  </si>
  <si>
    <t>f25d42b07f</t>
  </si>
  <si>
    <t>e78505e67b</t>
  </si>
  <si>
    <t>80c1c27ef0</t>
  </si>
  <si>
    <t>175c1b9e00</t>
  </si>
  <si>
    <t>f50becaac5</t>
  </si>
  <si>
    <t>af7d38bd4c</t>
  </si>
  <si>
    <t>aab516d72a</t>
  </si>
  <si>
    <t>082eb77d64</t>
  </si>
  <si>
    <t>750766f0f7</t>
  </si>
  <si>
    <t>0ca3d9229f</t>
  </si>
  <si>
    <t>3b7674d839</t>
  </si>
  <si>
    <t>a88752264a</t>
  </si>
  <si>
    <t>7350e2ed52</t>
  </si>
  <si>
    <t>199a38efb6</t>
  </si>
  <si>
    <t>6a11e34fb6</t>
  </si>
  <si>
    <t>2cee3b6894</t>
  </si>
  <si>
    <t>925bc3046c</t>
  </si>
  <si>
    <t>70cad8f5d2</t>
  </si>
  <si>
    <t>6d551b7f63</t>
  </si>
  <si>
    <t>dd396ae9bc</t>
  </si>
  <si>
    <t>5e4903048b</t>
  </si>
  <si>
    <t>136627b3b4</t>
  </si>
  <si>
    <t>67510da4a0</t>
  </si>
  <si>
    <t>8af818e796</t>
  </si>
  <si>
    <t>235348cd8c</t>
  </si>
  <si>
    <t>94301e0539</t>
  </si>
  <si>
    <t>d48b6b85ca</t>
  </si>
  <si>
    <t>cf4b424039</t>
  </si>
  <si>
    <t>c2b1499312</t>
  </si>
  <si>
    <t>83677e393a</t>
  </si>
  <si>
    <t>bd9897bb00</t>
  </si>
  <si>
    <t>b039552753</t>
  </si>
  <si>
    <t>c65b7fa064</t>
  </si>
  <si>
    <t>d92781a66c</t>
  </si>
  <si>
    <t>843bcfc6a5</t>
  </si>
  <si>
    <t>ec10b40058</t>
  </si>
  <si>
    <t>70b6ae6b3e</t>
  </si>
  <si>
    <t>3db546c45b</t>
  </si>
  <si>
    <t>60539529cc</t>
  </si>
  <si>
    <t>7ad98fdbb2</t>
  </si>
  <si>
    <t>e7adf95ddb</t>
  </si>
  <si>
    <t>60e83ef656</t>
  </si>
  <si>
    <t>9d372a50cd</t>
  </si>
  <si>
    <t>1cb63d6334</t>
  </si>
  <si>
    <t>09c51e6bba</t>
  </si>
  <si>
    <t>693977669b</t>
  </si>
  <si>
    <t>7f0106310b</t>
  </si>
  <si>
    <t>f390b5031c</t>
  </si>
  <si>
    <t>b7ad53aad6</t>
  </si>
  <si>
    <t>1daad1919a</t>
  </si>
  <si>
    <t>5231d2f5ee</t>
  </si>
  <si>
    <t>8edf88ec15</t>
  </si>
  <si>
    <t>0d2c448751</t>
  </si>
  <si>
    <t>2048487bf2</t>
  </si>
  <si>
    <t>a7dad503f8</t>
  </si>
  <si>
    <t>a227048870</t>
  </si>
  <si>
    <t>c0dd9ed73b</t>
  </si>
  <si>
    <t>8e8c307882</t>
  </si>
  <si>
    <t>8b2ec2d08b</t>
  </si>
  <si>
    <t>0fc4d5d7cf</t>
  </si>
  <si>
    <t>65be197b2d</t>
  </si>
  <si>
    <t>25168c9a4c</t>
  </si>
  <si>
    <t>f03a4adaaf</t>
  </si>
  <si>
    <t>5e445418ad</t>
  </si>
  <si>
    <t>8e8c307882</t>
  </si>
  <si>
    <t>da33bc1200</t>
  </si>
  <si>
    <t>6a2cdd6917</t>
  </si>
  <si>
    <t>62699f694c</t>
  </si>
  <si>
    <t>a0a2fea695</t>
  </si>
  <si>
    <t>9ddec21845</t>
  </si>
  <si>
    <t>743a5dd40f</t>
  </si>
  <si>
    <t>f5e444654c</t>
  </si>
  <si>
    <t>2c9d4c5dd1</t>
  </si>
  <si>
    <t>e189357822</t>
  </si>
  <si>
    <t>a9034b828c</t>
  </si>
  <si>
    <t>a15bde2980</t>
  </si>
  <si>
    <t>23569eead0</t>
  </si>
  <si>
    <t>f08c416b5a</t>
  </si>
  <si>
    <t>1d5e2ea04b</t>
  </si>
  <si>
    <t>d2714623fe</t>
  </si>
  <si>
    <t>62c5bc5495</t>
  </si>
  <si>
    <t>0fe648ee21</t>
  </si>
  <si>
    <t>0886e7f72d</t>
  </si>
  <si>
    <t>d1f007f793</t>
  </si>
  <si>
    <t>f578940b71</t>
  </si>
  <si>
    <t>eacb58bc4d</t>
  </si>
  <si>
    <t>892faf82d4</t>
  </si>
  <si>
    <t>fbb4635a7f</t>
  </si>
  <si>
    <t>7d479fb6ed</t>
  </si>
  <si>
    <t>fe94b2f4fa</t>
  </si>
  <si>
    <t>01af9b4360</t>
  </si>
  <si>
    <t>3b6e04bffc</t>
  </si>
  <si>
    <t>189e1196bd</t>
  </si>
  <si>
    <t>caaf406c2c</t>
  </si>
  <si>
    <t>4b6cdade26</t>
  </si>
  <si>
    <t>e25f1c62fd</t>
  </si>
  <si>
    <t>7c925dad16</t>
  </si>
  <si>
    <t>69895cf20e</t>
  </si>
  <si>
    <t>aa1296bb48</t>
  </si>
  <si>
    <t>52c1402ed9</t>
  </si>
  <si>
    <t>fb57149a66</t>
  </si>
  <si>
    <t>c9ebeabce9</t>
  </si>
  <si>
    <t>a06a5fb92a</t>
  </si>
  <si>
    <t>b6bbe1906b</t>
  </si>
  <si>
    <t>d708edd102</t>
  </si>
  <si>
    <t>f37be45e33</t>
  </si>
  <si>
    <t>ac736c5c3b</t>
  </si>
  <si>
    <t>b6bbe1906b</t>
  </si>
  <si>
    <t>b5bc948da6</t>
  </si>
  <si>
    <t>b906b30fd7</t>
  </si>
  <si>
    <t>16b333dc49</t>
  </si>
  <si>
    <t>b906b30fd7</t>
  </si>
  <si>
    <t>dda2a754e8</t>
  </si>
  <si>
    <t>5ae90cec0d</t>
  </si>
  <si>
    <t>22655a49fa</t>
  </si>
  <si>
    <t>05f2f79b47</t>
  </si>
  <si>
    <t>50b225724a</t>
  </si>
  <si>
    <t>a54a7fb4af</t>
  </si>
  <si>
    <t>7d16560036</t>
  </si>
  <si>
    <t>2c6a34110d</t>
  </si>
  <si>
    <t>42930d22d9</t>
  </si>
  <si>
    <t>bda6a0234f</t>
  </si>
  <si>
    <t>190a552bce</t>
  </si>
  <si>
    <t>9feaaffc88</t>
  </si>
  <si>
    <t>02c1337490</t>
  </si>
  <si>
    <t>f8b7f1c26d</t>
  </si>
  <si>
    <t>001703b8f9</t>
  </si>
  <si>
    <t>632811ea74</t>
  </si>
  <si>
    <t>0c5ea31ba9</t>
  </si>
  <si>
    <t>984d7a1133</t>
  </si>
  <si>
    <t>f18359d67a</t>
  </si>
  <si>
    <t>783c47414c</t>
  </si>
  <si>
    <t>6d71a901f6</t>
  </si>
  <si>
    <t>50f972a0a1</t>
  </si>
  <si>
    <t>ae23f4ec4c</t>
  </si>
  <si>
    <t>554c0861a6</t>
  </si>
  <si>
    <t>edd9fe649b</t>
  </si>
  <si>
    <t>5182df560c</t>
  </si>
  <si>
    <t>fed81f45f4</t>
  </si>
  <si>
    <t>cd0b934f36</t>
  </si>
  <si>
    <t>3a2061279d</t>
  </si>
  <si>
    <t>78cf0cbc91</t>
  </si>
  <si>
    <t>701d4a76ac</t>
  </si>
  <si>
    <t>579fb1b3e1</t>
  </si>
  <si>
    <t>b7acf9198c</t>
  </si>
  <si>
    <t>601a7fc61c</t>
  </si>
  <si>
    <t>101cb99970</t>
  </si>
  <si>
    <t>b8d231f726</t>
  </si>
  <si>
    <t>06b79ec0ea</t>
  </si>
  <si>
    <t>7aaa5de811</t>
  </si>
  <si>
    <t>01dd5204c6</t>
  </si>
  <si>
    <t>5dad5f4eb9</t>
  </si>
  <si>
    <t>282caa645d</t>
  </si>
  <si>
    <t>2036c69ba2</t>
  </si>
  <si>
    <t>579f93145f</t>
  </si>
  <si>
    <t>993a23b5d3</t>
  </si>
  <si>
    <t>be04a703db</t>
  </si>
  <si>
    <t>18a9ce3f68</t>
  </si>
  <si>
    <t>0e1202627a</t>
  </si>
  <si>
    <t>331e06bf0a</t>
  </si>
  <si>
    <t>c23d7a3b06</t>
  </si>
  <si>
    <t>897f1087a2</t>
  </si>
  <si>
    <t>79f67f7f20</t>
  </si>
  <si>
    <t>079f495566</t>
  </si>
  <si>
    <t>908c142f0d</t>
  </si>
  <si>
    <t>df27cce35d</t>
  </si>
  <si>
    <t>714802d8be</t>
  </si>
  <si>
    <t>9d142cbbb5</t>
  </si>
  <si>
    <t>459991a875</t>
  </si>
  <si>
    <t>582e52139f</t>
  </si>
  <si>
    <t>1faeef6e24</t>
  </si>
  <si>
    <t>3f1154c89f</t>
  </si>
  <si>
    <t>a30769a1e0</t>
  </si>
  <si>
    <t>20829af172</t>
  </si>
  <si>
    <t>79427f686f</t>
  </si>
  <si>
    <t>b50debcd4d</t>
  </si>
  <si>
    <t>62a0ed4438</t>
  </si>
  <si>
    <t>33e3a40039</t>
  </si>
  <si>
    <t>7f0f71f05b</t>
  </si>
  <si>
    <t>82431cb84a</t>
  </si>
  <si>
    <t>b7be773032</t>
  </si>
  <si>
    <t>116e751569</t>
  </si>
  <si>
    <t>dceac9b557</t>
  </si>
  <si>
    <t>1982c08021</t>
  </si>
  <si>
    <t>ee7db78955</t>
  </si>
  <si>
    <t>953d42cffd</t>
  </si>
  <si>
    <t>edfe704fd2</t>
  </si>
  <si>
    <t>9918b520ff</t>
  </si>
  <si>
    <t>b928bb95ac</t>
  </si>
  <si>
    <t>aca74a93a0</t>
  </si>
  <si>
    <t>b928bb95ac</t>
  </si>
  <si>
    <t>d9a1a6dbd3</t>
  </si>
  <si>
    <t>2ccc60968d</t>
  </si>
  <si>
    <t>e0f001e82a</t>
  </si>
  <si>
    <t>b928bb95ac</t>
  </si>
  <si>
    <t>be364f946c</t>
  </si>
  <si>
    <t>64ec869299</t>
  </si>
  <si>
    <t>98e8091b5f</t>
  </si>
  <si>
    <t>2ec6dec0b1</t>
  </si>
  <si>
    <t>f271a891bb</t>
  </si>
  <si>
    <t>3a04635c58</t>
  </si>
  <si>
    <t>a5959da915</t>
  </si>
  <si>
    <t>fae52b3e44</t>
  </si>
  <si>
    <t>958bd556b0</t>
  </si>
  <si>
    <t>4ee4667f20</t>
  </si>
  <si>
    <t>4541f8d601</t>
  </si>
  <si>
    <t>b2d7fe6eb9</t>
  </si>
  <si>
    <t>98e8091b5f</t>
  </si>
  <si>
    <t>9d6f6f3e0e</t>
  </si>
  <si>
    <t>9ef2cb1861</t>
  </si>
  <si>
    <t>5fcdfcbaf5</t>
  </si>
  <si>
    <t>c0f243ab73</t>
  </si>
  <si>
    <t>fa1b0a00da</t>
  </si>
  <si>
    <t>5276a2c091</t>
  </si>
  <si>
    <t>263e7efadc</t>
  </si>
  <si>
    <t>7ef7720f66</t>
  </si>
  <si>
    <t>b928bb95ac</t>
  </si>
  <si>
    <t>1c1673fa79</t>
  </si>
  <si>
    <t>4e594426d5</t>
  </si>
  <si>
    <t>a9587cf5f9</t>
  </si>
  <si>
    <t>dad974783d</t>
  </si>
  <si>
    <t>f6d7765e3d</t>
  </si>
  <si>
    <t>84f9747fc9</t>
  </si>
  <si>
    <t>b928bb95ac</t>
  </si>
  <si>
    <t>b54421d6d6</t>
  </si>
  <si>
    <t>aa52713e7a</t>
  </si>
  <si>
    <t>b928bb95ac</t>
  </si>
  <si>
    <t>8f8674e03f</t>
  </si>
  <si>
    <t>0d710a3cf5</t>
  </si>
  <si>
    <t>3763beac54</t>
  </si>
  <si>
    <t>0d710a3cf5</t>
  </si>
  <si>
    <t>b928bb95ac</t>
  </si>
  <si>
    <t>09c56990c3</t>
  </si>
  <si>
    <t>18d55878e8</t>
  </si>
  <si>
    <t>241d1e6b64</t>
  </si>
  <si>
    <t>b928bb95ac</t>
  </si>
  <si>
    <t>c63791468d</t>
  </si>
  <si>
    <t>9c3c6e3adb</t>
  </si>
  <si>
    <t>8f8674e03f</t>
  </si>
  <si>
    <t>7b00d8f961</t>
  </si>
  <si>
    <t>ae00cc5222</t>
  </si>
  <si>
    <t>c715d6b678</t>
  </si>
  <si>
    <t>cb74cd7a1c</t>
  </si>
  <si>
    <t>cba0f2a666</t>
  </si>
  <si>
    <t>b928bb95ac</t>
  </si>
  <si>
    <t>a5a5108e3f</t>
  </si>
  <si>
    <t>5d7dd1dcb4</t>
  </si>
  <si>
    <t>b928bb95ac</t>
  </si>
  <si>
    <t>5bd0d248d1</t>
  </si>
  <si>
    <t>4981a2c748</t>
  </si>
  <si>
    <t>9490d16873</t>
  </si>
  <si>
    <t>b928bb95ac</t>
  </si>
  <si>
    <t>8f8674e03f</t>
  </si>
  <si>
    <t>b928bb95ac</t>
  </si>
  <si>
    <t>8f8674e03f</t>
  </si>
  <si>
    <t>b928bb95ac</t>
  </si>
  <si>
    <t>66a92bac14</t>
  </si>
  <si>
    <t>b928bb95ac</t>
  </si>
  <si>
    <t>8f8674e03f</t>
  </si>
  <si>
    <t>adfc27b6a0</t>
  </si>
  <si>
    <t>011553854d</t>
  </si>
  <si>
    <t>d7390ff5c6</t>
  </si>
  <si>
    <t>e1174fb731</t>
  </si>
  <si>
    <t>d38ef8ec53</t>
  </si>
  <si>
    <t>89f5c301e5</t>
  </si>
  <si>
    <t>73231c0cbf</t>
  </si>
  <si>
    <t>4e3ec9c38a</t>
  </si>
  <si>
    <t>8318d8b095</t>
  </si>
  <si>
    <t>926f881f94</t>
  </si>
  <si>
    <t>b11296104f</t>
  </si>
  <si>
    <t>e9907fa31a</t>
  </si>
  <si>
    <t>30e9cc4417</t>
  </si>
  <si>
    <t>8fa8731355</t>
  </si>
  <si>
    <t>51f35a9ed6</t>
  </si>
  <si>
    <t>fbefb62fa1</t>
  </si>
  <si>
    <t>c2faa7316f</t>
  </si>
  <si>
    <t>4a3374abfd</t>
  </si>
  <si>
    <t>6e2d329cff</t>
  </si>
  <si>
    <t>6a4d7a3b1b</t>
  </si>
  <si>
    <t>4e55f7ff30</t>
  </si>
  <si>
    <t>035d557a71</t>
  </si>
  <si>
    <t>70ccbc213e</t>
  </si>
  <si>
    <t>98ae3dc8b8</t>
  </si>
  <si>
    <t>3fb8fd85c8</t>
  </si>
  <si>
    <t>b908c03e72</t>
  </si>
  <si>
    <t>5e483e2b79</t>
  </si>
  <si>
    <t>fb12c648ef</t>
  </si>
  <si>
    <t>1024dd5bc6</t>
  </si>
  <si>
    <t>2f2671b80a</t>
  </si>
  <si>
    <t>cc2cffc411</t>
  </si>
  <si>
    <t>52d0caef0d</t>
  </si>
  <si>
    <t>6ab5932867</t>
  </si>
  <si>
    <t>4e55f7ff30</t>
  </si>
  <si>
    <t>662b00cbb7</t>
  </si>
  <si>
    <t>063f2dddd8</t>
  </si>
  <si>
    <t>9f0fde8c04</t>
  </si>
  <si>
    <t>b4e5e97d30</t>
  </si>
  <si>
    <t>dad4ebf094</t>
  </si>
  <si>
    <t>18f82e2810</t>
  </si>
  <si>
    <t>736c9b5d22</t>
  </si>
  <si>
    <t>dce440be42</t>
  </si>
  <si>
    <t>f56e40a51e</t>
  </si>
  <si>
    <t>27419039e8</t>
  </si>
  <si>
    <t>9b4f30d562</t>
  </si>
  <si>
    <t>8852bb69b4</t>
  </si>
  <si>
    <t>2e0a3b6bf7</t>
  </si>
  <si>
    <t>926f881f94</t>
  </si>
  <si>
    <t>ee7d645365</t>
  </si>
  <si>
    <t>e8c30d705e</t>
  </si>
  <si>
    <t>d1cee89baf</t>
  </si>
  <si>
    <t>5c1f9ba723</t>
  </si>
  <si>
    <t>126dd507ef</t>
  </si>
  <si>
    <t>d94cdf25c4</t>
  </si>
  <si>
    <t>ce5d73bc69</t>
  </si>
  <si>
    <t>035dcf78a3</t>
  </si>
  <si>
    <t>7b660073cc</t>
  </si>
  <si>
    <t>2cee3b6894</t>
  </si>
  <si>
    <t>7f1a7a7edf</t>
  </si>
  <si>
    <t>b60516c243</t>
  </si>
  <si>
    <t>7ba39407cb</t>
  </si>
  <si>
    <t>2cee3b6894</t>
  </si>
  <si>
    <t>aec120dc93</t>
  </si>
  <si>
    <t>FC Level 1</t>
  </si>
  <si>
    <t>FC Level 2</t>
  </si>
  <si>
    <t>FC Level 3</t>
  </si>
  <si>
    <t>Code</t>
  </si>
  <si>
    <t>ACCESSIBILITY OF THE SERVICE</t>
  </si>
  <si>
    <t>Walking time from the points of interest to the public transport access points</t>
  </si>
  <si>
    <t>FC111</t>
  </si>
  <si>
    <t>I can easily get to my destination from the station by walking or using other means of transport. </t>
  </si>
  <si>
    <t>Reliability of the service modes available</t>
  </si>
  <si>
    <t>Average no. of minutes per month of service delay of the lines working on each station.</t>
  </si>
  <si>
    <t>Public transport fulfils my daily travel requirements in terms of time, price, security </t>
  </si>
  <si>
    <t>Operational hours and frequency of the service</t>
  </si>
  <si>
    <t>Operational hours per station</t>
  </si>
  <si>
    <t>Frequency of train arrival/departure.</t>
  </si>
  <si>
    <t>Operational hours (starting and ending hours) are sufficient to meet my travel needs </t>
  </si>
  <si>
    <t>Level of service at the public transport access point</t>
  </si>
  <si>
    <t>FC114</t>
  </si>
  <si>
    <t>No. of minutes of average waiting time at platforms to access the cabin.</t>
  </si>
  <si>
    <t>The frequency (number of trains) and service efficiency (being on time) at this station is adequate for my needs </t>
  </si>
  <si>
    <t>Number of service available within the transport infrastructure</t>
  </si>
  <si>
    <t>The facility and service availability within the station is appropriate (seating area, bar, pharmacy, ATMs…)  </t>
  </si>
  <si>
    <t>Yes/No about services available within the station infrastructure</t>
  </si>
  <si>
    <t>Integartion with other modes of public transport including bus, train, etc.</t>
  </si>
  <si>
    <t>FC116</t>
  </si>
  <si>
    <t>Public transport fulfils my daily travel requirements in terms of work commute and other trips </t>
  </si>
  <si>
    <t>Integartion with alternative shared mobility service for last mile connections, including bike, scooter and car sharing</t>
  </si>
  <si>
    <t>FC117</t>
  </si>
  <si>
    <t>Yes/No about alternative shared mobility services for last mile connections within 400 m</t>
  </si>
  <si>
    <t>Availability of on-demand transport services including taxi and paratransit</t>
  </si>
  <si>
    <t>FC118</t>
  </si>
  <si>
    <t>Yes/No about on-demand transport service including taxi and paratransit within 400 m</t>
  </si>
  <si>
    <t>TRAVEL AND WAYFINDING INFORMATION PROVISION</t>
  </si>
  <si>
    <t>Clear, concise, accurate and timely ongoing travel updates through video and audible announcements in multiple languages including service changes, delays, adverse events, station identification, etc.;</t>
  </si>
  <si>
    <t> I am pleased with the provided travel information at the railway station </t>
  </si>
  <si>
    <t>Yes/No about travel updates through video announcements clear and timely considering  the concourse level.</t>
  </si>
  <si>
    <t>Yes/No about travel updates through video announcements clear and timely considering  the platform level.</t>
  </si>
  <si>
    <t>Yes/No about travel updates through video announcements clear and timely considering  the carriage.</t>
  </si>
  <si>
    <t>Yes/No about travel updates through video announcements in multiple languages considering the concourse level.</t>
  </si>
  <si>
    <t>Yes/No about travel updates through video announcements in multiple languages considering the platform level.</t>
  </si>
  <si>
    <t>Yes/No about travel updates through video announcements in multiple languages considering the carriage.</t>
  </si>
  <si>
    <t>Yes/No about travel updates through audible announcements clear and timely considering the concourse level.</t>
  </si>
  <si>
    <t>Yes/No about travel updates through audible announcements clear and timely considering the platform level.</t>
  </si>
  <si>
    <t>Yes/No about travel updates through audible announcements clear and timely considering the carriage.</t>
  </si>
  <si>
    <t>Yes/No about travel updates through and audible announcements in multiple languages considering the concourse level.</t>
  </si>
  <si>
    <t>Yes/No about travel updates through and audible announcements in multiple languages considering the platform level.</t>
  </si>
  <si>
    <t>Yes/No about travel updates through and audible announcements in multiple languages considering the carriage.</t>
  </si>
  <si>
    <t>User friendly, intuitive and easily understandable time table and network maps</t>
  </si>
  <si>
    <t>The availability of travel information and directions (e.g. maps, announcements and video messages in and around stations,) at this station meet my travel needs </t>
  </si>
  <si>
    <t>Yes/No about travel information provision through time table and network map considering the concourse level.</t>
  </si>
  <si>
    <t>Yes/No about travel information provision through time table and network map considering the platform level.</t>
  </si>
  <si>
    <t>Yes/No about travel information provision through time table and network map considering the carriage.</t>
  </si>
  <si>
    <t>Information point, enquiry desks, help desks, security desks (for reporting and abuse, a lost item or a suspicious person)</t>
  </si>
  <si>
    <t>FC123</t>
  </si>
  <si>
    <t xml:space="preserve">Yes/No about info points, enquiry desks, help desks and security desks </t>
  </si>
  <si>
    <t>Vertical and horizontal signposting for easy wayfinding</t>
  </si>
  <si>
    <t>I am satisfied that all services, exits, and platforms are clearly signposted </t>
  </si>
  <si>
    <t>Yes/No about vertical and horizontal signposting for easy wayfinding, considering the concourse level.</t>
  </si>
  <si>
    <t>Yes/No about vertical and horizontal signposting for easy wayfinding, considering the platform level.</t>
  </si>
  <si>
    <t>Comprehensive and flexible mobile app and online planning tool and route finder, considering aspects such as real time traffic information, proximity of stops to main attractions and landmarks of the city, weather conditions, travel time, fare options, mode selection, universal access aspects of the stations, etc.;</t>
  </si>
  <si>
    <t>FC125</t>
  </si>
  <si>
    <t>I am satisfied with travel ticketing, timetabling and route planning services available on a smartphone app or online </t>
  </si>
  <si>
    <t>Information regarding positive environmental contribution</t>
  </si>
  <si>
    <t>FC126</t>
  </si>
  <si>
    <t>Yes/No about information provision regarding positive environmental contribution, considering both the concourse level and the platform level.</t>
  </si>
  <si>
    <t>TICKETING OPTIONS AND FARES</t>
  </si>
  <si>
    <t>Affordability of the service in general in comparison to use of privately-owned vehicles</t>
  </si>
  <si>
    <t>FC131</t>
  </si>
  <si>
    <t>Fare discounts and ticket options are more affordable and better value for money than traveling by private car </t>
  </si>
  <si>
    <t>Discounted fares</t>
  </si>
  <si>
    <t>FC132</t>
  </si>
  <si>
    <t>Structured data regarding discounted fare options.</t>
  </si>
  <si>
    <t>Flexible fare options for multiple and intermodal trips, group trips, family trips, transferable tickets</t>
  </si>
  <si>
    <t xml:space="preserve">Structured data regarding flexible fare options for multiple and intermodal trips </t>
  </si>
  <si>
    <t xml:space="preserve">Structured data regarding flexible fare options for group trips </t>
  </si>
  <si>
    <t xml:space="preserve">Structured data regarding flexible fare options for family trips </t>
  </si>
  <si>
    <t>Structured data regarding flexible fare options for transferable tickets.</t>
  </si>
  <si>
    <t>Pay-per-use options</t>
  </si>
  <si>
    <t>FC134</t>
  </si>
  <si>
    <t xml:space="preserve">Structured data regarding pay-per-use options. </t>
  </si>
  <si>
    <t>Suscription or monthly payment options</t>
  </si>
  <si>
    <t>FC135</t>
  </si>
  <si>
    <t xml:space="preserve">Structured data regarding subscription or monthly payment options.  </t>
  </si>
  <si>
    <t>Electronic ticket and flexible paymnet methods using cash, credit card, smartphones and mobile apps</t>
  </si>
  <si>
    <t>Number of electronic ticket and flexible payment methods:  cash, credit card, smartphones and mobile apps.</t>
  </si>
  <si>
    <t>Yes/No about electronic ticket and flexible payment methods using cash, credit card, smartphones and mobile apps.</t>
  </si>
  <si>
    <t>Availability of ATMs, ticket machines, ticket office and alternative sale points inside and outside of stations.</t>
  </si>
  <si>
    <t>Number of ATMs</t>
  </si>
  <si>
    <t>Number of ticket machines</t>
  </si>
  <si>
    <t>Number of ticket office</t>
  </si>
  <si>
    <t>Number of alternative sale points inside of the station</t>
  </si>
  <si>
    <t>Number of alternative sale points outside of the station</t>
  </si>
  <si>
    <t>Yes/No about availability of ATMs, ticket machines, ticket office and alternative sale points inside and outside of stations.</t>
  </si>
  <si>
    <t>TRAVEL PURPOSE</t>
  </si>
  <si>
    <t>Travel purpose (e.g. work, shoping, personal business, leisure, education, etc.)</t>
  </si>
  <si>
    <t>FC141</t>
  </si>
  <si>
    <t>I can easily travel to my work place using public transport, if this applies to you </t>
  </si>
  <si>
    <t>Travel destination (e.g. urban, sub-urban)</t>
  </si>
  <si>
    <t>FC142</t>
  </si>
  <si>
    <t>It is easy to get to where I want to go using this public transport service  </t>
  </si>
  <si>
    <t>INFRASTRUCTURE DESIGN</t>
  </si>
  <si>
    <t>UNIVERSAL DESIGN</t>
  </si>
  <si>
    <t>Lift with enough room to carry shopping bags, baby strollers, luggage and wheelchair to access the station and transfer within the stations;</t>
  </si>
  <si>
    <t>Access within and around the station suit the needs of people with varying abilities (stairs, lifts, rail etc) </t>
  </si>
  <si>
    <t>Yes/No about lift with enough room to carry shopping bags, baby strollers, luggage and wheelchair to access the station and transfer within the stations at concourse level.</t>
  </si>
  <si>
    <t>Yes/No about lift with enough room to carry shopping bags, baby strollers, luggage and wheelchair to access the station and transfer within the stations at platform level.</t>
  </si>
  <si>
    <t xml:space="preserve">Ramps and escalator with enough room to carry shopping bags, baby strollers, luggage and wheelchair to access the station and transfer within the stations; </t>
  </si>
  <si>
    <t>Yes/No about ramps and escalator with enough room to carry shopping bags, baby strollers, luggage and wheelchair to access the station and transfer within the stations at concourse level.</t>
  </si>
  <si>
    <t>Yes/No about ramps and escalator with enough room to carry shopping bags, baby strollers, luggage and wheelchair to access the station and transfer within the stations at platform level.</t>
  </si>
  <si>
    <t>Bright color contrasting handrail to help people with visual impairment to identify support quickly;</t>
  </si>
  <si>
    <t>FC213</t>
  </si>
  <si>
    <t>Yes/No about bright color contrasting handrail to help people with visual impairment to identify support quickly.</t>
  </si>
  <si>
    <t>Tactile surfaces to provide wayfinding information to people with reduced visual capabilities;</t>
  </si>
  <si>
    <t>Yes/No about tactile surfaces to provide wayfinding information to people with reduced visual capabilities at concourse level.</t>
  </si>
  <si>
    <t>Yes/No about tactile surfaces to provide wayfinding information to people with reduced visual capabilities at platform level.</t>
  </si>
  <si>
    <t>Signposting with bright color contrasting and large font to help people with visual impairment;</t>
  </si>
  <si>
    <t>Yes/No about signposting with bright color contrasting and large font to help people with visual impairment at concourse level.</t>
  </si>
  <si>
    <t>Yes/No about signposting with bright color contrasting and large font to help people with visual impairment at platform level.</t>
  </si>
  <si>
    <t xml:space="preserve">Safe and easily accessible drop-off and pick-up points; </t>
  </si>
  <si>
    <t>FC216</t>
  </si>
  <si>
    <t>Yes/No about safe and easily accessible drop-off and pick-up points.</t>
  </si>
  <si>
    <t>Safe and step free pedestrian crossings and sidewalks surrounding the stations;</t>
  </si>
  <si>
    <t>FC217</t>
  </si>
  <si>
    <t>Yes/No about safe and step free pedestrian crossings and sidewalks surrounding the stations.</t>
  </si>
  <si>
    <t>Positioning ticket machines and wayfinding information at convenient height for a wide variety of users;</t>
  </si>
  <si>
    <t>Yes/No about positioning ticket machines at convenient height for a wide variety of users.</t>
  </si>
  <si>
    <t>Yes/No about positioning  wayfinding information at convenient height for a wide variety of users at concourse level.</t>
  </si>
  <si>
    <t>Yes/No about positioning  wayfinding information at convenient height for a wide variety of users at platform level.</t>
  </si>
  <si>
    <t>Fare gates to accommodate a wide variety of users;</t>
  </si>
  <si>
    <t>FC219</t>
  </si>
  <si>
    <t>Yes/No about fare gates to accommodate a wide variety of users.</t>
  </si>
  <si>
    <t>Appropriate height steps or step-free access to trains;</t>
  </si>
  <si>
    <t>FC2110</t>
  </si>
  <si>
    <t>Yes/No about appropriate height steps or step-free access to trains.</t>
  </si>
  <si>
    <t>Handles suited at convenient height for all users including women, children and disabled people or vertical grab bars;</t>
  </si>
  <si>
    <t>FC2111</t>
  </si>
  <si>
    <t>Yes/No about handles suited at convenient height for all users including women, children and disabled people or vertical grab bars.</t>
  </si>
  <si>
    <t>Adequate lighting in the stations and the surrounding area of stations.</t>
  </si>
  <si>
    <r>
      <t>There is adequate lighting in the station and the area around the station. </t>
    </r>
    <r>
      <rPr>
        <sz val="11"/>
        <color theme="1"/>
        <rFont val="Calibri"/>
        <family val="2"/>
        <scheme val="minor"/>
      </rPr>
      <t> </t>
    </r>
  </si>
  <si>
    <t>Level of adequate lighting (1-4) in the stations and the surrounding area of stations (AM, natural lighting)​ at surrounding area.</t>
  </si>
  <si>
    <t>Level of adequate lighting (1-4) in the stations and the surrounding area of stations (AM, natural lighting)​ at concourse level.</t>
  </si>
  <si>
    <t>Level of adequate lighting (1-4) in the stations and the surrounding area of stations (AM, natural lighting)​ at platform level.</t>
  </si>
  <si>
    <t>Level of adequate lighting (1-4) in the stations and the surrounding area of stations (PM, artificial lighting)​at surrounding area.</t>
  </si>
  <si>
    <t>Level of adequate lighting (1-4) in the stations and the surrounding area of stations (PM, artificial lighting)​at concourse level.</t>
  </si>
  <si>
    <t>Level of adequate lighting (1-4) in the stations and the surrounding area of stations (PM, artificial lighting)​ at platform level.</t>
  </si>
  <si>
    <t>CLEANLINESS AND MAINTENANCE</t>
  </si>
  <si>
    <t>Clean and hygienic environment especially for handholds and toilets;</t>
  </si>
  <si>
    <t>The cleanliness and maintenance of the environment (station and the train) are adequate. </t>
  </si>
  <si>
    <t>Yes/No about clean and hygienic environment especially for handholds and toilets at the concourse level.</t>
  </si>
  <si>
    <t>Yes/No about clean and hygienic environment especially for handholds and toilets at the platform level.</t>
  </si>
  <si>
    <t>Yes/No about clean and hygienic environment especially for handholds and toilets at the carriage.</t>
  </si>
  <si>
    <t xml:space="preserve">Waste recycling baskets; </t>
  </si>
  <si>
    <t>Yes/No about waste baskets at the concourse level.</t>
  </si>
  <si>
    <t>Yes/No about waste baskets at the platform level.</t>
  </si>
  <si>
    <t>Yes/No about waste recycling baskets at the concourse level.</t>
  </si>
  <si>
    <t>Yes/No about waste recycling baskets at the platform level.</t>
  </si>
  <si>
    <t xml:space="preserve">Maintenance of deterioration, graffiti and vandalism. </t>
  </si>
  <si>
    <t>Yes/No about maintenance of deterioration, graffiti and vandalism at the concourse level.</t>
  </si>
  <si>
    <t>Yes/No about maintenance of deterioration, graffiti and vandalism at the platform level.</t>
  </si>
  <si>
    <t>Yes/No about maintenance of deterioration, graffiti and vandalism at the carriage.</t>
  </si>
  <si>
    <t>FURNITURE AND FACILITIES</t>
  </si>
  <si>
    <t>Separated toilets for women;</t>
  </si>
  <si>
    <t>FC231</t>
  </si>
  <si>
    <t>Yes/No about separated toilets for women.</t>
  </si>
  <si>
    <t>Allocated seats to pregnant women, parents with young children and elderly;</t>
  </si>
  <si>
    <t> Facilities such as seating, backrests and restrooms are adequate and convenient for all genders and abilities </t>
  </si>
  <si>
    <t>Yes/No about allocated seats to pregnant women, parents with young children and elderly.</t>
  </si>
  <si>
    <t xml:space="preserve">Waiting areas with seating arrangements; </t>
  </si>
  <si>
    <t>Yes/No about waiting areas with seating arrangements at the concourse level.</t>
  </si>
  <si>
    <t>Yes/No about waiting areas with seating arrangements at the platform level.</t>
  </si>
  <si>
    <t>Baby changing facilities in both men and women toilets;</t>
  </si>
  <si>
    <t>FC234</t>
  </si>
  <si>
    <t>Yes/No about baby changing facilities in both men and women toilets.</t>
  </si>
  <si>
    <t xml:space="preserve">Breastfeeding facilities; </t>
  </si>
  <si>
    <t>There are quiet or private facilities available to parents for infant feeding if they wish to avail of them. </t>
  </si>
  <si>
    <t>Yes/No about breastfeeding facilities.</t>
  </si>
  <si>
    <t xml:space="preserve">Vending machines; </t>
  </si>
  <si>
    <t>Yes/No about vending machines at the concourse level.</t>
  </si>
  <si>
    <t>Yes/No about vending machines at the platform level.</t>
  </si>
  <si>
    <t xml:space="preserve">Left luggage and lost property offices; </t>
  </si>
  <si>
    <t>FC237</t>
  </si>
  <si>
    <t>Yes/No about left luggage and lost property offices.</t>
  </si>
  <si>
    <t>Wi-Fi or 3G/4G connection;</t>
  </si>
  <si>
    <t>Yes/No about Wi-Fi or 3G/4G connection at the concourse level.</t>
  </si>
  <si>
    <t>Yes/No about Wi-Fi or 3G/4G connection at the platform level.</t>
  </si>
  <si>
    <t>Yes/No about Wi-Fi or 3G/4G connection at the carriage.</t>
  </si>
  <si>
    <t>Car and moto public parking places;</t>
  </si>
  <si>
    <t>At all times of the day, there are safe and easily accessible parking, drop-off and pick-up points nearby for all private vehicles. </t>
  </si>
  <si>
    <t>Yes/No about car and moto public parking places.</t>
  </si>
  <si>
    <t>Bicycles storage facilities and bicycles racks;</t>
  </si>
  <si>
    <t>FC2310</t>
  </si>
  <si>
    <t>Yes/No about bicycles storage facilities and bicycles racks.</t>
  </si>
  <si>
    <t xml:space="preserve">Weather protected pedestrian routes between transit modes where applicable; </t>
  </si>
  <si>
    <t>FC2311</t>
  </si>
  <si>
    <t>Yes/No about weather protected pedestrian routes between transit modes where applicable.</t>
  </si>
  <si>
    <t>Sheltered waiting areas for buses, taxis, etc.</t>
  </si>
  <si>
    <t>FC2312</t>
  </si>
  <si>
    <t>Yes/No about sheltered waiting areas for buses, taxis, etc.</t>
  </si>
  <si>
    <t>SAFETY AND SECURITY</t>
  </si>
  <si>
    <t>HARASSMENT AND PICKPOCKETING</t>
  </si>
  <si>
    <t>Number and typology of incidents</t>
  </si>
  <si>
    <t>FC311</t>
  </si>
  <si>
    <t>No. of sexual/physical harassment incidents, assault incidents and pickpocketing episodes per station</t>
  </si>
  <si>
    <t>Presence and visibility of CCTV system;</t>
  </si>
  <si>
    <t>No. of CCTV systems.</t>
  </si>
  <si>
    <t>There are enough CCTV systems and other security measures visible to make me feel safe.  </t>
  </si>
  <si>
    <t>Yes/No about presence and visibility of CCTV system at the concourse level.</t>
  </si>
  <si>
    <t>Yes/No about presence and visibility of CCTV system at the platform level.</t>
  </si>
  <si>
    <t>Yes/No about presence and visibility of CCTV system at the carriage.</t>
  </si>
  <si>
    <t>SOS emergency phone;</t>
  </si>
  <si>
    <t>No. of SOS emergency phones.</t>
  </si>
  <si>
    <t>I am confident that I would be able to evacuate the station/train in an emergency situation (with help if necessary). </t>
  </si>
  <si>
    <t>Yes/No about presence and visibility of SOS emergency phones at the concourse level.</t>
  </si>
  <si>
    <t>Yes/No about presence and visibility of SOS emergency phones at the platform level.</t>
  </si>
  <si>
    <t>Yes/No about presence and visibility of SOS emergency phones at the carriage.</t>
  </si>
  <si>
    <t>Presence of police and security personnel including women police to be a deterrent for perpetrators;</t>
  </si>
  <si>
    <t xml:space="preserve">No. of security personnel </t>
  </si>
  <si>
    <t>Within the station I feel that my belongings and I are safe at any time of the day. </t>
  </si>
  <si>
    <t>Yes/No about presence of police and security personnel at the surronding area (400 m)</t>
  </si>
  <si>
    <t>Yes/No about presence of police and security personnel at the concourse level</t>
  </si>
  <si>
    <t>Yes/No about presence of police and security personnel at the platform level</t>
  </si>
  <si>
    <t>Yes/No about presence of police and security personnel at the carriage</t>
  </si>
  <si>
    <t>Visibility of the surrounding area of the station;</t>
  </si>
  <si>
    <t>When arriving at or leaving the station I feel safe at any time of the day. </t>
  </si>
  <si>
    <t>Level of visibility (1-4) of the surrounding area of the station (400 m) (AM, natural lighting)​.</t>
  </si>
  <si>
    <t>Level of visibility (1-4) of the surrounding area of the station (400 m) (PM, artificial lighting)​.</t>
  </si>
  <si>
    <t>Complaint information point in case of violations to personal safety;</t>
  </si>
  <si>
    <t> If needed, I am satisfied that I could get help or make a complaint straight away (e.g. security staff, emergency phone number). </t>
  </si>
  <si>
    <t>Yes/No about complaint information point in case of violations to personal safety.</t>
  </si>
  <si>
    <t>Availability of hospitality rooms where to ask for help in case of aggression or need;</t>
  </si>
  <si>
    <t>FC317</t>
  </si>
  <si>
    <t>Yes/No about availability of hospitality rooms where to ask for help in case of aggression or need.</t>
  </si>
  <si>
    <t>Display advertisements for public awareness campaigns and for publicizing helpline numbers.</t>
  </si>
  <si>
    <t>FC318</t>
  </si>
  <si>
    <t>Yes/No about display advertisements for public awareness campaigns and for publicizing helpline numbers.</t>
  </si>
  <si>
    <t>OVERCROWDING AND EMERGENCY SITUATIONS</t>
  </si>
  <si>
    <t>Offering adequate personal space;</t>
  </si>
  <si>
    <t>FC321</t>
  </si>
  <si>
    <t>I feel comfortable with the personal space available to me at stations and in carriages. </t>
  </si>
  <si>
    <t>Improved ventilation and air-conditioning;</t>
  </si>
  <si>
    <t>I feel comfortable with the air-conditioning (temperature, ventilation, humidity) at stations and in carriages. </t>
  </si>
  <si>
    <t>Yes/No about ventilation and air-conditioning.</t>
  </si>
  <si>
    <t>Improved layout of seating (longitudinal seating included less social interaction compared to transverse seating).</t>
  </si>
  <si>
    <t>FC323</t>
  </si>
  <si>
    <t xml:space="preserve">Yes/No about layout of seating </t>
  </si>
  <si>
    <t>Level of public transport during the COVID-19 pandemia</t>
  </si>
  <si>
    <t>FC324</t>
  </si>
  <si>
    <t>Level of satisfaction with the level of public transport (1-7)</t>
  </si>
  <si>
    <t xml:space="preserve">Safety protocols to prevent/inhabit cross contamination during the COVID 19 pandemic among public transport users </t>
  </si>
  <si>
    <t>FC325</t>
  </si>
  <si>
    <t>Level of effectivenes of the current safety protocols to prevent/inhabit cross contamination during the COVID 19 pandemic among public transport users (1-7)</t>
  </si>
  <si>
    <t xml:space="preserve"> Laws regarding wearing mask and the use hand sanitizer on public transport for all user</t>
  </si>
  <si>
    <t>FC326</t>
  </si>
  <si>
    <t>Level of importance of the laws that require wearing mask and the use hand sanitizer on public transport for all user (1-7)</t>
  </si>
  <si>
    <t xml:space="preserve"> Public transport service performance during the COVID-19 pandemia</t>
  </si>
  <si>
    <t>FC327</t>
  </si>
  <si>
    <t>Level of perception of the public transport service performance during the pandemic (1-7)</t>
  </si>
  <si>
    <t>Exposition of bus drivers, train drivers and their current work situation to the COVID-19 infection considering the preventative measures taken</t>
  </si>
  <si>
    <t>FC328</t>
  </si>
  <si>
    <t>Level of exposition do you consider bus drivers, train drivers and their current work situation are to covid-19 infection considering the preventative measures that are being taken (1-7)</t>
  </si>
  <si>
    <t>Perception of the personal exposition while using the public transport (1-7)</t>
  </si>
  <si>
    <t>FC329</t>
  </si>
  <si>
    <t>Level of exposition you consider yourself to be to the risk of covid-19 infection while using the public transport (1-7)</t>
  </si>
  <si>
    <t>Weight(AHP)</t>
  </si>
  <si>
    <t>Weight_BN_</t>
  </si>
  <si>
    <t>FinalWeight</t>
  </si>
  <si>
    <t>Code for BN</t>
  </si>
  <si>
    <t>Number of passengers per month (data from the last 12 months)</t>
  </si>
  <si>
    <t>There is adequate lighting in the station and the area around the station.  </t>
  </si>
  <si>
    <t>Yes/No about layout of seating</t>
  </si>
  <si>
    <t>Structured data regarding subscription or monthly payment options.</t>
  </si>
  <si>
    <t>No. of security personnel</t>
  </si>
  <si>
    <t>Structured data regarding flexible fare options for family trips</t>
  </si>
  <si>
    <t>Structured data regarding flexible fare options for group trips</t>
  </si>
  <si>
    <t>Structured data regarding pay-per-use options.</t>
  </si>
  <si>
    <t>Yes/No about info points, enquiry desks, help desks and security desks</t>
  </si>
  <si>
    <t>Structured data regarding flexible fare options for multiple and intermodal trips</t>
  </si>
  <si>
    <t>Norm. Weight</t>
  </si>
  <si>
    <t>FC112b</t>
  </si>
  <si>
    <t>FC112a</t>
  </si>
  <si>
    <t>FC113b</t>
  </si>
  <si>
    <t>FC113c</t>
  </si>
  <si>
    <t>FC113a</t>
  </si>
  <si>
    <t>FC115a</t>
  </si>
  <si>
    <t>FC115b</t>
  </si>
  <si>
    <t>FC121a</t>
  </si>
  <si>
    <t>FC121b</t>
  </si>
  <si>
    <t>FC121d</t>
  </si>
  <si>
    <t>FC121e</t>
  </si>
  <si>
    <t>FC121f</t>
  </si>
  <si>
    <t>FC121g</t>
  </si>
  <si>
    <t>FC121h</t>
  </si>
  <si>
    <t>FC121i</t>
  </si>
  <si>
    <t>FC121j</t>
  </si>
  <si>
    <t>FC121k</t>
  </si>
  <si>
    <t>FC121l</t>
  </si>
  <si>
    <t>FC121m</t>
  </si>
  <si>
    <t>FC121n</t>
  </si>
  <si>
    <t>FC122a</t>
  </si>
  <si>
    <t>FC122b</t>
  </si>
  <si>
    <t>FC122c</t>
  </si>
  <si>
    <t>FC122d</t>
  </si>
  <si>
    <t>FC124a</t>
  </si>
  <si>
    <t>FC124b</t>
  </si>
  <si>
    <t>FC124c</t>
  </si>
  <si>
    <t>FC133a</t>
  </si>
  <si>
    <t>FC133b</t>
  </si>
  <si>
    <t>FC133c</t>
  </si>
  <si>
    <t>FC133d</t>
  </si>
  <si>
    <t>FC136b</t>
  </si>
  <si>
    <t>FC136a</t>
  </si>
  <si>
    <t>FC137b</t>
  </si>
  <si>
    <t>FC137c</t>
  </si>
  <si>
    <t>FC137d</t>
  </si>
  <si>
    <t>FC137e</t>
  </si>
  <si>
    <t>FC137f</t>
  </si>
  <si>
    <t>FC137a</t>
  </si>
  <si>
    <t>FC211a</t>
  </si>
  <si>
    <t>FC211b</t>
  </si>
  <si>
    <t>FC211c</t>
  </si>
  <si>
    <t>FC212a</t>
  </si>
  <si>
    <t>FC212b</t>
  </si>
  <si>
    <t>FC214a</t>
  </si>
  <si>
    <t>FC214b</t>
  </si>
  <si>
    <t>FC215a</t>
  </si>
  <si>
    <t>FC215b</t>
  </si>
  <si>
    <t>FC218a</t>
  </si>
  <si>
    <t>FC218b</t>
  </si>
  <si>
    <t>FC218c</t>
  </si>
  <si>
    <t>FC2112a</t>
  </si>
  <si>
    <t>FC2112b</t>
  </si>
  <si>
    <t>FC2112c</t>
  </si>
  <si>
    <t>FC2112d</t>
  </si>
  <si>
    <t>FC2112e</t>
  </si>
  <si>
    <t>FC2112f</t>
  </si>
  <si>
    <t>FC2112g</t>
  </si>
  <si>
    <t>FC221a</t>
  </si>
  <si>
    <t>FC221b</t>
  </si>
  <si>
    <t>FC221c</t>
  </si>
  <si>
    <t>FC221d</t>
  </si>
  <si>
    <t>FC222a</t>
  </si>
  <si>
    <t>FC222b</t>
  </si>
  <si>
    <t>FC222c</t>
  </si>
  <si>
    <t>FC222d</t>
  </si>
  <si>
    <t>FC223a</t>
  </si>
  <si>
    <t>FC223b</t>
  </si>
  <si>
    <t>FC223c</t>
  </si>
  <si>
    <t>FC232a</t>
  </si>
  <si>
    <t>FC232b</t>
  </si>
  <si>
    <t>FC233a</t>
  </si>
  <si>
    <t>FC233b</t>
  </si>
  <si>
    <t>FC235a</t>
  </si>
  <si>
    <t>FC235b</t>
  </si>
  <si>
    <t>FC236a</t>
  </si>
  <si>
    <t>FC236b</t>
  </si>
  <si>
    <t>FC238a</t>
  </si>
  <si>
    <t>FC238b</t>
  </si>
  <si>
    <t>FC238c</t>
  </si>
  <si>
    <t>FC239a</t>
  </si>
  <si>
    <t>FC239b</t>
  </si>
  <si>
    <t>FC312e</t>
  </si>
  <si>
    <t>FC312a</t>
  </si>
  <si>
    <t>FC312b</t>
  </si>
  <si>
    <t>FC312c</t>
  </si>
  <si>
    <t>FC312d</t>
  </si>
  <si>
    <t>FC313e</t>
  </si>
  <si>
    <t>FC313a</t>
  </si>
  <si>
    <t>FC313b</t>
  </si>
  <si>
    <t>FC313c</t>
  </si>
  <si>
    <t>FC313d</t>
  </si>
  <si>
    <t>FC314f</t>
  </si>
  <si>
    <t>FC314a</t>
  </si>
  <si>
    <t>FC314b</t>
  </si>
  <si>
    <t>FC314c</t>
  </si>
  <si>
    <t>FC314d</t>
  </si>
  <si>
    <t>FC314e</t>
  </si>
  <si>
    <t>FC315a</t>
  </si>
  <si>
    <t>FC315b</t>
  </si>
  <si>
    <t>FC316a</t>
  </si>
  <si>
    <t>FC316b</t>
  </si>
  <si>
    <t>FC322a</t>
  </si>
  <si>
    <t>FC322b</t>
  </si>
  <si>
    <t>FC114a</t>
  </si>
  <si>
    <t>Code_BN</t>
  </si>
  <si>
    <t>Variables Level 3</t>
  </si>
  <si>
    <t xml:space="preserve">FC323  </t>
  </si>
  <si>
    <t xml:space="preserve">A1     </t>
  </si>
  <si>
    <t xml:space="preserve">FC117  </t>
  </si>
  <si>
    <t xml:space="preserve">FC118  </t>
  </si>
  <si>
    <t xml:space="preserve">FC317  </t>
  </si>
  <si>
    <t>FC112</t>
  </si>
  <si>
    <t xml:space="preserve">FC321  </t>
  </si>
  <si>
    <t>FC315</t>
  </si>
  <si>
    <t>FC314</t>
  </si>
  <si>
    <t xml:space="preserve">FC318  </t>
  </si>
  <si>
    <t xml:space="preserve">FC311  </t>
  </si>
  <si>
    <t>FC316</t>
  </si>
  <si>
    <t>FC113</t>
  </si>
  <si>
    <t>FC322</t>
  </si>
  <si>
    <t>FC312</t>
  </si>
  <si>
    <t xml:space="preserve">FC116  </t>
  </si>
  <si>
    <t>FC313</t>
  </si>
  <si>
    <t>FC215</t>
  </si>
  <si>
    <t xml:space="preserve">FC2110 </t>
  </si>
  <si>
    <t xml:space="preserve">FC114  </t>
  </si>
  <si>
    <t xml:space="preserve">FC213  </t>
  </si>
  <si>
    <t xml:space="preserve">FC135  </t>
  </si>
  <si>
    <t xml:space="preserve">FC219  </t>
  </si>
  <si>
    <t>Ramps and escalator with enough room to carry shopping bags, baby strollers, luggage and wheelchair to access the station and transfer within the stations;</t>
  </si>
  <si>
    <t>FC212</t>
  </si>
  <si>
    <t>FC136</t>
  </si>
  <si>
    <t>FC218</t>
  </si>
  <si>
    <t>FC115</t>
  </si>
  <si>
    <t>FC214</t>
  </si>
  <si>
    <t>FC137</t>
  </si>
  <si>
    <t xml:space="preserve">FC217  </t>
  </si>
  <si>
    <t>FC133</t>
  </si>
  <si>
    <t xml:space="preserve">FC132  </t>
  </si>
  <si>
    <t xml:space="preserve">FC2111 </t>
  </si>
  <si>
    <t>Safe and easily accessible drop-off and pick-up points;</t>
  </si>
  <si>
    <t xml:space="preserve">FC216  </t>
  </si>
  <si>
    <t>FC211</t>
  </si>
  <si>
    <t xml:space="preserve">FC111  </t>
  </si>
  <si>
    <t xml:space="preserve">FC131  </t>
  </si>
  <si>
    <t xml:space="preserve">FC123  </t>
  </si>
  <si>
    <t xml:space="preserve">FC141  </t>
  </si>
  <si>
    <t>FC124</t>
  </si>
  <si>
    <t>FC121</t>
  </si>
  <si>
    <t>Weather protected pedestrian routes between transit modes where applicable;</t>
  </si>
  <si>
    <t xml:space="preserve">FC2311 </t>
  </si>
  <si>
    <t xml:space="preserve">FC234  </t>
  </si>
  <si>
    <t>Waste recycling baskets;</t>
  </si>
  <si>
    <t>FC222</t>
  </si>
  <si>
    <t>Maintenance of deterioration, graffiti and vandalism.</t>
  </si>
  <si>
    <t>FC223</t>
  </si>
  <si>
    <t>Left luggage and lost property offices;</t>
  </si>
  <si>
    <t xml:space="preserve">FC237  </t>
  </si>
  <si>
    <t xml:space="preserve">FC134  </t>
  </si>
  <si>
    <t xml:space="preserve">FC126  </t>
  </si>
  <si>
    <t>FC221</t>
  </si>
  <si>
    <t>FC238</t>
  </si>
  <si>
    <t xml:space="preserve">FC2312 </t>
  </si>
  <si>
    <t>Waiting areas with seating arrangements;</t>
  </si>
  <si>
    <t>FC233</t>
  </si>
  <si>
    <t xml:space="preserve">FC231  </t>
  </si>
  <si>
    <t xml:space="preserve">FC2310 </t>
  </si>
  <si>
    <t>FC239</t>
  </si>
  <si>
    <t>FC122</t>
  </si>
  <si>
    <t xml:space="preserve">FC142  </t>
  </si>
  <si>
    <t>Vending machines;</t>
  </si>
  <si>
    <t>FC236</t>
  </si>
  <si>
    <t>FC232</t>
  </si>
  <si>
    <t>Breastfeeding facilities;</t>
  </si>
  <si>
    <t>FC235</t>
  </si>
  <si>
    <t xml:space="preserve">FC125  </t>
  </si>
  <si>
    <t xml:space="preserve">FC324  </t>
  </si>
  <si>
    <t>Safety protocols to prevent/inhabit cross contamination during the COVID 19 pandemic among public transport users</t>
  </si>
  <si>
    <t xml:space="preserve">FC325  </t>
  </si>
  <si>
    <t>Laws regarding wearing mask and the use hand sanitizer on public transport for all user</t>
  </si>
  <si>
    <t xml:space="preserve">FC326  </t>
  </si>
  <si>
    <t>Public transport service performance during the COVID-19 pandemia</t>
  </si>
  <si>
    <t xml:space="preserve">FC327  </t>
  </si>
  <si>
    <t xml:space="preserve">FC328  </t>
  </si>
  <si>
    <t xml:space="preserve">FC329  </t>
  </si>
  <si>
    <t>FC2112</t>
  </si>
  <si>
    <t>FC315c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</si>
</sst>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0\ &quot;€&quot;;[Red]\-#,##0\ &quot;€&quot;"/>
    <numFmt numFmtId="164" formatCode="0.000"/>
    <numFmt numFmtId="165" formatCode="0.000000"/>
    <numFmt numFmtId="166" formatCode="0.00000"/>
    <numFmt numFmtId="167" formatCode="0.0000"/>
  </numFmts>
  <fonts count="26" x14ac:knownFonts="1">
    <font>
      <sz val="11"/>
      <color theme="1"/>
      <name val="Calibri"/>
      <family val="2"/>
      <scheme val="minor"/>
    </font>
    <font>
      <sz val="11"/>
      <name val="Arial"/>
      <family val="2"/>
    </font>
    <font>
      <b/>
      <sz val="11"/>
      <color rgb="FFFF0000"/>
      <name val="Calibri"/>
      <family val="2"/>
      <scheme val="minor"/>
    </font>
    <font>
      <b/>
      <sz val="12"/>
      <color theme="1"/>
      <name val="Times New Roman"/>
      <family val="1"/>
    </font>
    <font>
      <sz val="12"/>
      <color theme="1"/>
      <name val="Times New Roman"/>
      <family val="1"/>
    </font>
    <font>
      <b/>
      <sz val="11"/>
      <color theme="1"/>
      <name val="Calibri"/>
      <family val="2"/>
      <scheme val="minor"/>
    </font>
    <font>
      <b/>
      <sz val="10"/>
      <color rgb="FFFFFFFF"/>
      <name val="Gill Sans MT"/>
      <family val="2"/>
    </font>
    <font>
      <sz val="10"/>
      <color rgb="FF414141"/>
      <name val="Gill Sans MT"/>
      <family val="2"/>
    </font>
    <font>
      <sz val="10"/>
      <color rgb="FF414141"/>
      <name val="Calibri"/>
      <family val="2"/>
    </font>
    <font>
      <b/>
      <sz val="10"/>
      <color rgb="FF414141"/>
      <name val="Gill Sans MT"/>
      <family val="2"/>
    </font>
    <font>
      <sz val="10"/>
      <color rgb="FF414141"/>
      <name val="Symbol"/>
      <family val="1"/>
      <charset val="2"/>
    </font>
    <font>
      <sz val="7"/>
      <color rgb="FF414141"/>
      <name val="Times New Roman"/>
      <family val="1"/>
    </font>
    <font>
      <vertAlign val="superscript"/>
      <sz val="10"/>
      <color rgb="FF414141"/>
      <name val="Gill Sans MT"/>
      <family val="2"/>
    </font>
    <font>
      <b/>
      <sz val="11"/>
      <color theme="5" tint="-0.49995422223578601"/>
      <name val="Calibri"/>
      <family val="2"/>
      <scheme val="minor"/>
    </font>
    <font>
      <sz val="11"/>
      <color rgb="FF000000"/>
      <name val="Calibri"/>
      <family val="2"/>
    </font>
    <font>
      <sz val="11"/>
      <color theme="1"/>
      <name val="Calibri"/>
      <family val="2"/>
    </font>
    <font>
      <sz val="11"/>
      <color theme="1"/>
      <name val="Symbol"/>
      <family val="1"/>
      <charset val="2"/>
    </font>
    <font>
      <b/>
      <sz val="12"/>
      <color theme="1"/>
      <name val="Palatino Linotype"/>
      <family val="1"/>
    </font>
    <font>
      <sz val="12"/>
      <color theme="1"/>
      <name val="Palatino Linotype"/>
      <family val="1"/>
    </font>
    <font>
      <sz val="12"/>
      <color theme="1"/>
      <name val="Calibri"/>
      <family val="2"/>
      <scheme val="minor"/>
    </font>
    <font>
      <sz val="12"/>
      <color theme="1"/>
      <name val="Calibri"/>
      <family val="2"/>
    </font>
    <font>
      <sz val="11"/>
      <color rgb="FF000000"/>
      <name val="Calibri"/>
      <family val="2"/>
      <scheme val="minor"/>
    </font>
    <font>
      <sz val="11"/>
      <color rgb="FFFF0000"/>
      <name val="Calibri"/>
      <family val="2"/>
      <scheme val="minor"/>
    </font>
    <font>
      <b/>
      <sz val="11"/>
      <color rgb="FF00B050"/>
      <name val="Calibri"/>
      <family val="2"/>
      <scheme val="minor"/>
    </font>
    <font>
      <b/>
      <sz val="11"/>
      <color rgb="FFFF00FF"/>
      <name val="Calibri"/>
      <family val="2"/>
      <scheme val="minor"/>
    </font>
    <font>
      <b/>
      <sz val="11"/>
      <color rgb="FF0070C0"/>
      <name val="Calibri"/>
      <family val="2"/>
      <scheme val="minor"/>
    </font>
  </fonts>
  <fills count="2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theme="4" tint="-0.24994659260841701"/>
        <bgColor indexed="64"/>
      </patternFill>
    </fill>
    <fill>
      <patternFill patternType="solid">
        <fgColor rgb="FF309CAE"/>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4" tint="0.79995117038483843"/>
        <bgColor indexed="64"/>
      </patternFill>
    </fill>
    <fill>
      <patternFill patternType="solid">
        <fgColor theme="5" tint="0.79995117038483843"/>
        <bgColor indexed="64"/>
      </patternFill>
    </fill>
    <fill>
      <patternFill patternType="solid">
        <fgColor rgb="FFFF00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9" tint="0.599963377788628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6"/>
        <bgColor indexed="64"/>
      </patternFill>
    </fill>
    <fill>
      <patternFill patternType="solid">
        <fgColor theme="6" tint="0.39997558519241921"/>
        <bgColor indexed="64"/>
      </patternFill>
    </fill>
    <fill>
      <patternFill patternType="solid">
        <fgColor theme="6" tint="0.79998168889431442"/>
        <bgColor rgb="FF000000"/>
      </patternFill>
    </fill>
    <fill>
      <patternFill patternType="solid">
        <fgColor theme="7" tint="0.79998168889431442"/>
        <bgColor indexed="64"/>
      </patternFill>
    </fill>
    <fill>
      <patternFill patternType="solid">
        <fgColor theme="7" tint="0.79998168889431442"/>
        <bgColor rgb="FF000000"/>
      </patternFill>
    </fill>
    <fill>
      <patternFill patternType="solid">
        <fgColor theme="6" tint="0.79998168889431442"/>
        <bgColor indexed="64"/>
      </patternFill>
    </fill>
    <fill>
      <patternFill patternType="solid">
        <fgColor theme="5" tint="0.59999389629810485"/>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bottom style="medium">
        <color indexed="64"/>
      </bottom>
      <diagonal/>
    </border>
    <border>
      <left style="thin">
        <color indexed="64"/>
      </left>
      <right/>
      <top/>
      <bottom/>
      <diagonal/>
    </border>
    <border>
      <left style="medium">
        <color rgb="FF309CAE"/>
      </left>
      <right/>
      <top style="medium">
        <color rgb="FF309CAE"/>
      </top>
      <bottom/>
      <diagonal/>
    </border>
    <border>
      <left/>
      <right/>
      <top style="medium">
        <color rgb="FF309CAE"/>
      </top>
      <bottom/>
      <diagonal/>
    </border>
    <border>
      <left/>
      <right style="medium">
        <color rgb="FF309CAE"/>
      </right>
      <top style="medium">
        <color rgb="FF309CAE"/>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style="thin">
        <color theme="8" tint="-0.24994659260841701"/>
      </left>
      <right/>
      <top style="thin">
        <color theme="8" tint="-0.24994659260841701"/>
      </top>
      <bottom style="thin">
        <color theme="8" tint="-0.24994659260841701"/>
      </bottom>
      <diagonal/>
    </border>
    <border>
      <left style="thin">
        <color theme="8" tint="-0.24994659260841701"/>
      </left>
      <right/>
      <top/>
      <bottom/>
      <diagonal/>
    </border>
    <border>
      <left/>
      <right/>
      <top style="thin">
        <color indexed="64"/>
      </top>
      <bottom style="thin">
        <color indexed="64"/>
      </bottom>
      <diagonal/>
    </border>
    <border>
      <left/>
      <right/>
      <top/>
      <bottom/>
      <diagonal/>
    </border>
  </borders>
  <cellStyleXfs count="2">
    <xf numFmtId="0" fontId="0" fillId="0" borderId="0"/>
    <xf numFmtId="0" fontId="1" fillId="0" borderId="0"/>
  </cellStyleXfs>
  <cellXfs count="203">
    <xf numFmtId="0" fontId="0" fillId="0" borderId="0" xfId="0"/>
    <xf numFmtId="0" fontId="0" fillId="0" borderId="0" xfId="0" applyAlignment="1">
      <alignment horizontal="center" vertical="center"/>
    </xf>
    <xf numFmtId="1" fontId="2" fillId="2" borderId="1" xfId="0" applyNumberFormat="1" applyFont="1" applyFill="1" applyBorder="1" applyAlignment="1">
      <alignment horizontal="center" vertical="center"/>
    </xf>
    <xf numFmtId="0" fontId="0" fillId="3" borderId="1" xfId="0" applyFill="1" applyBorder="1" applyAlignment="1">
      <alignment horizontal="center" vertical="center"/>
    </xf>
    <xf numFmtId="0" fontId="0" fillId="0" borderId="1" xfId="0" applyBorder="1" applyAlignment="1">
      <alignment horizontal="center" vertical="center"/>
    </xf>
    <xf numFmtId="12" fontId="0" fillId="3" borderId="1" xfId="0" applyNumberFormat="1" applyFill="1" applyBorder="1" applyAlignment="1">
      <alignment horizontal="center" vertical="center"/>
    </xf>
    <xf numFmtId="12" fontId="0" fillId="3" borderId="2" xfId="0" applyNumberFormat="1" applyFill="1" applyBorder="1" applyAlignment="1">
      <alignment horizontal="center" vertical="center"/>
    </xf>
    <xf numFmtId="0" fontId="0" fillId="0" borderId="2" xfId="0" applyBorder="1" applyAlignment="1">
      <alignment horizontal="center" vertical="center"/>
    </xf>
    <xf numFmtId="0" fontId="0" fillId="4" borderId="3" xfId="0" applyFill="1" applyBorder="1" applyAlignment="1">
      <alignment horizontal="center" vertical="center"/>
    </xf>
    <xf numFmtId="0" fontId="0" fillId="0" borderId="3" xfId="0" applyBorder="1" applyAlignment="1">
      <alignment horizontal="center" vertical="center"/>
    </xf>
    <xf numFmtId="0" fontId="0" fillId="4" borderId="1" xfId="0" applyFill="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7" xfId="0" applyFont="1" applyFill="1" applyBorder="1" applyAlignment="1">
      <alignment horizontal="center" vertical="center"/>
    </xf>
    <xf numFmtId="0" fontId="3" fillId="0" borderId="7" xfId="0" applyFont="1" applyBorder="1" applyAlignment="1">
      <alignment horizontal="center" vertical="center"/>
    </xf>
    <xf numFmtId="164" fontId="4" fillId="0" borderId="9" xfId="0" applyNumberFormat="1" applyFont="1" applyBorder="1" applyAlignment="1">
      <alignment horizontal="center" vertical="center"/>
    </xf>
    <xf numFmtId="0" fontId="3" fillId="0" borderId="10" xfId="0" applyFont="1" applyBorder="1" applyAlignment="1">
      <alignment horizontal="center" vertical="center"/>
    </xf>
    <xf numFmtId="0" fontId="3" fillId="0" borderId="13" xfId="0" applyFont="1" applyBorder="1" applyAlignment="1">
      <alignment horizontal="center" vertical="center"/>
    </xf>
    <xf numFmtId="1" fontId="3" fillId="0" borderId="2" xfId="0" applyNumberFormat="1" applyFont="1" applyBorder="1" applyAlignment="1">
      <alignment horizontal="center" vertical="center"/>
    </xf>
    <xf numFmtId="164" fontId="4" fillId="0" borderId="14" xfId="0" applyNumberFormat="1" applyFont="1" applyBorder="1" applyAlignment="1">
      <alignment horizontal="center" vertical="center"/>
    </xf>
    <xf numFmtId="165" fontId="0" fillId="0" borderId="1" xfId="0" applyNumberFormat="1" applyBorder="1" applyAlignment="1">
      <alignment horizontal="center" vertical="center"/>
    </xf>
    <xf numFmtId="0" fontId="0" fillId="0" borderId="0" xfId="0" quotePrefix="1"/>
    <xf numFmtId="0" fontId="0" fillId="0" borderId="0" xfId="0" applyAlignment="1">
      <alignment wrapText="1"/>
    </xf>
    <xf numFmtId="22" fontId="0" fillId="0" borderId="0" xfId="0" applyNumberFormat="1"/>
    <xf numFmtId="11" fontId="0" fillId="0" borderId="0" xfId="0" applyNumberFormat="1"/>
    <xf numFmtId="0" fontId="6" fillId="6" borderId="17" xfId="0" applyFont="1" applyFill="1" applyBorder="1" applyAlignment="1">
      <alignment horizontal="center" vertical="center" wrapText="1"/>
    </xf>
    <xf numFmtId="0" fontId="6" fillId="6" borderId="18" xfId="0" applyFont="1" applyFill="1" applyBorder="1" applyAlignment="1">
      <alignment horizontal="center" vertical="center" wrapText="1"/>
    </xf>
    <xf numFmtId="0" fontId="6" fillId="6" borderId="19" xfId="0" applyFont="1" applyFill="1" applyBorder="1" applyAlignment="1">
      <alignment horizontal="center" vertical="center" wrapText="1"/>
    </xf>
    <xf numFmtId="0" fontId="6" fillId="6" borderId="0" xfId="0" applyFont="1" applyFill="1" applyBorder="1" applyAlignment="1">
      <alignment horizontal="center" vertical="center" wrapText="1"/>
    </xf>
    <xf numFmtId="0" fontId="7" fillId="0" borderId="1" xfId="0" applyFont="1" applyBorder="1" applyAlignment="1">
      <alignment horizontal="center" vertical="center" wrapText="1"/>
    </xf>
    <xf numFmtId="0" fontId="7" fillId="0" borderId="21"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1" xfId="0" applyFont="1" applyFill="1" applyBorder="1" applyAlignment="1">
      <alignment horizontal="center" vertical="center" wrapText="1"/>
    </xf>
    <xf numFmtId="0" fontId="0" fillId="0" borderId="1" xfId="0" applyBorder="1" applyAlignment="1">
      <alignment horizontal="center"/>
    </xf>
    <xf numFmtId="0" fontId="7" fillId="0" borderId="22" xfId="0" applyFont="1" applyFill="1" applyBorder="1" applyAlignment="1">
      <alignment horizontal="center" vertical="center" wrapText="1"/>
    </xf>
    <xf numFmtId="0" fontId="0" fillId="0" borderId="1" xfId="0" applyBorder="1"/>
    <xf numFmtId="0" fontId="10" fillId="0" borderId="1" xfId="0" applyFont="1" applyBorder="1" applyAlignment="1">
      <alignment horizontal="center" vertical="center" wrapText="1"/>
    </xf>
    <xf numFmtId="0" fontId="7" fillId="0" borderId="1" xfId="0" applyFont="1" applyFill="1" applyBorder="1" applyAlignment="1">
      <alignment horizontal="left" vertical="center" wrapText="1"/>
    </xf>
    <xf numFmtId="0" fontId="10" fillId="0" borderId="1" xfId="0" applyFont="1" applyFill="1" applyBorder="1" applyAlignment="1">
      <alignment horizontal="left" vertical="center" wrapText="1" indent="2"/>
    </xf>
    <xf numFmtId="0" fontId="7" fillId="0" borderId="1" xfId="0" applyFont="1" applyFill="1" applyBorder="1" applyAlignment="1">
      <alignment horizontal="justify" vertical="center" wrapText="1"/>
    </xf>
    <xf numFmtId="0" fontId="9" fillId="0" borderId="1" xfId="0" applyFont="1" applyBorder="1" applyAlignment="1">
      <alignment horizontal="center" vertical="center" wrapText="1"/>
    </xf>
    <xf numFmtId="6" fontId="7" fillId="0" borderId="1" xfId="0" applyNumberFormat="1" applyFont="1" applyBorder="1" applyAlignment="1">
      <alignment horizontal="center" vertical="center" wrapText="1"/>
    </xf>
    <xf numFmtId="6" fontId="0" fillId="0" borderId="1" xfId="0" applyNumberFormat="1" applyBorder="1" applyAlignment="1">
      <alignment horizontal="center"/>
    </xf>
    <xf numFmtId="0" fontId="13" fillId="7" borderId="0" xfId="0" applyFont="1" applyFill="1" applyBorder="1" applyAlignment="1">
      <alignment horizontal="center" vertical="center"/>
    </xf>
    <xf numFmtId="166" fontId="0" fillId="7" borderId="0" xfId="0" applyNumberFormat="1" applyFill="1" applyBorder="1" applyAlignment="1">
      <alignment horizontal="center" vertical="center"/>
    </xf>
    <xf numFmtId="0" fontId="0" fillId="8" borderId="24" xfId="0" applyFill="1" applyBorder="1" applyAlignment="1">
      <alignment horizontal="center" vertical="center"/>
    </xf>
    <xf numFmtId="0" fontId="0" fillId="9" borderId="24" xfId="0" applyFill="1" applyBorder="1" applyAlignment="1">
      <alignment horizontal="center" vertical="center" wrapText="1"/>
    </xf>
    <xf numFmtId="166" fontId="0" fillId="0" borderId="0" xfId="0" applyNumberFormat="1" applyFill="1" applyBorder="1" applyAlignment="1">
      <alignment horizontal="center" vertical="center"/>
    </xf>
    <xf numFmtId="166" fontId="0" fillId="0" borderId="0" xfId="0" applyNumberFormat="1" applyFill="1" applyBorder="1"/>
    <xf numFmtId="0" fontId="0" fillId="10" borderId="1" xfId="0" applyFill="1" applyBorder="1" applyAlignment="1">
      <alignment horizontal="center" vertical="center"/>
    </xf>
    <xf numFmtId="0" fontId="0" fillId="10" borderId="2" xfId="0" applyFill="1" applyBorder="1" applyAlignment="1">
      <alignment horizontal="center" vertical="center"/>
    </xf>
    <xf numFmtId="0" fontId="0" fillId="10" borderId="3" xfId="0" applyFill="1" applyBorder="1" applyAlignment="1">
      <alignment horizontal="center" vertical="center"/>
    </xf>
    <xf numFmtId="165" fontId="0" fillId="10" borderId="1" xfId="0" applyNumberFormat="1" applyFill="1" applyBorder="1" applyAlignment="1">
      <alignment horizontal="center" vertical="center"/>
    </xf>
    <xf numFmtId="2" fontId="0" fillId="8" borderId="24" xfId="0" applyNumberFormat="1" applyFill="1" applyBorder="1" applyAlignment="1">
      <alignment horizontal="center" vertical="center"/>
    </xf>
    <xf numFmtId="2" fontId="0" fillId="9" borderId="24" xfId="0" applyNumberFormat="1" applyFill="1" applyBorder="1" applyAlignment="1">
      <alignment horizontal="center" vertical="center"/>
    </xf>
    <xf numFmtId="2" fontId="0" fillId="9" borderId="25" xfId="0" applyNumberFormat="1" applyFill="1" applyBorder="1" applyAlignment="1">
      <alignment horizontal="center" vertical="center"/>
    </xf>
    <xf numFmtId="2" fontId="0" fillId="9" borderId="1" xfId="0" applyNumberFormat="1" applyFill="1" applyBorder="1" applyAlignment="1">
      <alignment horizontal="center" vertical="center"/>
    </xf>
    <xf numFmtId="2" fontId="0" fillId="0" borderId="1" xfId="0" applyNumberFormat="1" applyFill="1" applyBorder="1" applyAlignment="1">
      <alignment horizontal="center" vertical="center"/>
    </xf>
    <xf numFmtId="167" fontId="0" fillId="0" borderId="1" xfId="0" applyNumberFormat="1" applyBorder="1"/>
    <xf numFmtId="0" fontId="0" fillId="11" borderId="1" xfId="0" applyFill="1" applyBorder="1" applyAlignment="1">
      <alignment horizontal="center"/>
    </xf>
    <xf numFmtId="0" fontId="0" fillId="12" borderId="1" xfId="0" applyFill="1" applyBorder="1" applyAlignment="1">
      <alignment horizontal="center"/>
    </xf>
    <xf numFmtId="0" fontId="15" fillId="3" borderId="1" xfId="0" applyFont="1" applyFill="1" applyBorder="1" applyAlignment="1">
      <alignment horizontal="center"/>
    </xf>
    <xf numFmtId="0" fontId="0" fillId="13" borderId="0" xfId="0" applyFill="1"/>
    <xf numFmtId="167" fontId="0" fillId="0" borderId="0" xfId="0" applyNumberFormat="1" applyAlignment="1">
      <alignment horizontal="center"/>
    </xf>
    <xf numFmtId="165" fontId="0" fillId="11" borderId="1" xfId="0" applyNumberFormat="1" applyFill="1" applyBorder="1" applyAlignment="1">
      <alignment horizontal="center"/>
    </xf>
    <xf numFmtId="165" fontId="0" fillId="12" borderId="1" xfId="0" applyNumberFormat="1" applyFill="1" applyBorder="1" applyAlignment="1">
      <alignment horizontal="center"/>
    </xf>
    <xf numFmtId="165" fontId="15" fillId="3" borderId="1" xfId="0" applyNumberFormat="1" applyFont="1" applyFill="1" applyBorder="1" applyAlignment="1">
      <alignment horizontal="center"/>
    </xf>
    <xf numFmtId="0" fontId="5" fillId="0" borderId="0" xfId="0" applyFont="1" applyFill="1" applyAlignment="1">
      <alignment horizontal="center"/>
    </xf>
    <xf numFmtId="164" fontId="4" fillId="0" borderId="6" xfId="0" applyNumberFormat="1" applyFont="1" applyBorder="1" applyAlignment="1">
      <alignment horizontal="center" vertical="center"/>
    </xf>
    <xf numFmtId="164" fontId="4" fillId="0" borderId="2" xfId="0" applyNumberFormat="1" applyFont="1" applyBorder="1" applyAlignment="1">
      <alignment horizontal="center" vertical="center"/>
    </xf>
    <xf numFmtId="164" fontId="4" fillId="0" borderId="1" xfId="0" applyNumberFormat="1" applyFont="1" applyBorder="1" applyAlignment="1">
      <alignment horizontal="center" vertical="center"/>
    </xf>
    <xf numFmtId="0" fontId="0" fillId="15" borderId="1" xfId="0" applyFill="1" applyBorder="1" applyAlignment="1">
      <alignment horizontal="center" vertical="center"/>
    </xf>
    <xf numFmtId="0" fontId="0" fillId="14" borderId="1" xfId="0" applyFill="1" applyBorder="1" applyAlignment="1">
      <alignment horizontal="center" vertical="center"/>
    </xf>
    <xf numFmtId="164" fontId="0" fillId="0" borderId="1" xfId="0" applyNumberFormat="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1" fontId="0" fillId="0" borderId="1" xfId="0" applyNumberFormat="1" applyBorder="1" applyAlignment="1">
      <alignment horizontal="center" vertical="center"/>
    </xf>
    <xf numFmtId="166" fontId="0" fillId="14" borderId="1" xfId="0" applyNumberFormat="1" applyFill="1" applyBorder="1" applyAlignment="1">
      <alignment horizontal="center" vertical="center"/>
    </xf>
    <xf numFmtId="164" fontId="0" fillId="0" borderId="1" xfId="0" applyNumberFormat="1" applyFill="1" applyBorder="1" applyAlignment="1">
      <alignment horizontal="center" vertical="center"/>
    </xf>
    <xf numFmtId="166" fontId="0" fillId="0" borderId="1" xfId="0" applyNumberFormat="1" applyFill="1" applyBorder="1" applyAlignment="1">
      <alignment horizontal="center" vertical="center"/>
    </xf>
    <xf numFmtId="166" fontId="0" fillId="16" borderId="1" xfId="0" applyNumberFormat="1" applyFill="1" applyBorder="1" applyAlignment="1">
      <alignment horizontal="center" vertical="center"/>
    </xf>
    <xf numFmtId="1" fontId="0" fillId="0" borderId="1" xfId="0" applyNumberFormat="1" applyFill="1" applyBorder="1" applyAlignment="1">
      <alignment horizontal="center" vertical="center"/>
    </xf>
    <xf numFmtId="166" fontId="0" fillId="17" borderId="1" xfId="0" applyNumberFormat="1" applyFill="1" applyBorder="1" applyAlignment="1">
      <alignment horizontal="center" vertical="center"/>
    </xf>
    <xf numFmtId="0" fontId="3" fillId="5" borderId="4" xfId="0" applyFont="1" applyFill="1" applyBorder="1" applyAlignment="1">
      <alignment horizontal="center" vertical="center"/>
    </xf>
    <xf numFmtId="0" fontId="3" fillId="0" borderId="6" xfId="0" applyFont="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164" fontId="4" fillId="0" borderId="1" xfId="0" applyNumberFormat="1" applyFont="1" applyBorder="1" applyAlignment="1">
      <alignment horizontal="center" vertical="center"/>
    </xf>
    <xf numFmtId="0" fontId="0" fillId="7" borderId="1" xfId="0" applyFill="1" applyBorder="1" applyAlignment="1">
      <alignment vertical="center"/>
    </xf>
    <xf numFmtId="0" fontId="4" fillId="0" borderId="1" xfId="0" applyFont="1" applyBorder="1" applyAlignment="1">
      <alignment vertical="center"/>
    </xf>
    <xf numFmtId="0" fontId="3" fillId="5" borderId="5" xfId="0" applyFont="1" applyFill="1" applyBorder="1" applyAlignment="1">
      <alignment vertical="center"/>
    </xf>
    <xf numFmtId="0" fontId="4" fillId="0" borderId="6" xfId="0" applyFont="1" applyBorder="1" applyAlignment="1">
      <alignment vertical="center"/>
    </xf>
    <xf numFmtId="0" fontId="4" fillId="0" borderId="2" xfId="0" applyFont="1" applyBorder="1" applyAlignment="1">
      <alignment vertical="center"/>
    </xf>
    <xf numFmtId="0" fontId="0" fillId="0" borderId="26" xfId="0" applyFill="1" applyBorder="1" applyAlignment="1">
      <alignment vertical="center" wrapText="1"/>
    </xf>
    <xf numFmtId="0" fontId="0" fillId="0" borderId="0" xfId="0" applyFill="1" applyBorder="1" applyAlignment="1">
      <alignment vertical="center" wrapText="1"/>
    </xf>
    <xf numFmtId="2" fontId="0" fillId="0" borderId="0" xfId="0" applyNumberFormat="1" applyFill="1" applyAlignment="1">
      <alignment vertical="center"/>
    </xf>
    <xf numFmtId="0" fontId="15" fillId="0" borderId="16" xfId="0" applyFont="1" applyFill="1" applyBorder="1" applyAlignment="1">
      <alignment vertical="center"/>
    </xf>
    <xf numFmtId="0" fontId="15" fillId="0" borderId="0" xfId="0" applyFont="1" applyFill="1" applyBorder="1" applyAlignment="1">
      <alignment vertical="center"/>
    </xf>
    <xf numFmtId="167" fontId="0" fillId="0" borderId="0" xfId="0" applyNumberFormat="1" applyFill="1" applyAlignment="1">
      <alignment vertical="center"/>
    </xf>
    <xf numFmtId="0" fontId="0" fillId="0" borderId="0" xfId="0" applyFill="1" applyBorder="1"/>
    <xf numFmtId="0" fontId="3" fillId="0" borderId="0" xfId="0" applyFont="1" applyFill="1" applyBorder="1" applyAlignment="1">
      <alignment horizontal="center" vertical="center"/>
    </xf>
    <xf numFmtId="0" fontId="18" fillId="0" borderId="0" xfId="0" applyFont="1" applyFill="1" applyBorder="1" applyAlignment="1">
      <alignment horizontal="center" vertical="center"/>
    </xf>
    <xf numFmtId="0" fontId="17" fillId="0" borderId="0" xfId="0" applyFont="1" applyFill="1" applyBorder="1" applyAlignment="1">
      <alignment horizontal="center" vertical="center"/>
    </xf>
    <xf numFmtId="164" fontId="18" fillId="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1" fontId="18" fillId="0" borderId="0" xfId="0" applyNumberFormat="1" applyFont="1" applyFill="1" applyBorder="1" applyAlignment="1">
      <alignment horizontal="center" vertical="center"/>
    </xf>
    <xf numFmtId="164" fontId="19" fillId="0" borderId="0" xfId="0" applyNumberFormat="1" applyFont="1" applyFill="1" applyBorder="1" applyAlignment="1">
      <alignment horizontal="center" vertical="center"/>
    </xf>
    <xf numFmtId="1" fontId="3" fillId="0" borderId="0" xfId="0" applyNumberFormat="1" applyFont="1" applyFill="1" applyBorder="1" applyAlignment="1">
      <alignment horizontal="center" vertical="center"/>
    </xf>
    <xf numFmtId="0" fontId="18" fillId="0" borderId="0" xfId="0" applyFont="1" applyFill="1" applyBorder="1" applyAlignment="1">
      <alignment vertical="center"/>
    </xf>
    <xf numFmtId="0" fontId="4" fillId="0" borderId="0" xfId="0" applyFont="1" applyFill="1" applyBorder="1" applyAlignment="1">
      <alignment vertical="center"/>
    </xf>
    <xf numFmtId="0" fontId="17" fillId="0" borderId="0" xfId="0" applyFont="1" applyFill="1" applyBorder="1" applyAlignment="1">
      <alignment vertical="center"/>
    </xf>
    <xf numFmtId="0" fontId="3" fillId="0" borderId="0" xfId="0" applyFont="1" applyFill="1" applyBorder="1" applyAlignment="1">
      <alignment vertical="center"/>
    </xf>
    <xf numFmtId="49" fontId="4" fillId="0" borderId="0" xfId="0" applyNumberFormat="1" applyFont="1" applyFill="1" applyBorder="1" applyAlignment="1">
      <alignment vertical="center"/>
    </xf>
    <xf numFmtId="49" fontId="0" fillId="0" borderId="0" xfId="0" applyNumberFormat="1" applyFill="1" applyBorder="1" applyAlignment="1">
      <alignment vertical="center"/>
    </xf>
    <xf numFmtId="49" fontId="18" fillId="0" borderId="0" xfId="0" applyNumberFormat="1" applyFont="1" applyFill="1" applyBorder="1" applyAlignment="1">
      <alignment vertical="center"/>
    </xf>
    <xf numFmtId="164" fontId="4" fillId="0" borderId="0" xfId="0" applyNumberFormat="1" applyFont="1" applyFill="1" applyBorder="1" applyAlignment="1">
      <alignment vertical="center"/>
    </xf>
    <xf numFmtId="49" fontId="4" fillId="0" borderId="2" xfId="0" applyNumberFormat="1" applyFont="1" applyBorder="1" applyAlignment="1">
      <alignment vertical="center"/>
    </xf>
    <xf numFmtId="49" fontId="0" fillId="0" borderId="2" xfId="0" applyNumberFormat="1" applyBorder="1" applyAlignment="1">
      <alignment vertical="center"/>
    </xf>
    <xf numFmtId="164" fontId="4" fillId="0" borderId="0" xfId="0" applyNumberFormat="1" applyFont="1" applyFill="1" applyBorder="1" applyAlignment="1">
      <alignment horizontal="center" vertical="center"/>
    </xf>
    <xf numFmtId="0" fontId="0" fillId="0" borderId="0" xfId="0" applyFill="1" applyBorder="1" applyAlignment="1"/>
    <xf numFmtId="164" fontId="4" fillId="0" borderId="6" xfId="0" applyNumberFormat="1" applyFont="1" applyBorder="1" applyAlignment="1">
      <alignment horizontal="center" vertical="center"/>
    </xf>
    <xf numFmtId="164" fontId="4" fillId="0" borderId="1"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3" fillId="5" borderId="5" xfId="0" applyFont="1" applyFill="1" applyBorder="1" applyAlignment="1">
      <alignment horizontal="center" vertical="center"/>
    </xf>
    <xf numFmtId="164" fontId="4" fillId="0" borderId="6"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3" fillId="5" borderId="5" xfId="0" applyFont="1" applyFill="1" applyBorder="1" applyAlignment="1">
      <alignment horizontal="center" vertical="center"/>
    </xf>
    <xf numFmtId="164" fontId="4" fillId="0" borderId="1" xfId="0" applyNumberFormat="1" applyFont="1" applyBorder="1" applyAlignment="1">
      <alignment horizontal="center" vertical="center"/>
    </xf>
    <xf numFmtId="164" fontId="4" fillId="0" borderId="6" xfId="0" applyNumberFormat="1" applyFont="1" applyBorder="1" applyAlignment="1">
      <alignment horizontal="center" vertical="center"/>
    </xf>
    <xf numFmtId="164" fontId="4" fillId="0" borderId="1"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3" fillId="5" borderId="5" xfId="0" applyFont="1" applyFill="1" applyBorder="1" applyAlignment="1">
      <alignment horizontal="center" vertical="center"/>
    </xf>
    <xf numFmtId="164" fontId="4" fillId="0" borderId="6"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3" fillId="5" borderId="5" xfId="0" applyFont="1" applyFill="1" applyBorder="1" applyAlignment="1">
      <alignment horizontal="center" vertical="center"/>
    </xf>
    <xf numFmtId="164" fontId="4" fillId="0" borderId="1" xfId="0" applyNumberFormat="1" applyFont="1" applyBorder="1" applyAlignment="1">
      <alignment horizontal="center" vertical="center"/>
    </xf>
    <xf numFmtId="164" fontId="4" fillId="0" borderId="6" xfId="0" applyNumberFormat="1" applyFont="1" applyBorder="1" applyAlignment="1">
      <alignment horizontal="center" vertical="center"/>
    </xf>
    <xf numFmtId="164" fontId="4" fillId="0" borderId="1"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3" fillId="5" borderId="5" xfId="0" applyFont="1" applyFill="1" applyBorder="1" applyAlignment="1">
      <alignment horizontal="center" vertical="center"/>
    </xf>
    <xf numFmtId="164" fontId="4" fillId="0" borderId="6"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3" fillId="5" borderId="5" xfId="0" applyFont="1" applyFill="1" applyBorder="1" applyAlignment="1">
      <alignment horizontal="center" vertical="center"/>
    </xf>
    <xf numFmtId="164" fontId="4" fillId="0" borderId="1" xfId="0" applyNumberFormat="1" applyFont="1" applyBorder="1" applyAlignment="1">
      <alignment horizontal="center" vertical="center"/>
    </xf>
    <xf numFmtId="22" fontId="0" fillId="0" borderId="28" xfId="0" applyNumberFormat="1" applyBorder="1"/>
    <xf numFmtId="0" fontId="21" fillId="24" borderId="1" xfId="0" applyFont="1" applyFill="1" applyBorder="1" applyAlignment="1">
      <alignment horizontal="center" vertical="center" wrapText="1"/>
    </xf>
    <xf numFmtId="0" fontId="21" fillId="26" borderId="1" xfId="0" applyFont="1" applyFill="1" applyBorder="1" applyAlignment="1">
      <alignment horizontal="center" vertical="center" wrapText="1"/>
    </xf>
    <xf numFmtId="0" fontId="5" fillId="18" borderId="1" xfId="0" applyFont="1" applyFill="1" applyBorder="1" applyAlignment="1">
      <alignment horizontal="center" vertical="center" wrapText="1"/>
    </xf>
    <xf numFmtId="0" fontId="5" fillId="0" borderId="1" xfId="0" applyFont="1" applyFill="1" applyBorder="1" applyAlignment="1">
      <alignment horizontal="center" vertical="center" wrapText="1"/>
    </xf>
    <xf numFmtId="0" fontId="0" fillId="21" borderId="1" xfId="0" applyFill="1" applyBorder="1" applyAlignment="1">
      <alignment horizontal="center" vertical="center"/>
    </xf>
    <xf numFmtId="0" fontId="0" fillId="0" borderId="1" xfId="0" applyBorder="1" applyAlignment="1">
      <alignment horizontal="center" vertical="center" wrapText="1"/>
    </xf>
    <xf numFmtId="0" fontId="5" fillId="27" borderId="1" xfId="0" applyFont="1" applyFill="1" applyBorder="1" applyAlignment="1">
      <alignment horizontal="center" vertical="center" wrapText="1"/>
    </xf>
    <xf numFmtId="0" fontId="0" fillId="28" borderId="1" xfId="0" applyFill="1" applyBorder="1" applyAlignment="1">
      <alignment horizontal="center" vertical="center" wrapText="1"/>
    </xf>
    <xf numFmtId="0" fontId="0" fillId="28" borderId="1" xfId="0" applyFill="1" applyBorder="1" applyAlignment="1">
      <alignment horizontal="center" vertical="center"/>
    </xf>
    <xf numFmtId="0" fontId="0" fillId="21" borderId="1" xfId="0" applyFill="1" applyBorder="1" applyAlignment="1">
      <alignment horizontal="center" vertical="center" wrapText="1"/>
    </xf>
    <xf numFmtId="0" fontId="23" fillId="0" borderId="1" xfId="0" applyFont="1" applyFill="1" applyBorder="1" applyAlignment="1">
      <alignment horizontal="center" vertical="center" wrapText="1"/>
    </xf>
    <xf numFmtId="0" fontId="24" fillId="0" borderId="1" xfId="0" applyFont="1" applyFill="1" applyBorder="1" applyAlignment="1">
      <alignment horizontal="center" vertical="center" wrapText="1"/>
    </xf>
    <xf numFmtId="0" fontId="0" fillId="21" borderId="1" xfId="0" applyFill="1" applyBorder="1" applyAlignment="1">
      <alignment vertical="center" wrapText="1"/>
    </xf>
    <xf numFmtId="0" fontId="22" fillId="21" borderId="1" xfId="0" applyFont="1" applyFill="1" applyBorder="1" applyAlignment="1">
      <alignment horizontal="center" vertical="center" wrapText="1"/>
    </xf>
    <xf numFmtId="0" fontId="25" fillId="0" borderId="1" xfId="0" applyFont="1" applyFill="1" applyBorder="1" applyAlignment="1">
      <alignment horizontal="center" vertical="center" wrapText="1"/>
    </xf>
    <xf numFmtId="0" fontId="0" fillId="25" borderId="1" xfId="0" applyFill="1" applyBorder="1" applyAlignment="1">
      <alignment horizontal="center" vertical="center" wrapText="1"/>
    </xf>
    <xf numFmtId="0" fontId="3" fillId="0" borderId="8" xfId="0" applyFont="1" applyBorder="1" applyAlignment="1">
      <alignment horizontal="center" vertical="center"/>
    </xf>
    <xf numFmtId="0" fontId="3" fillId="0" borderId="12" xfId="0"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horizontal="center" vertical="center"/>
    </xf>
    <xf numFmtId="164" fontId="4" fillId="0" borderId="6" xfId="0" applyNumberFormat="1" applyFont="1" applyBorder="1" applyAlignment="1">
      <alignment horizontal="center" vertical="center"/>
    </xf>
    <xf numFmtId="164" fontId="4" fillId="0" borderId="2" xfId="0" applyNumberFormat="1" applyFont="1" applyBorder="1" applyAlignment="1">
      <alignment horizontal="center" vertical="center"/>
    </xf>
    <xf numFmtId="49" fontId="4" fillId="0" borderId="2" xfId="0" applyNumberFormat="1" applyFont="1" applyBorder="1" applyAlignment="1">
      <alignment horizontal="center" vertical="center"/>
    </xf>
    <xf numFmtId="49" fontId="0" fillId="0" borderId="2" xfId="0" applyNumberFormat="1" applyBorder="1" applyAlignment="1">
      <alignment horizontal="center" vertical="center"/>
    </xf>
    <xf numFmtId="0" fontId="3" fillId="0" borderId="11" xfId="0" applyFont="1" applyBorder="1" applyAlignment="1">
      <alignment horizontal="center" vertical="center"/>
    </xf>
    <xf numFmtId="0" fontId="4" fillId="0" borderId="1" xfId="0" applyFont="1" applyBorder="1" applyAlignment="1">
      <alignment horizontal="center" vertical="center"/>
    </xf>
    <xf numFmtId="0" fontId="5" fillId="3" borderId="0" xfId="0" applyFont="1" applyFill="1" applyAlignment="1">
      <alignment horizontal="center" vertical="center"/>
    </xf>
    <xf numFmtId="0" fontId="3" fillId="5" borderId="5" xfId="0" applyFont="1" applyFill="1" applyBorder="1" applyAlignment="1">
      <alignment horizontal="center" vertical="center"/>
    </xf>
    <xf numFmtId="164" fontId="4" fillId="0" borderId="1" xfId="0" applyNumberFormat="1" applyFont="1" applyBorder="1" applyAlignment="1">
      <alignment horizontal="center" vertical="center"/>
    </xf>
    <xf numFmtId="0" fontId="0" fillId="2" borderId="15" xfId="0" applyFill="1" applyBorder="1" applyAlignment="1">
      <alignment horizontal="center"/>
    </xf>
    <xf numFmtId="0" fontId="0" fillId="7" borderId="22" xfId="0" applyFill="1" applyBorder="1" applyAlignment="1">
      <alignment horizontal="center" vertical="center"/>
    </xf>
    <xf numFmtId="0" fontId="0" fillId="7" borderId="27" xfId="0" applyFill="1" applyBorder="1" applyAlignment="1">
      <alignment horizontal="center" vertical="center"/>
    </xf>
    <xf numFmtId="0" fontId="0" fillId="7" borderId="9" xfId="0" applyFill="1" applyBorder="1" applyAlignment="1">
      <alignment horizontal="center" vertical="center"/>
    </xf>
    <xf numFmtId="0" fontId="0" fillId="7" borderId="1" xfId="0" applyFill="1" applyBorder="1" applyAlignment="1">
      <alignment horizontal="center" vertical="center"/>
    </xf>
    <xf numFmtId="0" fontId="0" fillId="2" borderId="16" xfId="0" applyFill="1" applyBorder="1" applyAlignment="1">
      <alignment horizontal="center"/>
    </xf>
    <xf numFmtId="0" fontId="0" fillId="2" borderId="0" xfId="0" applyFill="1" applyAlignment="1">
      <alignment horizontal="center"/>
    </xf>
    <xf numFmtId="0" fontId="5" fillId="11" borderId="0" xfId="0" applyFont="1" applyFill="1" applyAlignment="1">
      <alignment horizontal="center"/>
    </xf>
    <xf numFmtId="0" fontId="5" fillId="12" borderId="0" xfId="0" applyFont="1" applyFill="1" applyAlignment="1">
      <alignment horizontal="center"/>
    </xf>
    <xf numFmtId="0" fontId="0" fillId="20" borderId="1" xfId="0" applyFill="1" applyBorder="1" applyAlignment="1">
      <alignment horizontal="center" vertical="center" textRotation="90" wrapText="1"/>
    </xf>
    <xf numFmtId="0" fontId="0" fillId="23" borderId="1" xfId="0" applyFill="1" applyBorder="1" applyAlignment="1">
      <alignment horizontal="center" vertical="center" textRotation="90" wrapText="1"/>
    </xf>
    <xf numFmtId="0" fontId="21" fillId="24" borderId="1" xfId="0" applyFont="1" applyFill="1" applyBorder="1" applyAlignment="1">
      <alignment horizontal="center" vertical="center" wrapText="1"/>
    </xf>
    <xf numFmtId="0" fontId="0" fillId="7" borderId="1" xfId="0" applyFill="1" applyBorder="1" applyAlignment="1">
      <alignment horizontal="center" vertical="center" textRotation="90" wrapText="1"/>
    </xf>
    <xf numFmtId="0" fontId="0" fillId="9" borderId="1" xfId="0" applyFill="1" applyBorder="1" applyAlignment="1">
      <alignment horizontal="center" vertical="center" textRotation="90" wrapText="1"/>
    </xf>
    <xf numFmtId="0" fontId="21" fillId="26" borderId="1" xfId="0" applyFont="1" applyFill="1" applyBorder="1" applyAlignment="1">
      <alignment horizontal="center" vertical="center" wrapText="1"/>
    </xf>
    <xf numFmtId="0" fontId="0" fillId="22" borderId="1" xfId="0" applyFill="1" applyBorder="1" applyAlignment="1">
      <alignment horizontal="center" vertical="center" textRotation="90" wrapText="1"/>
    </xf>
    <xf numFmtId="0" fontId="0" fillId="19" borderId="1" xfId="0" applyFill="1" applyBorder="1" applyAlignment="1">
      <alignment horizontal="center" vertical="center" textRotation="90" wrapText="1"/>
    </xf>
    <xf numFmtId="0" fontId="0" fillId="21" borderId="1" xfId="0" applyFill="1" applyBorder="1" applyAlignment="1">
      <alignment horizontal="center" vertical="center" wrapText="1"/>
    </xf>
    <xf numFmtId="0" fontId="9" fillId="0" borderId="20" xfId="0" applyFont="1" applyBorder="1" applyAlignment="1">
      <alignment horizontal="center" vertical="center" wrapText="1"/>
    </xf>
    <xf numFmtId="0" fontId="9" fillId="0" borderId="3" xfId="0" applyFont="1" applyBorder="1" applyAlignment="1">
      <alignment horizontal="center" vertical="center" wrapText="1"/>
    </xf>
    <xf numFmtId="0" fontId="9" fillId="0" borderId="23" xfId="0" applyFont="1" applyBorder="1" applyAlignment="1">
      <alignment horizontal="center" vertical="center" wrapText="1"/>
    </xf>
    <xf numFmtId="0" fontId="7" fillId="0" borderId="20" xfId="0" applyFont="1" applyBorder="1" applyAlignment="1">
      <alignment horizontal="center" vertical="center" wrapText="1"/>
    </xf>
    <xf numFmtId="0" fontId="7" fillId="0" borderId="3" xfId="0" applyFont="1" applyBorder="1" applyAlignment="1">
      <alignment horizontal="center" vertical="center" wrapText="1"/>
    </xf>
    <xf numFmtId="0" fontId="7" fillId="0" borderId="23"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5" fillId="0" borderId="20" xfId="0" applyFont="1" applyBorder="1" applyAlignment="1">
      <alignment horizontal="center" vertical="center"/>
    </xf>
    <xf numFmtId="0" fontId="5" fillId="0" borderId="3" xfId="0" applyFont="1" applyBorder="1" applyAlignment="1">
      <alignment horizontal="center" vertical="center"/>
    </xf>
    <xf numFmtId="0" fontId="5" fillId="0" borderId="23" xfId="0" applyFont="1" applyBorder="1" applyAlignment="1">
      <alignment horizontal="center" vertical="center"/>
    </xf>
  </cellXfs>
  <cellStyles count="2">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37</xdr:row>
          <xdr:rowOff>12700</xdr:rowOff>
        </xdr:from>
        <xdr:to>
          <xdr:col>6</xdr:col>
          <xdr:colOff>850900</xdr:colOff>
          <xdr:row>38</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CopyFilteredData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71436</xdr:colOff>
      <xdr:row>1</xdr:row>
      <xdr:rowOff>238123</xdr:rowOff>
    </xdr:from>
    <xdr:to>
      <xdr:col>12</xdr:col>
      <xdr:colOff>1031874</xdr:colOff>
      <xdr:row>1</xdr:row>
      <xdr:rowOff>1444625</xdr:rowOff>
    </xdr:to>
    <xdr:sp macro="" textlink="">
      <xdr:nvSpPr>
        <xdr:cNvPr id="2" name="Right Arrow 1">
          <a:extLst>
            <a:ext uri="{FF2B5EF4-FFF2-40B4-BE49-F238E27FC236}">
              <a16:creationId xmlns:a16="http://schemas.microsoft.com/office/drawing/2014/main" id="{00000000-0008-0000-0300-000002000000}"/>
            </a:ext>
          </a:extLst>
        </xdr:cNvPr>
        <xdr:cNvSpPr/>
      </xdr:nvSpPr>
      <xdr:spPr>
        <a:xfrm>
          <a:off x="11985624" y="420686"/>
          <a:ext cx="1960563" cy="120650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solidFill>
                <a:srgbClr val="FFFF00"/>
              </a:solidFill>
            </a:rPr>
            <a:t>Final Hierarchy</a:t>
          </a:r>
        </a:p>
        <a:p>
          <a:pPr algn="l"/>
          <a:r>
            <a:rPr lang="en-GB" sz="1600" b="1">
              <a:solidFill>
                <a:srgbClr val="FFFF00"/>
              </a:solidFill>
            </a:rPr>
            <a:t>Level-3 Variables</a:t>
          </a:r>
        </a:p>
      </xdr:txBody>
    </xdr:sp>
    <xdr:clientData/>
  </xdr:twoCellAnchor>
  <xdr:twoCellAnchor>
    <xdr:from>
      <xdr:col>17</xdr:col>
      <xdr:colOff>420687</xdr:colOff>
      <xdr:row>1</xdr:row>
      <xdr:rowOff>0</xdr:rowOff>
    </xdr:from>
    <xdr:to>
      <xdr:col>18</xdr:col>
      <xdr:colOff>1182687</xdr:colOff>
      <xdr:row>1</xdr:row>
      <xdr:rowOff>1206502</xdr:rowOff>
    </xdr:to>
    <xdr:sp macro="" textlink="">
      <xdr:nvSpPr>
        <xdr:cNvPr id="3" name="Right Arrow 2">
          <a:extLst>
            <a:ext uri="{FF2B5EF4-FFF2-40B4-BE49-F238E27FC236}">
              <a16:creationId xmlns:a16="http://schemas.microsoft.com/office/drawing/2014/main" id="{00000000-0008-0000-0300-000003000000}"/>
            </a:ext>
          </a:extLst>
        </xdr:cNvPr>
        <xdr:cNvSpPr/>
      </xdr:nvSpPr>
      <xdr:spPr>
        <a:xfrm>
          <a:off x="18494375" y="182563"/>
          <a:ext cx="2024062" cy="1206502"/>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600" b="1">
              <a:solidFill>
                <a:srgbClr val="FFFF00"/>
              </a:solidFill>
            </a:rPr>
            <a:t>Final Hierarchy</a:t>
          </a:r>
        </a:p>
        <a:p>
          <a:pPr algn="l"/>
          <a:r>
            <a:rPr lang="en-GB" sz="1600" b="1">
              <a:solidFill>
                <a:srgbClr val="FFFF00"/>
              </a:solidFill>
            </a:rPr>
            <a:t>Level-3 FCs</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37</xdr:row>
          <xdr:rowOff>12700</xdr:rowOff>
        </xdr:from>
        <xdr:to>
          <xdr:col>6</xdr:col>
          <xdr:colOff>850900</xdr:colOff>
          <xdr:row>38</xdr:row>
          <xdr:rowOff>133350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CopyFilteredData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37</xdr:row>
          <xdr:rowOff>12700</xdr:rowOff>
        </xdr:from>
        <xdr:to>
          <xdr:col>6</xdr:col>
          <xdr:colOff>850900</xdr:colOff>
          <xdr:row>38</xdr:row>
          <xdr:rowOff>133350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CopyFilteredData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37</xdr:row>
          <xdr:rowOff>12700</xdr:rowOff>
        </xdr:from>
        <xdr:to>
          <xdr:col>6</xdr:col>
          <xdr:colOff>850900</xdr:colOff>
          <xdr:row>38</xdr:row>
          <xdr:rowOff>133350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CopyFilteredData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37</xdr:row>
          <xdr:rowOff>12700</xdr:rowOff>
        </xdr:from>
        <xdr:to>
          <xdr:col>6</xdr:col>
          <xdr:colOff>850900</xdr:colOff>
          <xdr:row>38</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CopyFilteredData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37</xdr:row>
          <xdr:rowOff>12700</xdr:rowOff>
        </xdr:from>
        <xdr:to>
          <xdr:col>6</xdr:col>
          <xdr:colOff>850900</xdr:colOff>
          <xdr:row>38</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CopyFilteredData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37</xdr:row>
          <xdr:rowOff>12700</xdr:rowOff>
        </xdr:from>
        <xdr:to>
          <xdr:col>6</xdr:col>
          <xdr:colOff>850900</xdr:colOff>
          <xdr:row>38</xdr:row>
          <xdr:rowOff>133350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CopyFilteredData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37</xdr:row>
          <xdr:rowOff>12700</xdr:rowOff>
        </xdr:from>
        <xdr:to>
          <xdr:col>6</xdr:col>
          <xdr:colOff>850900</xdr:colOff>
          <xdr:row>38</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cs typeface="Calibri"/>
                </a:rPr>
                <a:t>CopyFilteredData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CH386"/>
  <sheetViews>
    <sheetView workbookViewId="0">
      <selection sqref="A1:XFD1048576"/>
    </sheetView>
  </sheetViews>
  <sheetFormatPr baseColWidth="10" defaultColWidth="8.81640625" defaultRowHeight="14.5" x14ac:dyDescent="0.35"/>
  <cols>
    <col min="1" max="1" width="36" bestFit="1" customWidth="1"/>
    <col min="2" max="2" width="58.81640625" bestFit="1" customWidth="1"/>
    <col min="3" max="3" width="58.08984375" bestFit="1" customWidth="1"/>
    <col min="4" max="4" width="50.36328125" bestFit="1" customWidth="1"/>
    <col min="5" max="5" width="62.36328125" bestFit="1" customWidth="1"/>
    <col min="6" max="6" width="58.26953125" bestFit="1" customWidth="1"/>
    <col min="7" max="7" width="61.26953125" bestFit="1" customWidth="1"/>
    <col min="8" max="8" width="270.36328125" bestFit="1" customWidth="1"/>
    <col min="9" max="9" width="62.36328125" bestFit="1" customWidth="1"/>
    <col min="10" max="10" width="58.36328125" bestFit="1" customWidth="1"/>
    <col min="11" max="11" width="59.90625" bestFit="1" customWidth="1"/>
    <col min="12" max="12" width="466.90625" bestFit="1" customWidth="1"/>
    <col min="13" max="13" width="62.36328125" bestFit="1" customWidth="1"/>
    <col min="14" max="14" width="58.36328125" bestFit="1" customWidth="1"/>
    <col min="15" max="15" width="62" bestFit="1" customWidth="1"/>
    <col min="16" max="16" width="264.6328125" bestFit="1" customWidth="1"/>
    <col min="17" max="17" width="62.36328125" bestFit="1" customWidth="1"/>
    <col min="18" max="18" width="61.54296875" bestFit="1" customWidth="1"/>
    <col min="19" max="19" width="60" bestFit="1" customWidth="1"/>
    <col min="20" max="20" width="324.90625" bestFit="1" customWidth="1"/>
    <col min="21" max="21" width="62.36328125" bestFit="1" customWidth="1"/>
    <col min="22" max="22" width="61.54296875" bestFit="1" customWidth="1"/>
    <col min="23" max="23" width="61.6328125" bestFit="1" customWidth="1"/>
    <col min="24" max="24" width="221.90625" bestFit="1" customWidth="1"/>
    <col min="25" max="25" width="62.36328125" bestFit="1" customWidth="1"/>
    <col min="26" max="26" width="60" bestFit="1" customWidth="1"/>
    <col min="27" max="27" width="62.08984375" bestFit="1" customWidth="1"/>
    <col min="28" max="28" width="243.81640625" bestFit="1" customWidth="1"/>
    <col min="29" max="29" width="62.36328125" bestFit="1" customWidth="1"/>
    <col min="30" max="30" width="60.54296875" bestFit="1" customWidth="1"/>
    <col min="31" max="31" width="61.6328125" bestFit="1" customWidth="1"/>
    <col min="32" max="32" width="231.26953125" bestFit="1" customWidth="1"/>
    <col min="33" max="33" width="62.36328125" bestFit="1" customWidth="1"/>
    <col min="34" max="34" width="60.81640625" bestFit="1" customWidth="1"/>
    <col min="35" max="35" width="59.1796875" bestFit="1" customWidth="1"/>
    <col min="36" max="36" width="186" bestFit="1" customWidth="1"/>
    <col min="37" max="37" width="62.36328125" bestFit="1" customWidth="1"/>
    <col min="38" max="38" width="61.54296875" bestFit="1" customWidth="1"/>
    <col min="39" max="39" width="59.08984375" bestFit="1" customWidth="1"/>
    <col min="40" max="40" width="173.6328125" bestFit="1" customWidth="1"/>
    <col min="41" max="41" width="62.36328125" bestFit="1" customWidth="1"/>
    <col min="42" max="42" width="63.453125" bestFit="1" customWidth="1"/>
    <col min="43" max="43" width="62.90625" bestFit="1" customWidth="1"/>
    <col min="44" max="44" width="275.81640625" bestFit="1" customWidth="1"/>
    <col min="45" max="45" width="66.453125" bestFit="1" customWidth="1"/>
    <col min="46" max="46" width="58.81640625" bestFit="1" customWidth="1"/>
    <col min="47" max="47" width="60.453125" bestFit="1" customWidth="1"/>
    <col min="48" max="48" width="291.90625" bestFit="1" customWidth="1"/>
    <col min="49" max="49" width="66.453125" bestFit="1" customWidth="1"/>
    <col min="50" max="50" width="58.7265625" bestFit="1" customWidth="1"/>
    <col min="51" max="51" width="60.26953125" bestFit="1" customWidth="1"/>
    <col min="52" max="52" width="227.54296875" bestFit="1" customWidth="1"/>
    <col min="53" max="53" width="62.36328125" bestFit="1" customWidth="1"/>
    <col min="54" max="54" width="60.81640625" bestFit="1" customWidth="1"/>
    <col min="55" max="55" width="60.6328125" bestFit="1" customWidth="1"/>
    <col min="56" max="56" width="154.81640625" bestFit="1" customWidth="1"/>
    <col min="57" max="58" width="40.90625" bestFit="1" customWidth="1"/>
    <col min="59" max="59" width="31.26953125" bestFit="1" customWidth="1"/>
    <col min="60" max="60" width="23.36328125" bestFit="1" customWidth="1"/>
    <col min="61" max="61" width="49" bestFit="1" customWidth="1"/>
    <col min="62" max="62" width="31.6328125" bestFit="1" customWidth="1"/>
    <col min="63" max="63" width="42.453125" bestFit="1" customWidth="1"/>
    <col min="64" max="64" width="89.54296875" bestFit="1" customWidth="1"/>
    <col min="65" max="65" width="87.54296875" bestFit="1" customWidth="1"/>
    <col min="66" max="66" width="36.08984375" bestFit="1" customWidth="1"/>
    <col min="67" max="67" width="42.54296875" bestFit="1" customWidth="1"/>
    <col min="68" max="68" width="125" bestFit="1" customWidth="1"/>
    <col min="69" max="69" width="61.453125" bestFit="1" customWidth="1"/>
    <col min="70" max="70" width="64.453125" bestFit="1" customWidth="1"/>
    <col min="71" max="71" width="46" bestFit="1" customWidth="1"/>
    <col min="72" max="72" width="32.90625" bestFit="1" customWidth="1"/>
    <col min="73" max="73" width="45.36328125" bestFit="1" customWidth="1"/>
    <col min="74" max="74" width="41.81640625" bestFit="1" customWidth="1"/>
    <col min="75" max="75" width="81.26953125" bestFit="1" customWidth="1"/>
    <col min="76" max="76" width="29.08984375" bestFit="1" customWidth="1"/>
    <col min="77" max="77" width="40.90625" bestFit="1" customWidth="1"/>
    <col min="78" max="78" width="58.26953125" bestFit="1" customWidth="1"/>
    <col min="79" max="79" width="30.6328125" bestFit="1" customWidth="1"/>
    <col min="80" max="80" width="105.6328125" bestFit="1" customWidth="1"/>
    <col min="81" max="81" width="37.26953125" bestFit="1" customWidth="1"/>
    <col min="82" max="82" width="20.7265625" bestFit="1" customWidth="1"/>
    <col min="83" max="83" width="38.7265625" bestFit="1" customWidth="1"/>
    <col min="84" max="85" width="15.26953125" bestFit="1" customWidth="1"/>
    <col min="86" max="86" width="11.54296875" bestFit="1" customWidth="1"/>
  </cols>
  <sheetData>
    <row r="1" spans="1:86" ht="15" x14ac:dyDescent="0.25">
      <c r="A1" t="s">
        <v>532</v>
      </c>
      <c r="B1" t="s">
        <v>918</v>
      </c>
      <c r="C1" t="s">
        <v>919</v>
      </c>
      <c r="D1" t="s">
        <v>920</v>
      </c>
      <c r="E1" t="s">
        <v>1138</v>
      </c>
      <c r="F1" t="s">
        <v>1338</v>
      </c>
      <c r="G1" t="s">
        <v>1339</v>
      </c>
      <c r="H1" t="s">
        <v>1340</v>
      </c>
      <c r="I1" t="s">
        <v>1465</v>
      </c>
      <c r="J1" t="s">
        <v>1692</v>
      </c>
      <c r="K1" t="s">
        <v>1693</v>
      </c>
      <c r="L1" t="s">
        <v>1694</v>
      </c>
      <c r="M1" t="s">
        <v>1807</v>
      </c>
      <c r="N1" t="s">
        <v>2000</v>
      </c>
      <c r="O1" t="s">
        <v>2001</v>
      </c>
      <c r="P1" t="s">
        <v>2002</v>
      </c>
      <c r="Q1" t="s">
        <v>2111</v>
      </c>
      <c r="R1" t="s">
        <v>2367</v>
      </c>
      <c r="S1" t="s">
        <v>2368</v>
      </c>
      <c r="T1" t="s">
        <v>2369</v>
      </c>
      <c r="U1" t="s">
        <v>2470</v>
      </c>
      <c r="V1" t="s">
        <v>2704</v>
      </c>
      <c r="W1" t="s">
        <v>2705</v>
      </c>
      <c r="X1" t="s">
        <v>2706</v>
      </c>
      <c r="Y1" t="s">
        <v>2789</v>
      </c>
      <c r="Z1" t="s">
        <v>3015</v>
      </c>
      <c r="AA1" t="s">
        <v>3016</v>
      </c>
      <c r="AB1" t="s">
        <v>3017</v>
      </c>
      <c r="AC1" t="s">
        <v>3094</v>
      </c>
      <c r="AD1" t="s">
        <v>3298</v>
      </c>
      <c r="AE1" t="s">
        <v>3299</v>
      </c>
      <c r="AF1" t="s">
        <v>3300</v>
      </c>
      <c r="AG1" t="s">
        <v>3382</v>
      </c>
      <c r="AH1" t="s">
        <v>3556</v>
      </c>
      <c r="AI1" t="s">
        <v>3557</v>
      </c>
      <c r="AJ1" t="s">
        <v>3558</v>
      </c>
      <c r="AK1" t="s">
        <v>3599</v>
      </c>
      <c r="AL1" t="s">
        <v>3798</v>
      </c>
      <c r="AM1" t="s">
        <v>3799</v>
      </c>
      <c r="AN1" t="s">
        <v>3800</v>
      </c>
      <c r="AO1" t="s">
        <v>3848</v>
      </c>
      <c r="AP1" t="s">
        <v>4081</v>
      </c>
      <c r="AQ1" t="s">
        <v>4082</v>
      </c>
      <c r="AR1" t="s">
        <v>4083</v>
      </c>
      <c r="AS1" t="s">
        <v>4159</v>
      </c>
      <c r="AT1" t="s">
        <v>4351</v>
      </c>
      <c r="AU1" t="s">
        <v>4352</v>
      </c>
      <c r="AV1" t="s">
        <v>4353</v>
      </c>
      <c r="AW1" t="s">
        <v>4403</v>
      </c>
      <c r="AX1" t="s">
        <v>4592</v>
      </c>
      <c r="AY1" t="s">
        <v>4593</v>
      </c>
      <c r="AZ1" t="s">
        <v>4594</v>
      </c>
      <c r="BA1" t="s">
        <v>4638</v>
      </c>
      <c r="BB1" t="s">
        <v>4842</v>
      </c>
      <c r="BC1" t="s">
        <v>4843</v>
      </c>
      <c r="BD1" t="s">
        <v>4844</v>
      </c>
      <c r="BE1" t="s">
        <v>4896</v>
      </c>
      <c r="BF1" t="s">
        <v>4950</v>
      </c>
      <c r="BG1" t="s">
        <v>4965</v>
      </c>
      <c r="BH1" t="s">
        <v>5077</v>
      </c>
      <c r="BI1" t="s">
        <v>5364</v>
      </c>
      <c r="BJ1" t="s">
        <v>5587</v>
      </c>
      <c r="BK1" t="s">
        <v>5904</v>
      </c>
      <c r="BL1" t="s">
        <v>6140</v>
      </c>
      <c r="BM1" t="s">
        <v>6329</v>
      </c>
      <c r="BN1" t="s">
        <v>6469</v>
      </c>
      <c r="BO1" t="s">
        <v>6637</v>
      </c>
      <c r="BP1" t="s">
        <v>6780</v>
      </c>
      <c r="BQ1" t="s">
        <v>6832</v>
      </c>
      <c r="BR1" t="s">
        <v>6848</v>
      </c>
      <c r="BS1" t="s">
        <v>6864</v>
      </c>
      <c r="BT1" t="s">
        <v>6881</v>
      </c>
      <c r="BU1" t="s">
        <v>7154</v>
      </c>
      <c r="BV1" t="s">
        <v>7206</v>
      </c>
      <c r="BW1" t="s">
        <v>7373</v>
      </c>
      <c r="BX1" t="s">
        <v>7534</v>
      </c>
      <c r="BY1" t="s">
        <v>7627</v>
      </c>
      <c r="BZ1" t="s">
        <v>7631</v>
      </c>
      <c r="CA1" t="s">
        <v>7632</v>
      </c>
      <c r="CB1" t="s">
        <v>7633</v>
      </c>
      <c r="CC1" t="s">
        <v>7704</v>
      </c>
      <c r="CD1" t="s">
        <v>7779</v>
      </c>
      <c r="CE1" t="s">
        <v>7859</v>
      </c>
      <c r="CF1" t="s">
        <v>8136</v>
      </c>
      <c r="CG1" t="s">
        <v>8137</v>
      </c>
      <c r="CH1" t="s">
        <v>8138</v>
      </c>
    </row>
    <row r="2" spans="1:86" ht="15" hidden="1" customHeight="1" x14ac:dyDescent="0.25">
      <c r="A2" t="s">
        <v>533</v>
      </c>
      <c r="D2" t="s">
        <v>921</v>
      </c>
      <c r="E2" t="s">
        <v>1139</v>
      </c>
      <c r="H2" t="s">
        <v>1341</v>
      </c>
      <c r="I2" t="s">
        <v>1466</v>
      </c>
      <c r="L2" t="s">
        <v>1695</v>
      </c>
      <c r="M2" t="s">
        <v>1808</v>
      </c>
      <c r="P2" t="s">
        <v>2003</v>
      </c>
      <c r="Q2" t="s">
        <v>2112</v>
      </c>
      <c r="T2" t="s">
        <v>2370</v>
      </c>
      <c r="U2" t="s">
        <v>2471</v>
      </c>
      <c r="X2" t="s">
        <v>2707</v>
      </c>
      <c r="Y2" t="s">
        <v>2790</v>
      </c>
      <c r="AB2" t="s">
        <v>3018</v>
      </c>
      <c r="AC2" t="s">
        <v>3095</v>
      </c>
      <c r="AF2" t="s">
        <v>3301</v>
      </c>
      <c r="AG2" t="s">
        <v>3383</v>
      </c>
      <c r="AJ2" t="s">
        <v>3559</v>
      </c>
      <c r="AK2" t="s">
        <v>3600</v>
      </c>
      <c r="AN2" t="s">
        <v>3801</v>
      </c>
      <c r="AO2" t="s">
        <v>3849</v>
      </c>
      <c r="AR2" t="s">
        <v>4084</v>
      </c>
      <c r="AS2" t="s">
        <v>4160</v>
      </c>
      <c r="AV2" t="s">
        <v>4354</v>
      </c>
      <c r="AW2" t="s">
        <v>4404</v>
      </c>
      <c r="AZ2" t="s">
        <v>4595</v>
      </c>
      <c r="BA2" t="s">
        <v>4639</v>
      </c>
      <c r="BD2" t="s">
        <v>4845</v>
      </c>
      <c r="BE2" t="s">
        <v>4897</v>
      </c>
      <c r="BF2" t="s">
        <v>4951</v>
      </c>
      <c r="BG2" t="s">
        <v>4966</v>
      </c>
      <c r="BH2" t="s">
        <v>5078</v>
      </c>
      <c r="BI2" t="s">
        <v>5365</v>
      </c>
      <c r="BJ2" t="s">
        <v>5588</v>
      </c>
      <c r="BK2" t="s">
        <v>5905</v>
      </c>
      <c r="BL2" t="s">
        <v>6141</v>
      </c>
      <c r="BM2" t="s">
        <v>6330</v>
      </c>
      <c r="BN2" t="s">
        <v>6470</v>
      </c>
      <c r="BO2" t="s">
        <v>6638</v>
      </c>
      <c r="BP2" t="s">
        <v>6781</v>
      </c>
      <c r="BQ2" t="s">
        <v>6833</v>
      </c>
      <c r="BR2" t="s">
        <v>6849</v>
      </c>
      <c r="BS2" t="s">
        <v>6865</v>
      </c>
      <c r="BT2" t="s">
        <v>6882</v>
      </c>
      <c r="BU2" t="s">
        <v>7155</v>
      </c>
      <c r="BV2" t="s">
        <v>7207</v>
      </c>
      <c r="BW2" t="s">
        <v>7374</v>
      </c>
      <c r="BX2" t="s">
        <v>7535</v>
      </c>
      <c r="BY2" t="s">
        <v>7628</v>
      </c>
      <c r="CB2" t="s">
        <v>7634</v>
      </c>
      <c r="CC2" t="s">
        <v>7705</v>
      </c>
      <c r="CD2" t="s">
        <v>7780</v>
      </c>
      <c r="CE2" t="s">
        <v>7860</v>
      </c>
      <c r="CF2" s="144"/>
      <c r="CG2" s="144"/>
      <c r="CH2" t="s">
        <v>8139</v>
      </c>
    </row>
    <row r="3" spans="1:86" ht="15" hidden="1" customHeight="1" x14ac:dyDescent="0.35">
      <c r="A3" t="s">
        <v>534</v>
      </c>
      <c r="B3">
        <v>1</v>
      </c>
      <c r="C3">
        <v>1</v>
      </c>
      <c r="D3" t="s">
        <v>922</v>
      </c>
      <c r="E3" t="s">
        <v>1140</v>
      </c>
      <c r="H3" t="s">
        <v>1342</v>
      </c>
      <c r="I3" t="s">
        <v>1467</v>
      </c>
      <c r="M3" t="s">
        <v>1809</v>
      </c>
      <c r="N3">
        <v>7</v>
      </c>
      <c r="P3" t="s">
        <v>2004</v>
      </c>
      <c r="Q3" t="s">
        <v>2113</v>
      </c>
      <c r="S3">
        <v>2</v>
      </c>
      <c r="T3" t="s">
        <v>2371</v>
      </c>
      <c r="U3" t="s">
        <v>2472</v>
      </c>
      <c r="W3">
        <v>4</v>
      </c>
      <c r="X3" t="s">
        <v>2708</v>
      </c>
      <c r="Y3" t="s">
        <v>2791</v>
      </c>
      <c r="AA3">
        <v>6</v>
      </c>
      <c r="AB3" t="s">
        <v>3019</v>
      </c>
      <c r="AC3" t="s">
        <v>3096</v>
      </c>
      <c r="AG3" t="s">
        <v>3384</v>
      </c>
      <c r="AK3" t="s">
        <v>3601</v>
      </c>
      <c r="AO3" t="s">
        <v>3850</v>
      </c>
      <c r="AS3" t="s">
        <v>4161</v>
      </c>
      <c r="AU3">
        <v>5</v>
      </c>
      <c r="AV3" t="s">
        <v>4355</v>
      </c>
      <c r="AW3" t="s">
        <v>4405</v>
      </c>
      <c r="AY3">
        <v>5</v>
      </c>
      <c r="AZ3" t="s">
        <v>4596</v>
      </c>
      <c r="BA3" t="s">
        <v>4640</v>
      </c>
      <c r="BC3">
        <v>6</v>
      </c>
      <c r="BD3" t="s">
        <v>4846</v>
      </c>
      <c r="BE3" t="s">
        <v>4898</v>
      </c>
      <c r="BG3" t="s">
        <v>4967</v>
      </c>
      <c r="BH3" t="s">
        <v>5079</v>
      </c>
      <c r="BI3" t="s">
        <v>5366</v>
      </c>
      <c r="BJ3" t="s">
        <v>5589</v>
      </c>
      <c r="BK3" t="s">
        <v>5906</v>
      </c>
      <c r="BL3" t="s">
        <v>6142</v>
      </c>
      <c r="BM3" t="s">
        <v>6331</v>
      </c>
      <c r="BN3" t="s">
        <v>6471</v>
      </c>
      <c r="BO3" t="s">
        <v>6639</v>
      </c>
      <c r="BP3" t="s">
        <v>6782</v>
      </c>
      <c r="BT3" t="s">
        <v>6883</v>
      </c>
      <c r="BU3" t="s">
        <v>7156</v>
      </c>
      <c r="BV3" t="s">
        <v>7208</v>
      </c>
      <c r="BW3" t="s">
        <v>7375</v>
      </c>
      <c r="BX3" t="s">
        <v>7536</v>
      </c>
      <c r="BZ3">
        <v>0</v>
      </c>
      <c r="CA3">
        <v>1</v>
      </c>
      <c r="CB3" t="s">
        <v>7635</v>
      </c>
      <c r="CC3" t="s">
        <v>7706</v>
      </c>
      <c r="CD3" t="s">
        <v>7781</v>
      </c>
      <c r="CE3" t="s">
        <v>7861</v>
      </c>
      <c r="CF3" s="144">
        <v>44146.408738425926</v>
      </c>
      <c r="CG3" s="144">
        <v>44146.440937500003</v>
      </c>
      <c r="CH3" t="s">
        <v>8140</v>
      </c>
    </row>
    <row r="4" spans="1:86" ht="15" customHeight="1" x14ac:dyDescent="0.35">
      <c r="A4" t="s">
        <v>535</v>
      </c>
      <c r="B4">
        <v>1</v>
      </c>
      <c r="C4">
        <v>1</v>
      </c>
      <c r="D4" t="s">
        <v>922</v>
      </c>
      <c r="E4" t="s">
        <v>1140</v>
      </c>
      <c r="F4">
        <v>4</v>
      </c>
      <c r="H4" t="s">
        <v>1343</v>
      </c>
      <c r="I4" t="s">
        <v>1467</v>
      </c>
      <c r="M4" t="s">
        <v>1810</v>
      </c>
      <c r="Q4" t="s">
        <v>2113</v>
      </c>
      <c r="S4">
        <v>5</v>
      </c>
      <c r="T4" t="s">
        <v>2372</v>
      </c>
      <c r="U4" t="s">
        <v>2473</v>
      </c>
      <c r="Y4" t="s">
        <v>2792</v>
      </c>
      <c r="Z4">
        <v>4</v>
      </c>
      <c r="AB4" t="s">
        <v>3020</v>
      </c>
      <c r="AC4" t="s">
        <v>3097</v>
      </c>
      <c r="AD4">
        <v>3</v>
      </c>
      <c r="AF4" t="s">
        <v>3302</v>
      </c>
      <c r="AG4" t="s">
        <v>3384</v>
      </c>
      <c r="AK4" t="s">
        <v>3601</v>
      </c>
      <c r="AO4" t="s">
        <v>3850</v>
      </c>
      <c r="AS4" t="s">
        <v>4162</v>
      </c>
      <c r="AW4" t="s">
        <v>4406</v>
      </c>
      <c r="AX4">
        <v>1</v>
      </c>
      <c r="AZ4" t="s">
        <v>4597</v>
      </c>
      <c r="BA4" t="s">
        <v>4641</v>
      </c>
      <c r="BB4">
        <v>1</v>
      </c>
      <c r="BD4" t="s">
        <v>4847</v>
      </c>
      <c r="BE4" t="s">
        <v>4899</v>
      </c>
      <c r="BF4" t="s">
        <v>4952</v>
      </c>
      <c r="BG4" t="s">
        <v>4967</v>
      </c>
      <c r="BH4" t="s">
        <v>5080</v>
      </c>
      <c r="BI4" t="s">
        <v>5367</v>
      </c>
      <c r="BJ4" t="s">
        <v>5590</v>
      </c>
      <c r="BK4" t="s">
        <v>5907</v>
      </c>
      <c r="BL4" t="s">
        <v>6143</v>
      </c>
      <c r="BM4" t="s">
        <v>6332</v>
      </c>
      <c r="BN4" t="s">
        <v>6471</v>
      </c>
      <c r="BO4" t="s">
        <v>6640</v>
      </c>
      <c r="BP4" t="s">
        <v>6782</v>
      </c>
      <c r="BT4" t="s">
        <v>6884</v>
      </c>
      <c r="BU4" t="s">
        <v>7156</v>
      </c>
      <c r="BV4" t="s">
        <v>7208</v>
      </c>
      <c r="BW4" t="s">
        <v>7376</v>
      </c>
      <c r="BX4" t="s">
        <v>7537</v>
      </c>
      <c r="BZ4">
        <v>1</v>
      </c>
      <c r="CA4">
        <v>1</v>
      </c>
      <c r="CB4" t="s">
        <v>7636</v>
      </c>
      <c r="CC4" t="s">
        <v>7706</v>
      </c>
      <c r="CD4" t="s">
        <v>7782</v>
      </c>
      <c r="CE4" t="s">
        <v>7862</v>
      </c>
      <c r="CF4" s="144">
        <v>44146.375462962962</v>
      </c>
      <c r="CG4" s="144">
        <v>44146.384340277778</v>
      </c>
      <c r="CH4" t="s">
        <v>8141</v>
      </c>
    </row>
    <row r="5" spans="1:86" ht="15" hidden="1" customHeight="1" x14ac:dyDescent="0.35">
      <c r="A5" t="s">
        <v>536</v>
      </c>
      <c r="B5">
        <v>1</v>
      </c>
      <c r="C5">
        <v>1</v>
      </c>
      <c r="D5" t="s">
        <v>923</v>
      </c>
      <c r="E5" t="s">
        <v>1140</v>
      </c>
      <c r="F5">
        <v>4</v>
      </c>
      <c r="H5" t="s">
        <v>1344</v>
      </c>
      <c r="I5" t="s">
        <v>1468</v>
      </c>
      <c r="J5">
        <v>5</v>
      </c>
      <c r="L5" t="s">
        <v>1696</v>
      </c>
      <c r="M5" t="s">
        <v>1811</v>
      </c>
      <c r="N5">
        <v>6</v>
      </c>
      <c r="P5" t="s">
        <v>2005</v>
      </c>
      <c r="Q5" t="s">
        <v>2113</v>
      </c>
      <c r="S5">
        <v>6</v>
      </c>
      <c r="T5" s="21" t="s">
        <v>2373</v>
      </c>
      <c r="U5" t="s">
        <v>2474</v>
      </c>
      <c r="V5">
        <v>2</v>
      </c>
      <c r="Y5" t="s">
        <v>2792</v>
      </c>
      <c r="Z5">
        <v>5</v>
      </c>
      <c r="AC5" t="s">
        <v>3097</v>
      </c>
      <c r="AD5">
        <v>6</v>
      </c>
      <c r="AG5" t="s">
        <v>3384</v>
      </c>
      <c r="AK5" t="s">
        <v>3602</v>
      </c>
      <c r="AM5">
        <v>5</v>
      </c>
      <c r="AO5" t="s">
        <v>3851</v>
      </c>
      <c r="AQ5">
        <v>6</v>
      </c>
      <c r="AR5" t="s">
        <v>4085</v>
      </c>
      <c r="AS5" t="s">
        <v>4162</v>
      </c>
      <c r="AW5" t="s">
        <v>4406</v>
      </c>
      <c r="AX5">
        <v>1</v>
      </c>
      <c r="BA5" t="s">
        <v>4641</v>
      </c>
      <c r="BB5">
        <v>1</v>
      </c>
      <c r="BE5" t="s">
        <v>4900</v>
      </c>
      <c r="BG5" t="s">
        <v>4967</v>
      </c>
      <c r="BH5" t="s">
        <v>5081</v>
      </c>
      <c r="BI5" t="s">
        <v>5368</v>
      </c>
      <c r="BJ5" t="s">
        <v>5591</v>
      </c>
      <c r="BK5" t="s">
        <v>5907</v>
      </c>
      <c r="BL5" t="s">
        <v>6143</v>
      </c>
      <c r="BM5" t="s">
        <v>6332</v>
      </c>
      <c r="BN5" t="s">
        <v>6472</v>
      </c>
      <c r="BO5" t="s">
        <v>6640</v>
      </c>
      <c r="BP5" t="s">
        <v>6782</v>
      </c>
      <c r="BT5" t="s">
        <v>6885</v>
      </c>
      <c r="BU5" t="s">
        <v>7156</v>
      </c>
      <c r="BV5" t="s">
        <v>7208</v>
      </c>
      <c r="BW5" t="s">
        <v>7377</v>
      </c>
      <c r="BX5" t="s">
        <v>7538</v>
      </c>
      <c r="BZ5">
        <v>0</v>
      </c>
      <c r="CA5">
        <v>1</v>
      </c>
      <c r="CB5" t="s">
        <v>7636</v>
      </c>
      <c r="CC5" t="s">
        <v>7707</v>
      </c>
      <c r="CD5" t="s">
        <v>7783</v>
      </c>
      <c r="CE5" t="s">
        <v>7863</v>
      </c>
      <c r="CF5" s="144">
        <v>44134.355231481481</v>
      </c>
      <c r="CG5" s="144">
        <v>44134.364999999998</v>
      </c>
      <c r="CH5" t="s">
        <v>8142</v>
      </c>
    </row>
    <row r="6" spans="1:86" ht="15" customHeight="1" x14ac:dyDescent="0.35">
      <c r="A6" t="s">
        <v>537</v>
      </c>
      <c r="B6">
        <v>1</v>
      </c>
      <c r="C6">
        <v>1</v>
      </c>
      <c r="D6" t="s">
        <v>924</v>
      </c>
      <c r="E6" t="s">
        <v>1141</v>
      </c>
      <c r="I6" t="s">
        <v>1468</v>
      </c>
      <c r="J6">
        <v>3</v>
      </c>
      <c r="M6" t="s">
        <v>1811</v>
      </c>
      <c r="N6">
        <v>3</v>
      </c>
      <c r="Q6" t="s">
        <v>2114</v>
      </c>
      <c r="R6">
        <v>3</v>
      </c>
      <c r="T6" t="s">
        <v>2374</v>
      </c>
      <c r="U6" t="s">
        <v>2474</v>
      </c>
      <c r="V6">
        <v>2</v>
      </c>
      <c r="Y6" t="s">
        <v>2793</v>
      </c>
      <c r="AC6" t="s">
        <v>3098</v>
      </c>
      <c r="AG6" t="s">
        <v>3384</v>
      </c>
      <c r="AK6" t="s">
        <v>3603</v>
      </c>
      <c r="AO6" t="s">
        <v>3852</v>
      </c>
      <c r="AS6" t="s">
        <v>4162</v>
      </c>
      <c r="AW6" t="s">
        <v>4407</v>
      </c>
      <c r="AY6">
        <v>3</v>
      </c>
      <c r="BA6" t="s">
        <v>4642</v>
      </c>
      <c r="BE6" t="s">
        <v>4901</v>
      </c>
      <c r="BG6" t="s">
        <v>4968</v>
      </c>
      <c r="BH6" t="s">
        <v>5082</v>
      </c>
      <c r="BI6" t="s">
        <v>5368</v>
      </c>
      <c r="BJ6" t="s">
        <v>5592</v>
      </c>
      <c r="BK6" t="s">
        <v>5908</v>
      </c>
      <c r="BL6" t="s">
        <v>6143</v>
      </c>
      <c r="BM6" t="s">
        <v>6332</v>
      </c>
      <c r="BN6" t="s">
        <v>6473</v>
      </c>
      <c r="BO6" t="s">
        <v>6641</v>
      </c>
      <c r="BP6" t="s">
        <v>6782</v>
      </c>
      <c r="BT6" t="s">
        <v>6886</v>
      </c>
      <c r="BU6" t="s">
        <v>7156</v>
      </c>
      <c r="BV6" t="s">
        <v>7208</v>
      </c>
      <c r="BW6" t="s">
        <v>7378</v>
      </c>
      <c r="BX6" t="s">
        <v>7538</v>
      </c>
      <c r="BZ6">
        <v>0</v>
      </c>
      <c r="CA6">
        <v>0</v>
      </c>
      <c r="CE6" t="s">
        <v>7864</v>
      </c>
      <c r="CF6" s="144">
        <v>44118.561006944445</v>
      </c>
      <c r="CG6" s="144">
        <v>44118.569212962961</v>
      </c>
      <c r="CH6" t="s">
        <v>8143</v>
      </c>
    </row>
    <row r="7" spans="1:86" ht="15" hidden="1" customHeight="1" x14ac:dyDescent="0.35">
      <c r="A7" t="s">
        <v>538</v>
      </c>
      <c r="B7">
        <v>1</v>
      </c>
      <c r="C7">
        <v>1</v>
      </c>
      <c r="D7" t="s">
        <v>924</v>
      </c>
      <c r="E7" t="s">
        <v>1141</v>
      </c>
      <c r="I7" t="s">
        <v>1469</v>
      </c>
      <c r="K7">
        <v>6</v>
      </c>
      <c r="L7" t="s">
        <v>1697</v>
      </c>
      <c r="M7" t="s">
        <v>1811</v>
      </c>
      <c r="N7">
        <v>6</v>
      </c>
      <c r="Q7" t="s">
        <v>2115</v>
      </c>
      <c r="S7">
        <v>8</v>
      </c>
      <c r="U7" t="s">
        <v>2474</v>
      </c>
      <c r="V7">
        <v>6</v>
      </c>
      <c r="Y7" t="s">
        <v>2794</v>
      </c>
      <c r="Z7">
        <v>7</v>
      </c>
      <c r="AC7" t="s">
        <v>3099</v>
      </c>
      <c r="AD7">
        <v>8</v>
      </c>
      <c r="AG7" t="s">
        <v>3384</v>
      </c>
      <c r="AK7" t="s">
        <v>3603</v>
      </c>
      <c r="AO7" t="s">
        <v>3853</v>
      </c>
      <c r="AQ7">
        <v>6</v>
      </c>
      <c r="AS7" t="s">
        <v>4162</v>
      </c>
      <c r="AW7" t="s">
        <v>4408</v>
      </c>
      <c r="BA7" t="s">
        <v>4643</v>
      </c>
      <c r="BE7" t="s">
        <v>4901</v>
      </c>
      <c r="BG7" t="s">
        <v>4969</v>
      </c>
      <c r="BH7" t="s">
        <v>5083</v>
      </c>
      <c r="BI7" t="s">
        <v>5368</v>
      </c>
      <c r="BJ7" t="s">
        <v>5593</v>
      </c>
      <c r="BK7" t="s">
        <v>5909</v>
      </c>
      <c r="BL7" t="s">
        <v>6143</v>
      </c>
      <c r="BM7" t="s">
        <v>6332</v>
      </c>
      <c r="BN7" t="s">
        <v>6474</v>
      </c>
      <c r="BO7" t="s">
        <v>6641</v>
      </c>
      <c r="BP7" t="s">
        <v>6782</v>
      </c>
      <c r="BT7" t="s">
        <v>6887</v>
      </c>
      <c r="BU7" t="s">
        <v>7156</v>
      </c>
      <c r="BV7" t="s">
        <v>7209</v>
      </c>
      <c r="BW7" t="s">
        <v>7379</v>
      </c>
      <c r="BX7" t="s">
        <v>7539</v>
      </c>
      <c r="BZ7">
        <v>0</v>
      </c>
      <c r="CA7">
        <v>0</v>
      </c>
      <c r="CE7" t="s">
        <v>7865</v>
      </c>
      <c r="CF7" s="144">
        <v>44118.535868055558</v>
      </c>
      <c r="CG7" s="144">
        <v>44118.545567129629</v>
      </c>
      <c r="CH7" t="s">
        <v>8144</v>
      </c>
    </row>
    <row r="8" spans="1:86" ht="15" customHeight="1" x14ac:dyDescent="0.35">
      <c r="A8" t="s">
        <v>539</v>
      </c>
      <c r="B8">
        <v>1</v>
      </c>
      <c r="C8">
        <v>1</v>
      </c>
      <c r="D8" t="s">
        <v>925</v>
      </c>
      <c r="E8" t="s">
        <v>1142</v>
      </c>
      <c r="G8">
        <v>4</v>
      </c>
      <c r="I8" t="s">
        <v>1470</v>
      </c>
      <c r="J8">
        <v>6</v>
      </c>
      <c r="M8" t="s">
        <v>1811</v>
      </c>
      <c r="N8">
        <v>5</v>
      </c>
      <c r="Q8" t="s">
        <v>2116</v>
      </c>
      <c r="R8">
        <v>7</v>
      </c>
      <c r="U8" t="s">
        <v>2474</v>
      </c>
      <c r="V8">
        <v>6</v>
      </c>
      <c r="Y8" t="s">
        <v>2794</v>
      </c>
      <c r="Z8">
        <v>4</v>
      </c>
      <c r="AC8" t="s">
        <v>3100</v>
      </c>
      <c r="AG8" t="s">
        <v>3385</v>
      </c>
      <c r="AH8">
        <v>5</v>
      </c>
      <c r="AK8" t="s">
        <v>3604</v>
      </c>
      <c r="AL8">
        <v>4</v>
      </c>
      <c r="AO8" t="s">
        <v>3854</v>
      </c>
      <c r="AS8" t="s">
        <v>4162</v>
      </c>
      <c r="AW8" t="s">
        <v>4409</v>
      </c>
      <c r="AY8">
        <v>5</v>
      </c>
      <c r="BA8" t="s">
        <v>4644</v>
      </c>
      <c r="BC8">
        <v>5</v>
      </c>
      <c r="BE8" t="s">
        <v>4902</v>
      </c>
      <c r="BG8" t="s">
        <v>4969</v>
      </c>
      <c r="BH8" t="s">
        <v>5084</v>
      </c>
      <c r="BI8" t="s">
        <v>5368</v>
      </c>
      <c r="BJ8" t="s">
        <v>5594</v>
      </c>
      <c r="BK8" t="s">
        <v>5909</v>
      </c>
      <c r="BL8" t="s">
        <v>6144</v>
      </c>
      <c r="BM8" t="s">
        <v>6332</v>
      </c>
      <c r="BN8" t="s">
        <v>6474</v>
      </c>
      <c r="BO8" t="s">
        <v>6642</v>
      </c>
      <c r="BP8" t="s">
        <v>6782</v>
      </c>
      <c r="BT8" t="s">
        <v>6888</v>
      </c>
      <c r="BU8" t="s">
        <v>7156</v>
      </c>
      <c r="BV8" t="s">
        <v>7209</v>
      </c>
      <c r="BW8" t="s">
        <v>7380</v>
      </c>
      <c r="BX8" t="s">
        <v>7540</v>
      </c>
      <c r="BZ8">
        <v>0</v>
      </c>
      <c r="CA8">
        <v>0</v>
      </c>
      <c r="CE8" t="s">
        <v>7866</v>
      </c>
      <c r="CF8" s="144">
        <v>44110.623043981483</v>
      </c>
      <c r="CG8" s="144">
        <v>44110.628668981481</v>
      </c>
      <c r="CH8" s="24" t="s">
        <v>8145</v>
      </c>
    </row>
    <row r="9" spans="1:86" ht="15" customHeight="1" x14ac:dyDescent="0.35">
      <c r="A9" t="s">
        <v>540</v>
      </c>
      <c r="B9">
        <v>1</v>
      </c>
      <c r="C9">
        <v>1</v>
      </c>
      <c r="D9" t="s">
        <v>926</v>
      </c>
      <c r="E9" t="s">
        <v>1143</v>
      </c>
      <c r="I9" t="s">
        <v>1471</v>
      </c>
      <c r="M9" t="s">
        <v>1811</v>
      </c>
      <c r="N9">
        <v>7</v>
      </c>
      <c r="P9" t="s">
        <v>2006</v>
      </c>
      <c r="Q9" t="s">
        <v>2117</v>
      </c>
      <c r="U9" t="s">
        <v>2475</v>
      </c>
      <c r="W9">
        <v>5</v>
      </c>
      <c r="Y9" t="s">
        <v>2794</v>
      </c>
      <c r="Z9">
        <v>6</v>
      </c>
      <c r="AC9" t="s">
        <v>3100</v>
      </c>
      <c r="AG9" t="s">
        <v>3386</v>
      </c>
      <c r="AK9" t="s">
        <v>3605</v>
      </c>
      <c r="AO9" t="s">
        <v>3854</v>
      </c>
      <c r="AS9" t="s">
        <v>4163</v>
      </c>
      <c r="AT9">
        <v>4</v>
      </c>
      <c r="AW9" t="s">
        <v>4410</v>
      </c>
      <c r="BA9" t="s">
        <v>4644</v>
      </c>
      <c r="BC9">
        <v>5</v>
      </c>
      <c r="BE9" t="s">
        <v>4903</v>
      </c>
      <c r="BF9" t="s">
        <v>4953</v>
      </c>
      <c r="BG9" t="s">
        <v>4969</v>
      </c>
      <c r="BH9" t="s">
        <v>5084</v>
      </c>
      <c r="BI9" t="s">
        <v>5369</v>
      </c>
      <c r="BJ9" t="s">
        <v>5594</v>
      </c>
      <c r="BK9" t="s">
        <v>5910</v>
      </c>
      <c r="BL9" t="s">
        <v>6145</v>
      </c>
      <c r="BM9" t="s">
        <v>6332</v>
      </c>
      <c r="BN9" t="s">
        <v>6474</v>
      </c>
      <c r="BO9" t="s">
        <v>6643</v>
      </c>
      <c r="BP9" t="s">
        <v>6782</v>
      </c>
      <c r="BT9" t="s">
        <v>6889</v>
      </c>
      <c r="BU9" t="s">
        <v>7156</v>
      </c>
      <c r="BV9" t="s">
        <v>7209</v>
      </c>
      <c r="BW9" t="s">
        <v>7380</v>
      </c>
      <c r="BX9" t="s">
        <v>7540</v>
      </c>
      <c r="BZ9">
        <v>0</v>
      </c>
      <c r="CA9">
        <v>0</v>
      </c>
      <c r="CE9" t="s">
        <v>7867</v>
      </c>
      <c r="CF9" s="144">
        <v>44088.702685185184</v>
      </c>
      <c r="CG9" s="144">
        <v>44088.709120370368</v>
      </c>
      <c r="CH9" t="s">
        <v>8146</v>
      </c>
    </row>
    <row r="10" spans="1:86" ht="15" customHeight="1" x14ac:dyDescent="0.35">
      <c r="A10" t="s">
        <v>541</v>
      </c>
      <c r="B10">
        <v>1</v>
      </c>
      <c r="C10">
        <v>1</v>
      </c>
      <c r="D10" t="s">
        <v>926</v>
      </c>
      <c r="E10" t="s">
        <v>1144</v>
      </c>
      <c r="F10">
        <v>8</v>
      </c>
      <c r="H10" t="s">
        <v>1345</v>
      </c>
      <c r="I10" t="s">
        <v>1471</v>
      </c>
      <c r="M10" t="s">
        <v>1811</v>
      </c>
      <c r="N10">
        <v>6</v>
      </c>
      <c r="P10" t="s">
        <v>2007</v>
      </c>
      <c r="Q10" t="s">
        <v>2118</v>
      </c>
      <c r="R10">
        <v>6</v>
      </c>
      <c r="T10" t="s">
        <v>2375</v>
      </c>
      <c r="U10" t="s">
        <v>2476</v>
      </c>
      <c r="V10">
        <v>8</v>
      </c>
      <c r="Y10" t="s">
        <v>2795</v>
      </c>
      <c r="AA10">
        <v>5</v>
      </c>
      <c r="AC10" t="s">
        <v>3100</v>
      </c>
      <c r="AG10" t="s">
        <v>3386</v>
      </c>
      <c r="AK10" t="s">
        <v>3605</v>
      </c>
      <c r="AO10" t="s">
        <v>3854</v>
      </c>
      <c r="AS10" t="s">
        <v>4164</v>
      </c>
      <c r="AW10" t="s">
        <v>4410</v>
      </c>
      <c r="BA10" t="s">
        <v>4645</v>
      </c>
      <c r="BE10" t="s">
        <v>4904</v>
      </c>
      <c r="BG10" t="s">
        <v>4969</v>
      </c>
      <c r="BH10" t="s">
        <v>5085</v>
      </c>
      <c r="BI10" t="s">
        <v>5370</v>
      </c>
      <c r="BJ10" t="s">
        <v>5595</v>
      </c>
      <c r="BK10" t="s">
        <v>5911</v>
      </c>
      <c r="BL10" t="s">
        <v>6145</v>
      </c>
      <c r="BM10" t="s">
        <v>6332</v>
      </c>
      <c r="BN10" t="s">
        <v>6475</v>
      </c>
      <c r="BO10" t="s">
        <v>6643</v>
      </c>
      <c r="BP10" t="s">
        <v>6782</v>
      </c>
      <c r="BT10" t="s">
        <v>6890</v>
      </c>
      <c r="BU10" t="s">
        <v>7156</v>
      </c>
      <c r="BV10" t="s">
        <v>7210</v>
      </c>
      <c r="BW10" t="s">
        <v>7380</v>
      </c>
      <c r="BX10" t="s">
        <v>7540</v>
      </c>
      <c r="BZ10">
        <v>0</v>
      </c>
      <c r="CA10">
        <v>0</v>
      </c>
      <c r="CE10" t="s">
        <v>7868</v>
      </c>
      <c r="CF10" s="144">
        <v>44084.547847222224</v>
      </c>
      <c r="CG10" s="144">
        <v>44084.560729166667</v>
      </c>
      <c r="CH10" t="s">
        <v>8147</v>
      </c>
    </row>
    <row r="11" spans="1:86" ht="15" customHeight="1" x14ac:dyDescent="0.35">
      <c r="A11" t="s">
        <v>542</v>
      </c>
      <c r="B11">
        <v>1</v>
      </c>
      <c r="C11">
        <v>1</v>
      </c>
      <c r="D11" t="s">
        <v>926</v>
      </c>
      <c r="E11" t="s">
        <v>1144</v>
      </c>
      <c r="F11">
        <v>5</v>
      </c>
      <c r="H11" t="s">
        <v>1346</v>
      </c>
      <c r="I11" t="s">
        <v>1472</v>
      </c>
      <c r="K11">
        <v>5</v>
      </c>
      <c r="L11" t="s">
        <v>1698</v>
      </c>
      <c r="M11" t="s">
        <v>1811</v>
      </c>
      <c r="N11">
        <v>5</v>
      </c>
      <c r="Q11" t="s">
        <v>2119</v>
      </c>
      <c r="S11">
        <v>8</v>
      </c>
      <c r="T11" t="s">
        <v>2376</v>
      </c>
      <c r="U11" t="s">
        <v>2477</v>
      </c>
      <c r="Y11" t="s">
        <v>2796</v>
      </c>
      <c r="Z11">
        <v>6</v>
      </c>
      <c r="AB11" t="s">
        <v>3021</v>
      </c>
      <c r="AC11" t="s">
        <v>3101</v>
      </c>
      <c r="AD11">
        <v>5</v>
      </c>
      <c r="AG11" t="s">
        <v>3386</v>
      </c>
      <c r="AK11" t="s">
        <v>3606</v>
      </c>
      <c r="AM11">
        <v>6</v>
      </c>
      <c r="AO11" t="s">
        <v>3854</v>
      </c>
      <c r="AS11" t="s">
        <v>4165</v>
      </c>
      <c r="AT11">
        <v>6</v>
      </c>
      <c r="AV11" t="s">
        <v>4356</v>
      </c>
      <c r="AW11" t="s">
        <v>4410</v>
      </c>
      <c r="BA11" t="s">
        <v>4646</v>
      </c>
      <c r="BB11">
        <v>3</v>
      </c>
      <c r="BD11" t="s">
        <v>4848</v>
      </c>
      <c r="BE11" t="s">
        <v>4905</v>
      </c>
      <c r="BG11" t="s">
        <v>4970</v>
      </c>
      <c r="BH11" t="s">
        <v>5086</v>
      </c>
      <c r="BI11" t="s">
        <v>5371</v>
      </c>
      <c r="BJ11" t="s">
        <v>5596</v>
      </c>
      <c r="BK11" t="s">
        <v>5912</v>
      </c>
      <c r="BL11" t="s">
        <v>6145</v>
      </c>
      <c r="BM11" t="s">
        <v>6332</v>
      </c>
      <c r="BN11" t="s">
        <v>6476</v>
      </c>
      <c r="BO11" t="s">
        <v>6644</v>
      </c>
      <c r="BP11" t="s">
        <v>6782</v>
      </c>
      <c r="BT11" t="s">
        <v>6891</v>
      </c>
      <c r="BU11" t="s">
        <v>7156</v>
      </c>
      <c r="BV11" t="s">
        <v>7210</v>
      </c>
      <c r="BW11" t="s">
        <v>7380</v>
      </c>
      <c r="BX11" t="s">
        <v>7540</v>
      </c>
      <c r="BZ11">
        <v>1</v>
      </c>
      <c r="CA11">
        <v>1</v>
      </c>
      <c r="CB11" t="s">
        <v>7637</v>
      </c>
      <c r="CC11" t="s">
        <v>7708</v>
      </c>
      <c r="CD11" t="s">
        <v>7784</v>
      </c>
      <c r="CE11" t="s">
        <v>7868</v>
      </c>
      <c r="CF11" s="144">
        <v>44075.407986111109</v>
      </c>
      <c r="CG11" s="144">
        <v>44075.423483796294</v>
      </c>
      <c r="CH11" t="s">
        <v>8148</v>
      </c>
    </row>
    <row r="12" spans="1:86" ht="15" hidden="1" customHeight="1" x14ac:dyDescent="0.35">
      <c r="A12" t="s">
        <v>543</v>
      </c>
      <c r="B12">
        <v>1</v>
      </c>
      <c r="C12">
        <v>1</v>
      </c>
      <c r="D12" t="s">
        <v>927</v>
      </c>
      <c r="E12" t="s">
        <v>1144</v>
      </c>
      <c r="F12">
        <v>8</v>
      </c>
      <c r="H12" t="s">
        <v>1347</v>
      </c>
      <c r="I12" t="s">
        <v>1473</v>
      </c>
      <c r="J12">
        <v>7</v>
      </c>
      <c r="L12" t="s">
        <v>1699</v>
      </c>
      <c r="M12" t="s">
        <v>1811</v>
      </c>
      <c r="N12">
        <v>7</v>
      </c>
      <c r="Q12" t="s">
        <v>2119</v>
      </c>
      <c r="S12">
        <v>5</v>
      </c>
      <c r="U12" t="s">
        <v>2478</v>
      </c>
      <c r="V12">
        <v>4</v>
      </c>
      <c r="Y12" t="s">
        <v>2796</v>
      </c>
      <c r="Z12">
        <v>6</v>
      </c>
      <c r="AC12" t="s">
        <v>3102</v>
      </c>
      <c r="AE12">
        <v>8</v>
      </c>
      <c r="AF12" t="s">
        <v>3303</v>
      </c>
      <c r="AG12" t="s">
        <v>3387</v>
      </c>
      <c r="AI12">
        <v>6</v>
      </c>
      <c r="AK12" t="s">
        <v>3607</v>
      </c>
      <c r="AL12">
        <v>7</v>
      </c>
      <c r="AO12" t="s">
        <v>3855</v>
      </c>
      <c r="AP12">
        <v>7</v>
      </c>
      <c r="AS12" t="s">
        <v>4165</v>
      </c>
      <c r="AT12">
        <v>6</v>
      </c>
      <c r="AW12" t="s">
        <v>4411</v>
      </c>
      <c r="AY12">
        <v>7</v>
      </c>
      <c r="BA12" t="s">
        <v>4647</v>
      </c>
      <c r="BE12" t="s">
        <v>4905</v>
      </c>
      <c r="BG12" t="s">
        <v>4970</v>
      </c>
      <c r="BH12" t="s">
        <v>5087</v>
      </c>
      <c r="BI12" t="s">
        <v>5371</v>
      </c>
      <c r="BJ12" t="s">
        <v>5597</v>
      </c>
      <c r="BK12" t="s">
        <v>5913</v>
      </c>
      <c r="BL12" t="s">
        <v>6146</v>
      </c>
      <c r="BM12" t="s">
        <v>6332</v>
      </c>
      <c r="BN12" t="s">
        <v>6476</v>
      </c>
      <c r="BO12" t="s">
        <v>6645</v>
      </c>
      <c r="BP12" t="s">
        <v>6782</v>
      </c>
      <c r="BT12" t="s">
        <v>6892</v>
      </c>
      <c r="BU12" t="s">
        <v>7156</v>
      </c>
      <c r="BV12" t="s">
        <v>7211</v>
      </c>
      <c r="BW12" t="s">
        <v>7381</v>
      </c>
      <c r="BX12" t="s">
        <v>7540</v>
      </c>
      <c r="BZ12">
        <v>0</v>
      </c>
      <c r="CA12">
        <v>0</v>
      </c>
      <c r="CE12" t="s">
        <v>7869</v>
      </c>
      <c r="CF12" s="144">
        <v>44046.860231481478</v>
      </c>
      <c r="CG12" s="144">
        <v>44046.866157407407</v>
      </c>
      <c r="CH12" t="s">
        <v>8149</v>
      </c>
    </row>
    <row r="13" spans="1:86" ht="15" hidden="1" customHeight="1" x14ac:dyDescent="0.35">
      <c r="A13" t="s">
        <v>544</v>
      </c>
      <c r="B13">
        <v>1</v>
      </c>
      <c r="C13">
        <v>1</v>
      </c>
      <c r="D13" t="s">
        <v>927</v>
      </c>
      <c r="E13" t="s">
        <v>1144</v>
      </c>
      <c r="F13">
        <v>5</v>
      </c>
      <c r="H13" t="s">
        <v>1348</v>
      </c>
      <c r="I13" t="s">
        <v>1474</v>
      </c>
      <c r="M13" t="s">
        <v>1811</v>
      </c>
      <c r="N13">
        <v>7</v>
      </c>
      <c r="P13" t="s">
        <v>2008</v>
      </c>
      <c r="Q13" t="s">
        <v>2119</v>
      </c>
      <c r="S13">
        <v>5</v>
      </c>
      <c r="U13" t="s">
        <v>2479</v>
      </c>
      <c r="Y13" t="s">
        <v>2796</v>
      </c>
      <c r="Z13">
        <v>7</v>
      </c>
      <c r="AC13" t="s">
        <v>3103</v>
      </c>
      <c r="AG13" t="s">
        <v>3388</v>
      </c>
      <c r="AK13" t="s">
        <v>3608</v>
      </c>
      <c r="AO13" t="s">
        <v>3856</v>
      </c>
      <c r="AS13" t="s">
        <v>4166</v>
      </c>
      <c r="AW13" t="s">
        <v>4412</v>
      </c>
      <c r="BA13" t="s">
        <v>4648</v>
      </c>
      <c r="BE13" t="s">
        <v>4906</v>
      </c>
      <c r="BF13" t="s">
        <v>4954</v>
      </c>
      <c r="BG13" t="s">
        <v>4971</v>
      </c>
      <c r="BH13" t="s">
        <v>5088</v>
      </c>
      <c r="BI13" t="s">
        <v>5371</v>
      </c>
      <c r="BJ13" t="s">
        <v>5598</v>
      </c>
      <c r="BK13" t="s">
        <v>5914</v>
      </c>
      <c r="BL13" t="s">
        <v>6147</v>
      </c>
      <c r="BM13" t="s">
        <v>6332</v>
      </c>
      <c r="BN13" t="s">
        <v>6477</v>
      </c>
      <c r="BO13" t="s">
        <v>6645</v>
      </c>
      <c r="BP13" t="s">
        <v>6782</v>
      </c>
      <c r="BT13" t="s">
        <v>6893</v>
      </c>
      <c r="BU13" t="s">
        <v>7157</v>
      </c>
      <c r="BV13" t="s">
        <v>7211</v>
      </c>
      <c r="BW13" t="s">
        <v>7382</v>
      </c>
      <c r="BX13" t="s">
        <v>7540</v>
      </c>
      <c r="BZ13">
        <v>0</v>
      </c>
      <c r="CA13">
        <v>0</v>
      </c>
      <c r="CE13" t="s">
        <v>7870</v>
      </c>
      <c r="CF13" s="144">
        <v>44021.652777777781</v>
      </c>
      <c r="CG13" s="144">
        <v>44021.659247685187</v>
      </c>
      <c r="CH13" t="s">
        <v>8150</v>
      </c>
    </row>
    <row r="14" spans="1:86" ht="15" hidden="1" customHeight="1" x14ac:dyDescent="0.35">
      <c r="A14" t="s">
        <v>545</v>
      </c>
      <c r="B14">
        <v>1</v>
      </c>
      <c r="C14">
        <v>1</v>
      </c>
      <c r="D14" t="s">
        <v>928</v>
      </c>
      <c r="E14" t="s">
        <v>1144</v>
      </c>
      <c r="F14">
        <v>8</v>
      </c>
      <c r="H14" t="s">
        <v>1349</v>
      </c>
      <c r="I14" t="s">
        <v>1475</v>
      </c>
      <c r="J14">
        <v>8</v>
      </c>
      <c r="L14" t="s">
        <v>1700</v>
      </c>
      <c r="M14" t="s">
        <v>1811</v>
      </c>
      <c r="N14">
        <v>8</v>
      </c>
      <c r="P14" t="s">
        <v>2009</v>
      </c>
      <c r="Q14" t="s">
        <v>2120</v>
      </c>
      <c r="U14" t="s">
        <v>2479</v>
      </c>
      <c r="Y14" t="s">
        <v>2797</v>
      </c>
      <c r="AB14" s="22"/>
      <c r="AC14" t="s">
        <v>3104</v>
      </c>
      <c r="AD14">
        <v>8</v>
      </c>
      <c r="AF14" t="s">
        <v>3304</v>
      </c>
      <c r="AG14" t="s">
        <v>3388</v>
      </c>
      <c r="AK14" t="s">
        <v>3608</v>
      </c>
      <c r="AO14" t="s">
        <v>3857</v>
      </c>
      <c r="AP14">
        <v>8</v>
      </c>
      <c r="AR14" t="s">
        <v>4086</v>
      </c>
      <c r="AS14" t="s">
        <v>4167</v>
      </c>
      <c r="AT14">
        <v>8</v>
      </c>
      <c r="AV14" t="s">
        <v>4357</v>
      </c>
      <c r="AW14" t="s">
        <v>4413</v>
      </c>
      <c r="AY14">
        <v>4</v>
      </c>
      <c r="AZ14" t="s">
        <v>4598</v>
      </c>
      <c r="BA14" t="s">
        <v>4649</v>
      </c>
      <c r="BB14">
        <v>8</v>
      </c>
      <c r="BD14" t="s">
        <v>4849</v>
      </c>
      <c r="BE14" t="s">
        <v>4907</v>
      </c>
      <c r="BG14" t="s">
        <v>4971</v>
      </c>
      <c r="BH14" t="s">
        <v>5089</v>
      </c>
      <c r="BI14" t="s">
        <v>5372</v>
      </c>
      <c r="BJ14" t="s">
        <v>5598</v>
      </c>
      <c r="BK14" t="s">
        <v>5915</v>
      </c>
      <c r="BL14" t="s">
        <v>6147</v>
      </c>
      <c r="BM14" t="s">
        <v>6332</v>
      </c>
      <c r="BN14" t="s">
        <v>6478</v>
      </c>
      <c r="BO14" t="s">
        <v>6645</v>
      </c>
      <c r="BP14" t="s">
        <v>6782</v>
      </c>
      <c r="BT14" t="s">
        <v>6894</v>
      </c>
      <c r="BU14" t="s">
        <v>7158</v>
      </c>
      <c r="BV14" t="s">
        <v>7212</v>
      </c>
      <c r="BW14" t="s">
        <v>7382</v>
      </c>
      <c r="BX14" t="s">
        <v>7541</v>
      </c>
      <c r="BZ14">
        <v>1</v>
      </c>
      <c r="CA14">
        <v>0</v>
      </c>
      <c r="CE14" t="s">
        <v>7871</v>
      </c>
      <c r="CF14" s="144">
        <v>44020.73678240741</v>
      </c>
      <c r="CG14" s="144">
        <v>44020.74013888889</v>
      </c>
      <c r="CH14" t="s">
        <v>8151</v>
      </c>
    </row>
    <row r="15" spans="1:86" ht="15" hidden="1" customHeight="1" x14ac:dyDescent="0.35">
      <c r="A15" t="s">
        <v>546</v>
      </c>
      <c r="B15">
        <v>1</v>
      </c>
      <c r="C15">
        <v>1</v>
      </c>
      <c r="D15" t="s">
        <v>929</v>
      </c>
      <c r="E15" t="s">
        <v>1145</v>
      </c>
      <c r="I15" t="s">
        <v>1475</v>
      </c>
      <c r="J15">
        <v>4</v>
      </c>
      <c r="M15" t="s">
        <v>1812</v>
      </c>
      <c r="Q15" t="s">
        <v>2121</v>
      </c>
      <c r="R15">
        <v>6</v>
      </c>
      <c r="U15" t="s">
        <v>2479</v>
      </c>
      <c r="Y15" t="s">
        <v>2798</v>
      </c>
      <c r="AA15">
        <v>4</v>
      </c>
      <c r="AC15" t="s">
        <v>3105</v>
      </c>
      <c r="AG15" t="s">
        <v>3388</v>
      </c>
      <c r="AK15" t="s">
        <v>3608</v>
      </c>
      <c r="AO15" t="s">
        <v>3858</v>
      </c>
      <c r="AS15" t="s">
        <v>4168</v>
      </c>
      <c r="AW15" t="s">
        <v>4414</v>
      </c>
      <c r="BA15" t="s">
        <v>4650</v>
      </c>
      <c r="BE15" t="s">
        <v>4907</v>
      </c>
      <c r="BG15" t="s">
        <v>4971</v>
      </c>
      <c r="BH15" t="s">
        <v>5089</v>
      </c>
      <c r="BI15" t="s">
        <v>5373</v>
      </c>
      <c r="BJ15" t="s">
        <v>5599</v>
      </c>
      <c r="BK15" t="s">
        <v>5916</v>
      </c>
      <c r="BL15" t="s">
        <v>6147</v>
      </c>
      <c r="BM15" t="s">
        <v>6332</v>
      </c>
      <c r="BN15" t="s">
        <v>6479</v>
      </c>
      <c r="BO15" t="s">
        <v>6645</v>
      </c>
      <c r="BP15" t="s">
        <v>6783</v>
      </c>
      <c r="BQ15" t="s">
        <v>6834</v>
      </c>
      <c r="BR15" t="s">
        <v>6850</v>
      </c>
      <c r="BS15" t="s">
        <v>6866</v>
      </c>
      <c r="BT15" t="s">
        <v>6895</v>
      </c>
      <c r="BU15" t="s">
        <v>7159</v>
      </c>
      <c r="BV15" t="s">
        <v>7212</v>
      </c>
      <c r="BW15" t="s">
        <v>7383</v>
      </c>
      <c r="BX15" t="s">
        <v>7541</v>
      </c>
      <c r="BZ15">
        <v>0</v>
      </c>
      <c r="CA15">
        <v>0</v>
      </c>
      <c r="CE15" t="s">
        <v>7872</v>
      </c>
      <c r="CF15" s="144">
        <v>44019.655590277776</v>
      </c>
      <c r="CG15" s="144">
        <v>44019.660949074074</v>
      </c>
      <c r="CH15" t="s">
        <v>8152</v>
      </c>
    </row>
    <row r="16" spans="1:86" ht="15" customHeight="1" x14ac:dyDescent="0.35">
      <c r="A16" t="s">
        <v>547</v>
      </c>
      <c r="B16">
        <v>1</v>
      </c>
      <c r="C16">
        <v>1</v>
      </c>
      <c r="D16" t="s">
        <v>929</v>
      </c>
      <c r="E16" t="s">
        <v>1146</v>
      </c>
      <c r="F16">
        <v>6</v>
      </c>
      <c r="H16" t="s">
        <v>1350</v>
      </c>
      <c r="I16" t="s">
        <v>1476</v>
      </c>
      <c r="K16">
        <v>7</v>
      </c>
      <c r="L16" t="s">
        <v>1701</v>
      </c>
      <c r="M16" t="s">
        <v>1813</v>
      </c>
      <c r="N16">
        <v>8</v>
      </c>
      <c r="Q16" t="s">
        <v>2122</v>
      </c>
      <c r="S16">
        <v>8</v>
      </c>
      <c r="U16" t="s">
        <v>2479</v>
      </c>
      <c r="Y16" t="s">
        <v>2799</v>
      </c>
      <c r="Z16">
        <v>8</v>
      </c>
      <c r="AC16" t="s">
        <v>3106</v>
      </c>
      <c r="AE16">
        <v>5</v>
      </c>
      <c r="AF16" t="s">
        <v>3305</v>
      </c>
      <c r="AG16" t="s">
        <v>3388</v>
      </c>
      <c r="AK16" t="s">
        <v>3609</v>
      </c>
      <c r="AL16">
        <v>5</v>
      </c>
      <c r="AO16" t="s">
        <v>3859</v>
      </c>
      <c r="AQ16">
        <v>8</v>
      </c>
      <c r="AR16" t="s">
        <v>4087</v>
      </c>
      <c r="AS16" t="s">
        <v>4169</v>
      </c>
      <c r="AT16">
        <v>4</v>
      </c>
      <c r="AV16" t="s">
        <v>4358</v>
      </c>
      <c r="AW16" t="s">
        <v>4415</v>
      </c>
      <c r="AX16">
        <v>5</v>
      </c>
      <c r="AZ16" t="s">
        <v>4599</v>
      </c>
      <c r="BA16" t="s">
        <v>4650</v>
      </c>
      <c r="BE16" t="s">
        <v>4907</v>
      </c>
      <c r="BG16" t="s">
        <v>4971</v>
      </c>
      <c r="BH16" t="s">
        <v>5090</v>
      </c>
      <c r="BI16" t="s">
        <v>5373</v>
      </c>
      <c r="BJ16" t="s">
        <v>5600</v>
      </c>
      <c r="BK16" t="s">
        <v>5916</v>
      </c>
      <c r="BL16" t="s">
        <v>6147</v>
      </c>
      <c r="BM16" t="s">
        <v>6332</v>
      </c>
      <c r="BN16" t="s">
        <v>6480</v>
      </c>
      <c r="BO16" t="s">
        <v>6645</v>
      </c>
      <c r="BP16" t="s">
        <v>6784</v>
      </c>
      <c r="BT16" t="s">
        <v>6895</v>
      </c>
      <c r="BU16" t="s">
        <v>7159</v>
      </c>
      <c r="BV16" t="s">
        <v>7213</v>
      </c>
      <c r="BW16" t="s">
        <v>7384</v>
      </c>
      <c r="BX16" t="s">
        <v>7542</v>
      </c>
      <c r="BZ16">
        <v>0</v>
      </c>
      <c r="CA16">
        <v>0</v>
      </c>
      <c r="CE16" t="s">
        <v>7872</v>
      </c>
      <c r="CF16" s="144">
        <v>44016.644652777781</v>
      </c>
      <c r="CG16" s="144">
        <v>44016.655081018522</v>
      </c>
      <c r="CH16" t="s">
        <v>8153</v>
      </c>
    </row>
    <row r="17" spans="1:86" ht="15" hidden="1" customHeight="1" x14ac:dyDescent="0.35">
      <c r="A17" t="s">
        <v>548</v>
      </c>
      <c r="B17">
        <v>1</v>
      </c>
      <c r="C17">
        <v>1</v>
      </c>
      <c r="D17" t="s">
        <v>929</v>
      </c>
      <c r="E17" t="s">
        <v>1147</v>
      </c>
      <c r="I17" t="s">
        <v>1477</v>
      </c>
      <c r="J17">
        <v>6</v>
      </c>
      <c r="L17" t="s">
        <v>1702</v>
      </c>
      <c r="M17" t="s">
        <v>1814</v>
      </c>
      <c r="O17">
        <v>5</v>
      </c>
      <c r="P17" t="s">
        <v>2010</v>
      </c>
      <c r="Q17" t="s">
        <v>2123</v>
      </c>
      <c r="R17">
        <v>6</v>
      </c>
      <c r="U17" t="s">
        <v>2479</v>
      </c>
      <c r="Y17" t="s">
        <v>2800</v>
      </c>
      <c r="AA17">
        <v>6</v>
      </c>
      <c r="AC17" t="s">
        <v>3107</v>
      </c>
      <c r="AD17">
        <v>6</v>
      </c>
      <c r="AF17" t="s">
        <v>3306</v>
      </c>
      <c r="AG17" t="s">
        <v>3388</v>
      </c>
      <c r="AK17" t="s">
        <v>3610</v>
      </c>
      <c r="AM17">
        <v>6</v>
      </c>
      <c r="AO17" t="s">
        <v>3859</v>
      </c>
      <c r="AQ17">
        <v>7</v>
      </c>
      <c r="AR17" t="s">
        <v>4088</v>
      </c>
      <c r="AS17" t="s">
        <v>4170</v>
      </c>
      <c r="AW17" t="s">
        <v>4416</v>
      </c>
      <c r="BA17" t="s">
        <v>4650</v>
      </c>
      <c r="BE17" t="s">
        <v>4908</v>
      </c>
      <c r="BG17" t="s">
        <v>4971</v>
      </c>
      <c r="BH17" t="s">
        <v>5090</v>
      </c>
      <c r="BI17" t="s">
        <v>5373</v>
      </c>
      <c r="BJ17" t="s">
        <v>5601</v>
      </c>
      <c r="BK17" t="s">
        <v>5916</v>
      </c>
      <c r="BL17" t="s">
        <v>6147</v>
      </c>
      <c r="BM17" t="s">
        <v>6332</v>
      </c>
      <c r="BN17" t="s">
        <v>6480</v>
      </c>
      <c r="BO17" t="s">
        <v>6645</v>
      </c>
      <c r="BP17" t="s">
        <v>6785</v>
      </c>
      <c r="BT17" t="s">
        <v>6896</v>
      </c>
      <c r="BU17" t="s">
        <v>7160</v>
      </c>
      <c r="BV17" t="s">
        <v>7213</v>
      </c>
      <c r="BW17" t="s">
        <v>7384</v>
      </c>
      <c r="BX17" t="s">
        <v>7543</v>
      </c>
      <c r="BZ17">
        <v>1</v>
      </c>
      <c r="CA17">
        <v>1</v>
      </c>
      <c r="CB17" t="s">
        <v>7638</v>
      </c>
      <c r="CC17" t="s">
        <v>7709</v>
      </c>
      <c r="CD17" t="s">
        <v>7785</v>
      </c>
      <c r="CE17" t="s">
        <v>7873</v>
      </c>
      <c r="CF17" s="144">
        <v>44013.712465277778</v>
      </c>
      <c r="CG17" s="144">
        <v>44013.822939814818</v>
      </c>
      <c r="CH17" t="s">
        <v>8154</v>
      </c>
    </row>
    <row r="18" spans="1:86" ht="15" customHeight="1" x14ac:dyDescent="0.35">
      <c r="A18" t="s">
        <v>549</v>
      </c>
      <c r="B18">
        <v>1</v>
      </c>
      <c r="C18">
        <v>1</v>
      </c>
      <c r="D18" t="s">
        <v>929</v>
      </c>
      <c r="E18" t="s">
        <v>1148</v>
      </c>
      <c r="F18">
        <v>7</v>
      </c>
      <c r="H18" t="s">
        <v>1351</v>
      </c>
      <c r="I18" t="s">
        <v>1478</v>
      </c>
      <c r="M18" t="s">
        <v>1815</v>
      </c>
      <c r="N18">
        <v>6</v>
      </c>
      <c r="Q18" t="s">
        <v>2124</v>
      </c>
      <c r="S18">
        <v>5</v>
      </c>
      <c r="U18" t="s">
        <v>2479</v>
      </c>
      <c r="Y18" t="s">
        <v>2801</v>
      </c>
      <c r="AC18" t="s">
        <v>3108</v>
      </c>
      <c r="AG18" t="s">
        <v>3388</v>
      </c>
      <c r="AK18" t="s">
        <v>3611</v>
      </c>
      <c r="AO18" t="s">
        <v>3860</v>
      </c>
      <c r="AS18" t="s">
        <v>4170</v>
      </c>
      <c r="AW18" t="s">
        <v>4416</v>
      </c>
      <c r="BA18" t="s">
        <v>4650</v>
      </c>
      <c r="BE18" t="s">
        <v>4909</v>
      </c>
      <c r="BF18" t="s">
        <v>4955</v>
      </c>
      <c r="BG18" t="s">
        <v>4971</v>
      </c>
      <c r="BH18" t="s">
        <v>5090</v>
      </c>
      <c r="BI18" t="s">
        <v>5374</v>
      </c>
      <c r="BJ18" t="s">
        <v>5601</v>
      </c>
      <c r="BK18" t="s">
        <v>5917</v>
      </c>
      <c r="BL18" t="s">
        <v>6147</v>
      </c>
      <c r="BM18" t="s">
        <v>6332</v>
      </c>
      <c r="BN18" t="s">
        <v>6480</v>
      </c>
      <c r="BO18" t="s">
        <v>6645</v>
      </c>
      <c r="BP18" t="s">
        <v>6785</v>
      </c>
      <c r="BT18" t="s">
        <v>6897</v>
      </c>
      <c r="BU18" t="s">
        <v>7161</v>
      </c>
      <c r="BV18" t="s">
        <v>7214</v>
      </c>
      <c r="BW18" t="s">
        <v>7384</v>
      </c>
      <c r="BX18" t="s">
        <v>7543</v>
      </c>
      <c r="BZ18">
        <v>1</v>
      </c>
      <c r="CA18">
        <v>1</v>
      </c>
      <c r="CB18" t="s">
        <v>7639</v>
      </c>
      <c r="CC18" t="s">
        <v>7709</v>
      </c>
      <c r="CD18" t="s">
        <v>7786</v>
      </c>
      <c r="CE18" t="s">
        <v>7874</v>
      </c>
      <c r="CF18" s="144">
        <v>44012.670868055553</v>
      </c>
      <c r="CG18" s="144">
        <v>44012.67696759259</v>
      </c>
      <c r="CH18" t="s">
        <v>8155</v>
      </c>
    </row>
    <row r="19" spans="1:86" ht="15" customHeight="1" x14ac:dyDescent="0.35">
      <c r="A19" t="s">
        <v>550</v>
      </c>
      <c r="B19">
        <v>1</v>
      </c>
      <c r="C19">
        <v>1</v>
      </c>
      <c r="D19" t="s">
        <v>929</v>
      </c>
      <c r="E19" t="s">
        <v>1149</v>
      </c>
      <c r="I19" t="s">
        <v>1479</v>
      </c>
      <c r="K19">
        <v>4</v>
      </c>
      <c r="L19" t="s">
        <v>1703</v>
      </c>
      <c r="M19" t="s">
        <v>1815</v>
      </c>
      <c r="N19">
        <v>6</v>
      </c>
      <c r="P19" t="s">
        <v>2011</v>
      </c>
      <c r="Q19" t="s">
        <v>2125</v>
      </c>
      <c r="U19" t="s">
        <v>2480</v>
      </c>
      <c r="V19">
        <v>7</v>
      </c>
      <c r="Y19" t="s">
        <v>2802</v>
      </c>
      <c r="Z19">
        <v>6</v>
      </c>
      <c r="AB19" t="s">
        <v>3022</v>
      </c>
      <c r="AC19" t="s">
        <v>3109</v>
      </c>
      <c r="AD19">
        <v>5</v>
      </c>
      <c r="AF19" t="s">
        <v>3307</v>
      </c>
      <c r="AG19" t="s">
        <v>3388</v>
      </c>
      <c r="AK19" t="s">
        <v>3611</v>
      </c>
      <c r="AO19" t="s">
        <v>3861</v>
      </c>
      <c r="AP19">
        <v>5</v>
      </c>
      <c r="AR19" t="s">
        <v>4089</v>
      </c>
      <c r="AS19" t="s">
        <v>4171</v>
      </c>
      <c r="AT19">
        <v>5</v>
      </c>
      <c r="AV19" t="s">
        <v>4359</v>
      </c>
      <c r="AW19" t="s">
        <v>4416</v>
      </c>
      <c r="BA19" t="s">
        <v>4651</v>
      </c>
      <c r="BC19">
        <v>5</v>
      </c>
      <c r="BD19" t="s">
        <v>4850</v>
      </c>
      <c r="BE19" t="s">
        <v>4910</v>
      </c>
      <c r="BG19" t="s">
        <v>4971</v>
      </c>
      <c r="BH19" t="s">
        <v>5090</v>
      </c>
      <c r="BI19" t="s">
        <v>5375</v>
      </c>
      <c r="BJ19" t="s">
        <v>5602</v>
      </c>
      <c r="BK19" t="s">
        <v>5918</v>
      </c>
      <c r="BL19" t="s">
        <v>6147</v>
      </c>
      <c r="BM19" t="s">
        <v>6332</v>
      </c>
      <c r="BN19" t="s">
        <v>6480</v>
      </c>
      <c r="BO19" t="s">
        <v>6645</v>
      </c>
      <c r="BP19" t="s">
        <v>6786</v>
      </c>
      <c r="BQ19" t="s">
        <v>6835</v>
      </c>
      <c r="BR19" t="s">
        <v>6851</v>
      </c>
      <c r="BS19" t="s">
        <v>6867</v>
      </c>
      <c r="BT19" t="s">
        <v>6898</v>
      </c>
      <c r="BU19" t="s">
        <v>7161</v>
      </c>
      <c r="BV19" t="s">
        <v>7214</v>
      </c>
      <c r="BW19" t="s">
        <v>7384</v>
      </c>
      <c r="BX19" t="s">
        <v>7543</v>
      </c>
      <c r="BZ19">
        <v>0</v>
      </c>
      <c r="CA19">
        <v>1</v>
      </c>
      <c r="CB19" t="s">
        <v>7639</v>
      </c>
      <c r="CD19" t="s">
        <v>7787</v>
      </c>
      <c r="CE19" t="s">
        <v>7875</v>
      </c>
      <c r="CF19" s="144">
        <v>44012.540289351855</v>
      </c>
      <c r="CG19" s="144">
        <v>44012.545543981483</v>
      </c>
      <c r="CH19" t="s">
        <v>8156</v>
      </c>
    </row>
    <row r="20" spans="1:86" ht="15" hidden="1" customHeight="1" x14ac:dyDescent="0.35">
      <c r="A20" t="s">
        <v>551</v>
      </c>
      <c r="B20">
        <v>1</v>
      </c>
      <c r="C20">
        <v>1</v>
      </c>
      <c r="D20" t="s">
        <v>929</v>
      </c>
      <c r="E20" t="s">
        <v>1150</v>
      </c>
      <c r="F20">
        <v>6</v>
      </c>
      <c r="H20" t="s">
        <v>1352</v>
      </c>
      <c r="I20" t="s">
        <v>1480</v>
      </c>
      <c r="M20" t="s">
        <v>1815</v>
      </c>
      <c r="N20">
        <v>7</v>
      </c>
      <c r="Q20" t="s">
        <v>2126</v>
      </c>
      <c r="S20">
        <v>6</v>
      </c>
      <c r="T20" t="s">
        <v>2377</v>
      </c>
      <c r="U20" t="s">
        <v>2481</v>
      </c>
      <c r="Y20" t="s">
        <v>2802</v>
      </c>
      <c r="Z20">
        <v>7</v>
      </c>
      <c r="AB20" s="22" t="s">
        <v>3023</v>
      </c>
      <c r="AC20" t="s">
        <v>3110</v>
      </c>
      <c r="AG20" t="s">
        <v>3388</v>
      </c>
      <c r="AK20" t="s">
        <v>3611</v>
      </c>
      <c r="AO20" t="s">
        <v>3862</v>
      </c>
      <c r="AS20" t="s">
        <v>4171</v>
      </c>
      <c r="AT20">
        <v>6</v>
      </c>
      <c r="AV20" t="s">
        <v>4360</v>
      </c>
      <c r="AW20" t="s">
        <v>4416</v>
      </c>
      <c r="BA20" t="s">
        <v>4651</v>
      </c>
      <c r="BC20">
        <v>7</v>
      </c>
      <c r="BE20" t="s">
        <v>4911</v>
      </c>
      <c r="BG20" t="s">
        <v>4971</v>
      </c>
      <c r="BH20" t="s">
        <v>5091</v>
      </c>
      <c r="BI20" t="s">
        <v>5375</v>
      </c>
      <c r="BJ20" t="s">
        <v>5603</v>
      </c>
      <c r="BK20" t="s">
        <v>5919</v>
      </c>
      <c r="BL20" t="s">
        <v>6148</v>
      </c>
      <c r="BM20" t="s">
        <v>6333</v>
      </c>
      <c r="BN20" t="s">
        <v>6480</v>
      </c>
      <c r="BO20" t="s">
        <v>6645</v>
      </c>
      <c r="BP20" t="s">
        <v>6787</v>
      </c>
      <c r="BT20" t="s">
        <v>6899</v>
      </c>
      <c r="BU20" t="s">
        <v>7162</v>
      </c>
      <c r="BV20" t="s">
        <v>7215</v>
      </c>
      <c r="BW20" t="s">
        <v>7385</v>
      </c>
      <c r="BX20" t="s">
        <v>7544</v>
      </c>
      <c r="BZ20">
        <v>0</v>
      </c>
      <c r="CA20">
        <v>1</v>
      </c>
      <c r="CB20" t="s">
        <v>7639</v>
      </c>
      <c r="CC20" t="s">
        <v>7710</v>
      </c>
      <c r="CD20" t="s">
        <v>7787</v>
      </c>
      <c r="CE20" t="s">
        <v>7875</v>
      </c>
      <c r="CF20" s="144">
        <v>43999.360578703701</v>
      </c>
      <c r="CG20" s="144">
        <v>43999.368344907409</v>
      </c>
      <c r="CH20" t="s">
        <v>8157</v>
      </c>
    </row>
    <row r="21" spans="1:86" ht="15" customHeight="1" x14ac:dyDescent="0.35">
      <c r="A21" t="s">
        <v>552</v>
      </c>
      <c r="B21">
        <v>1</v>
      </c>
      <c r="C21">
        <v>1</v>
      </c>
      <c r="D21" t="s">
        <v>930</v>
      </c>
      <c r="E21" t="s">
        <v>1151</v>
      </c>
      <c r="I21" t="s">
        <v>1481</v>
      </c>
      <c r="J21">
        <v>7</v>
      </c>
      <c r="L21" t="s">
        <v>1704</v>
      </c>
      <c r="M21" t="s">
        <v>1815</v>
      </c>
      <c r="N21">
        <v>6</v>
      </c>
      <c r="P21" t="s">
        <v>2012</v>
      </c>
      <c r="Q21" t="s">
        <v>2127</v>
      </c>
      <c r="R21">
        <v>6</v>
      </c>
      <c r="T21" t="s">
        <v>2378</v>
      </c>
      <c r="U21" t="s">
        <v>2482</v>
      </c>
      <c r="V21">
        <v>5</v>
      </c>
      <c r="Y21" t="s">
        <v>2803</v>
      </c>
      <c r="AC21" t="s">
        <v>3110</v>
      </c>
      <c r="AG21" t="s">
        <v>3388</v>
      </c>
      <c r="AK21" t="s">
        <v>3611</v>
      </c>
      <c r="AO21" t="s">
        <v>3862</v>
      </c>
      <c r="AS21" t="s">
        <v>4172</v>
      </c>
      <c r="AW21" t="s">
        <v>4416</v>
      </c>
      <c r="BA21" t="s">
        <v>4652</v>
      </c>
      <c r="BE21" t="s">
        <v>4912</v>
      </c>
      <c r="BG21" t="s">
        <v>4972</v>
      </c>
      <c r="BH21" t="s">
        <v>5092</v>
      </c>
      <c r="BI21" t="s">
        <v>5376</v>
      </c>
      <c r="BJ21" t="s">
        <v>5604</v>
      </c>
      <c r="BK21" t="s">
        <v>5920</v>
      </c>
      <c r="BL21" t="s">
        <v>6149</v>
      </c>
      <c r="BM21" t="s">
        <v>6333</v>
      </c>
      <c r="BN21" t="s">
        <v>6481</v>
      </c>
      <c r="BO21" t="s">
        <v>6646</v>
      </c>
      <c r="BP21" t="s">
        <v>6787</v>
      </c>
      <c r="BT21" t="s">
        <v>6900</v>
      </c>
      <c r="BU21" t="s">
        <v>7163</v>
      </c>
      <c r="BV21" t="s">
        <v>7216</v>
      </c>
      <c r="BW21" t="s">
        <v>7386</v>
      </c>
      <c r="BX21" t="s">
        <v>7545</v>
      </c>
      <c r="BZ21">
        <v>0</v>
      </c>
      <c r="CA21">
        <v>0</v>
      </c>
      <c r="CE21" t="s">
        <v>7876</v>
      </c>
      <c r="CF21" s="144">
        <v>43993.643599537034</v>
      </c>
      <c r="CG21" s="144">
        <v>43993.658668981479</v>
      </c>
      <c r="CH21" t="s">
        <v>8158</v>
      </c>
    </row>
    <row r="22" spans="1:86" ht="15" hidden="1" customHeight="1" x14ac:dyDescent="0.35">
      <c r="A22" t="s">
        <v>553</v>
      </c>
      <c r="B22">
        <v>1</v>
      </c>
      <c r="C22">
        <v>1</v>
      </c>
      <c r="D22" t="s">
        <v>931</v>
      </c>
      <c r="E22" t="s">
        <v>1151</v>
      </c>
      <c r="I22" t="s">
        <v>1481</v>
      </c>
      <c r="J22">
        <v>5</v>
      </c>
      <c r="L22" t="s">
        <v>1705</v>
      </c>
      <c r="M22" t="s">
        <v>1815</v>
      </c>
      <c r="N22">
        <v>5</v>
      </c>
      <c r="P22" t="s">
        <v>2013</v>
      </c>
      <c r="Q22" t="s">
        <v>2128</v>
      </c>
      <c r="U22" t="s">
        <v>2482</v>
      </c>
      <c r="V22">
        <v>4</v>
      </c>
      <c r="Y22" t="s">
        <v>2804</v>
      </c>
      <c r="Z22">
        <v>4</v>
      </c>
      <c r="AC22" t="s">
        <v>3110</v>
      </c>
      <c r="AG22" t="s">
        <v>3388</v>
      </c>
      <c r="AK22" t="s">
        <v>3611</v>
      </c>
      <c r="AO22" t="s">
        <v>3863</v>
      </c>
      <c r="AQ22">
        <v>6</v>
      </c>
      <c r="AS22" t="s">
        <v>4173</v>
      </c>
      <c r="AT22">
        <v>5</v>
      </c>
      <c r="AW22" t="s">
        <v>4417</v>
      </c>
      <c r="AX22">
        <v>5</v>
      </c>
      <c r="BA22" t="s">
        <v>4652</v>
      </c>
      <c r="BE22" t="s">
        <v>4913</v>
      </c>
      <c r="BG22" t="s">
        <v>4973</v>
      </c>
      <c r="BH22" t="s">
        <v>5093</v>
      </c>
      <c r="BI22" t="s">
        <v>5377</v>
      </c>
      <c r="BJ22" t="s">
        <v>5604</v>
      </c>
      <c r="BK22" t="s">
        <v>5921</v>
      </c>
      <c r="BL22" t="s">
        <v>6149</v>
      </c>
      <c r="BM22" t="s">
        <v>6334</v>
      </c>
      <c r="BN22" t="s">
        <v>6482</v>
      </c>
      <c r="BO22" t="s">
        <v>6647</v>
      </c>
      <c r="BP22" t="s">
        <v>6787</v>
      </c>
      <c r="BT22" t="s">
        <v>6901</v>
      </c>
      <c r="BU22" t="s">
        <v>7164</v>
      </c>
      <c r="BV22" t="s">
        <v>7217</v>
      </c>
      <c r="BW22" t="s">
        <v>7386</v>
      </c>
      <c r="BX22" t="s">
        <v>7546</v>
      </c>
      <c r="BZ22">
        <v>1</v>
      </c>
      <c r="CA22">
        <v>1</v>
      </c>
      <c r="CB22" t="s">
        <v>7639</v>
      </c>
      <c r="CC22" t="s">
        <v>7711</v>
      </c>
      <c r="CD22" t="s">
        <v>7787</v>
      </c>
      <c r="CE22" t="s">
        <v>7877</v>
      </c>
      <c r="CF22" s="144">
        <v>43992.592685185184</v>
      </c>
      <c r="CG22" s="144">
        <v>43992.604016203702</v>
      </c>
      <c r="CH22" t="s">
        <v>8159</v>
      </c>
    </row>
    <row r="23" spans="1:86" ht="15" customHeight="1" x14ac:dyDescent="0.35">
      <c r="A23" t="s">
        <v>554</v>
      </c>
      <c r="B23">
        <v>1</v>
      </c>
      <c r="C23">
        <v>1</v>
      </c>
      <c r="D23" t="s">
        <v>932</v>
      </c>
      <c r="E23" t="s">
        <v>1152</v>
      </c>
      <c r="F23">
        <v>5</v>
      </c>
      <c r="I23" t="s">
        <v>1481</v>
      </c>
      <c r="J23">
        <v>5</v>
      </c>
      <c r="M23" t="s">
        <v>1816</v>
      </c>
      <c r="O23">
        <v>7</v>
      </c>
      <c r="Q23" t="s">
        <v>2129</v>
      </c>
      <c r="R23">
        <v>7</v>
      </c>
      <c r="U23" t="s">
        <v>2483</v>
      </c>
      <c r="W23">
        <v>7</v>
      </c>
      <c r="Y23" t="s">
        <v>2805</v>
      </c>
      <c r="AA23">
        <v>7</v>
      </c>
      <c r="AC23" t="s">
        <v>3111</v>
      </c>
      <c r="AD23">
        <v>6</v>
      </c>
      <c r="AG23" t="s">
        <v>3389</v>
      </c>
      <c r="AI23">
        <v>5</v>
      </c>
      <c r="AK23" t="s">
        <v>3612</v>
      </c>
      <c r="AM23">
        <v>5</v>
      </c>
      <c r="AO23" t="s">
        <v>3864</v>
      </c>
      <c r="AP23">
        <v>6</v>
      </c>
      <c r="AS23" t="s">
        <v>4173</v>
      </c>
      <c r="AT23">
        <v>6</v>
      </c>
      <c r="AW23" t="s">
        <v>4418</v>
      </c>
      <c r="AY23">
        <v>6</v>
      </c>
      <c r="BA23" t="s">
        <v>4653</v>
      </c>
      <c r="BC23">
        <v>7</v>
      </c>
      <c r="BE23" t="s">
        <v>4913</v>
      </c>
      <c r="BG23" t="s">
        <v>4973</v>
      </c>
      <c r="BH23" t="s">
        <v>5094</v>
      </c>
      <c r="BI23" t="s">
        <v>5377</v>
      </c>
      <c r="BJ23" t="s">
        <v>5605</v>
      </c>
      <c r="BK23" t="s">
        <v>5922</v>
      </c>
      <c r="BL23" t="s">
        <v>6149</v>
      </c>
      <c r="BM23" t="s">
        <v>6334</v>
      </c>
      <c r="BN23" t="s">
        <v>6482</v>
      </c>
      <c r="BO23" t="s">
        <v>6647</v>
      </c>
      <c r="BP23" t="s">
        <v>6787</v>
      </c>
      <c r="BT23" t="s">
        <v>6902</v>
      </c>
      <c r="BU23" t="s">
        <v>7165</v>
      </c>
      <c r="BV23" t="s">
        <v>7218</v>
      </c>
      <c r="BW23" t="s">
        <v>7386</v>
      </c>
      <c r="BX23" t="s">
        <v>7547</v>
      </c>
      <c r="BZ23">
        <v>0</v>
      </c>
      <c r="CA23">
        <v>0</v>
      </c>
      <c r="CE23" t="s">
        <v>7878</v>
      </c>
      <c r="CF23" s="144">
        <v>43986.620347222219</v>
      </c>
      <c r="CG23" s="144">
        <v>43986.631874999999</v>
      </c>
      <c r="CH23" t="s">
        <v>8160</v>
      </c>
    </row>
    <row r="24" spans="1:86" ht="15" hidden="1" customHeight="1" x14ac:dyDescent="0.35">
      <c r="A24" t="s">
        <v>555</v>
      </c>
      <c r="B24">
        <v>1</v>
      </c>
      <c r="C24">
        <v>1</v>
      </c>
      <c r="D24" t="s">
        <v>933</v>
      </c>
      <c r="E24" t="s">
        <v>1153</v>
      </c>
      <c r="I24" t="s">
        <v>1482</v>
      </c>
      <c r="M24" t="s">
        <v>1817</v>
      </c>
      <c r="Q24" t="s">
        <v>2130</v>
      </c>
      <c r="U24" t="s">
        <v>2484</v>
      </c>
      <c r="Y24" t="s">
        <v>2806</v>
      </c>
      <c r="AC24" t="s">
        <v>3111</v>
      </c>
      <c r="AD24">
        <v>8</v>
      </c>
      <c r="AF24" t="s">
        <v>3308</v>
      </c>
      <c r="AG24" t="s">
        <v>3390</v>
      </c>
      <c r="AK24" t="s">
        <v>3613</v>
      </c>
      <c r="AO24" t="s">
        <v>3865</v>
      </c>
      <c r="AQ24">
        <v>6</v>
      </c>
      <c r="AR24" t="s">
        <v>4090</v>
      </c>
      <c r="AS24" t="s">
        <v>4174</v>
      </c>
      <c r="AW24" t="s">
        <v>4419</v>
      </c>
      <c r="BA24" t="s">
        <v>4654</v>
      </c>
      <c r="BE24" t="s">
        <v>4914</v>
      </c>
      <c r="BG24" t="s">
        <v>4973</v>
      </c>
      <c r="BH24" t="s">
        <v>5095</v>
      </c>
      <c r="BI24" t="s">
        <v>5377</v>
      </c>
      <c r="BJ24" t="s">
        <v>5606</v>
      </c>
      <c r="BK24" t="s">
        <v>5923</v>
      </c>
      <c r="BL24" t="s">
        <v>6149</v>
      </c>
      <c r="BM24" t="s">
        <v>6334</v>
      </c>
      <c r="BN24" t="s">
        <v>6483</v>
      </c>
      <c r="BP24" t="s">
        <v>6788</v>
      </c>
      <c r="BQ24" t="s">
        <v>6836</v>
      </c>
      <c r="BR24" t="s">
        <v>6852</v>
      </c>
      <c r="BS24" t="s">
        <v>6868</v>
      </c>
      <c r="BT24" t="s">
        <v>6903</v>
      </c>
      <c r="BU24" t="s">
        <v>7165</v>
      </c>
      <c r="BV24" t="s">
        <v>7219</v>
      </c>
      <c r="BW24" t="s">
        <v>7387</v>
      </c>
      <c r="BX24" t="s">
        <v>7548</v>
      </c>
      <c r="BZ24">
        <v>0</v>
      </c>
      <c r="CA24">
        <v>0</v>
      </c>
      <c r="CE24" t="s">
        <v>7879</v>
      </c>
      <c r="CF24" s="144">
        <v>43978.675810185188</v>
      </c>
      <c r="CG24" s="144">
        <v>43978.682453703703</v>
      </c>
      <c r="CH24" t="s">
        <v>8161</v>
      </c>
    </row>
    <row r="25" spans="1:86" ht="15" customHeight="1" x14ac:dyDescent="0.35">
      <c r="A25" t="s">
        <v>556</v>
      </c>
      <c r="B25">
        <v>1</v>
      </c>
      <c r="C25">
        <v>1</v>
      </c>
      <c r="D25" t="s">
        <v>933</v>
      </c>
      <c r="E25" t="s">
        <v>1154</v>
      </c>
      <c r="F25">
        <v>6</v>
      </c>
      <c r="H25" t="s">
        <v>1353</v>
      </c>
      <c r="I25" t="s">
        <v>1482</v>
      </c>
      <c r="M25" t="s">
        <v>1817</v>
      </c>
      <c r="Q25" t="s">
        <v>2130</v>
      </c>
      <c r="U25" t="s">
        <v>2484</v>
      </c>
      <c r="Y25" t="s">
        <v>2806</v>
      </c>
      <c r="AC25" t="s">
        <v>3112</v>
      </c>
      <c r="AG25" t="s">
        <v>3390</v>
      </c>
      <c r="AK25" t="s">
        <v>3613</v>
      </c>
      <c r="AO25" t="s">
        <v>3866</v>
      </c>
      <c r="AS25" t="s">
        <v>4175</v>
      </c>
      <c r="AT25">
        <v>6</v>
      </c>
      <c r="AV25" t="s">
        <v>4361</v>
      </c>
      <c r="AW25" t="s">
        <v>4420</v>
      </c>
      <c r="AY25">
        <v>7</v>
      </c>
      <c r="AZ25" t="s">
        <v>4600</v>
      </c>
      <c r="BA25" t="s">
        <v>4655</v>
      </c>
      <c r="BC25">
        <v>7</v>
      </c>
      <c r="BD25" t="s">
        <v>4851</v>
      </c>
      <c r="BE25" t="s">
        <v>4915</v>
      </c>
      <c r="BG25" t="s">
        <v>4974</v>
      </c>
      <c r="BH25" t="s">
        <v>5096</v>
      </c>
      <c r="BI25" t="s">
        <v>5377</v>
      </c>
      <c r="BJ25" t="s">
        <v>5607</v>
      </c>
      <c r="BK25" t="s">
        <v>5923</v>
      </c>
      <c r="BL25" t="s">
        <v>6149</v>
      </c>
      <c r="BM25" t="s">
        <v>6334</v>
      </c>
      <c r="BN25" t="s">
        <v>6484</v>
      </c>
      <c r="BO25" t="s">
        <v>6647</v>
      </c>
      <c r="BP25" t="s">
        <v>6788</v>
      </c>
      <c r="BQ25" t="s">
        <v>6837</v>
      </c>
      <c r="BR25" t="s">
        <v>6853</v>
      </c>
      <c r="BS25" t="s">
        <v>6869</v>
      </c>
      <c r="BT25" t="s">
        <v>6904</v>
      </c>
      <c r="BU25" t="s">
        <v>7165</v>
      </c>
      <c r="BV25" t="s">
        <v>7220</v>
      </c>
      <c r="BW25" t="s">
        <v>7388</v>
      </c>
      <c r="BX25" t="s">
        <v>7549</v>
      </c>
      <c r="BZ25">
        <v>0</v>
      </c>
      <c r="CA25">
        <v>0</v>
      </c>
      <c r="CE25" t="s">
        <v>7880</v>
      </c>
      <c r="CF25" s="144">
        <v>43959.372835648152</v>
      </c>
      <c r="CG25" s="144">
        <v>43959.379965277774</v>
      </c>
      <c r="CH25" t="s">
        <v>8162</v>
      </c>
    </row>
    <row r="26" spans="1:86" ht="15" customHeight="1" x14ac:dyDescent="0.35">
      <c r="A26" t="s">
        <v>557</v>
      </c>
      <c r="B26">
        <v>1</v>
      </c>
      <c r="C26">
        <v>1</v>
      </c>
      <c r="D26" t="s">
        <v>934</v>
      </c>
      <c r="E26" t="s">
        <v>1154</v>
      </c>
      <c r="F26">
        <v>7</v>
      </c>
      <c r="I26" t="s">
        <v>1483</v>
      </c>
      <c r="K26">
        <v>6</v>
      </c>
      <c r="M26" t="s">
        <v>1817</v>
      </c>
      <c r="Q26" t="s">
        <v>2131</v>
      </c>
      <c r="U26" t="s">
        <v>2484</v>
      </c>
      <c r="Y26" t="s">
        <v>2806</v>
      </c>
      <c r="AC26" t="s">
        <v>3112</v>
      </c>
      <c r="AG26" t="s">
        <v>3390</v>
      </c>
      <c r="AK26" t="s">
        <v>3613</v>
      </c>
      <c r="AO26" t="s">
        <v>3866</v>
      </c>
      <c r="AS26" t="s">
        <v>4176</v>
      </c>
      <c r="AW26" t="s">
        <v>4421</v>
      </c>
      <c r="BA26" t="s">
        <v>4656</v>
      </c>
      <c r="BE26" t="s">
        <v>4916</v>
      </c>
      <c r="BG26" t="s">
        <v>4975</v>
      </c>
      <c r="BH26" t="s">
        <v>5097</v>
      </c>
      <c r="BI26" t="s">
        <v>5378</v>
      </c>
      <c r="BJ26" t="s">
        <v>5608</v>
      </c>
      <c r="BK26" t="s">
        <v>5924</v>
      </c>
      <c r="BL26" t="s">
        <v>6150</v>
      </c>
      <c r="BM26" t="s">
        <v>6334</v>
      </c>
      <c r="BN26" t="s">
        <v>6485</v>
      </c>
      <c r="BO26" t="s">
        <v>6647</v>
      </c>
      <c r="BP26" t="s">
        <v>6789</v>
      </c>
      <c r="BT26" t="s">
        <v>6905</v>
      </c>
      <c r="BU26" t="s">
        <v>7165</v>
      </c>
      <c r="BV26" t="s">
        <v>7221</v>
      </c>
      <c r="BW26" t="s">
        <v>7388</v>
      </c>
      <c r="BX26" t="s">
        <v>7549</v>
      </c>
      <c r="BZ26">
        <v>0</v>
      </c>
      <c r="CA26">
        <v>1</v>
      </c>
      <c r="CB26" t="s">
        <v>7639</v>
      </c>
      <c r="CC26" t="s">
        <v>7711</v>
      </c>
      <c r="CD26" t="s">
        <v>7788</v>
      </c>
      <c r="CE26" t="s">
        <v>7880</v>
      </c>
      <c r="CF26" s="144">
        <v>43948.875914351855</v>
      </c>
      <c r="CG26" s="144">
        <v>43948.885347222225</v>
      </c>
      <c r="CH26" t="s">
        <v>8163</v>
      </c>
    </row>
    <row r="27" spans="1:86" ht="15" customHeight="1" x14ac:dyDescent="0.35">
      <c r="A27" t="s">
        <v>558</v>
      </c>
      <c r="B27">
        <v>1</v>
      </c>
      <c r="C27">
        <v>1</v>
      </c>
      <c r="D27" t="s">
        <v>935</v>
      </c>
      <c r="E27" t="s">
        <v>1154</v>
      </c>
      <c r="F27">
        <v>7</v>
      </c>
      <c r="H27" t="s">
        <v>1354</v>
      </c>
      <c r="I27" t="s">
        <v>1484</v>
      </c>
      <c r="M27" t="s">
        <v>1817</v>
      </c>
      <c r="Q27" t="s">
        <v>2131</v>
      </c>
      <c r="S27">
        <v>6</v>
      </c>
      <c r="T27" t="s">
        <v>2379</v>
      </c>
      <c r="U27" t="s">
        <v>2484</v>
      </c>
      <c r="Y27" t="s">
        <v>2806</v>
      </c>
      <c r="AC27" t="s">
        <v>3113</v>
      </c>
      <c r="AD27">
        <v>5</v>
      </c>
      <c r="AG27" t="s">
        <v>3390</v>
      </c>
      <c r="AK27" t="s">
        <v>3613</v>
      </c>
      <c r="AO27" t="s">
        <v>3866</v>
      </c>
      <c r="AS27" t="s">
        <v>4177</v>
      </c>
      <c r="AT27">
        <v>5</v>
      </c>
      <c r="AV27" t="s">
        <v>4362</v>
      </c>
      <c r="AW27" t="s">
        <v>4422</v>
      </c>
      <c r="AY27">
        <v>6</v>
      </c>
      <c r="AZ27" t="s">
        <v>4601</v>
      </c>
      <c r="BA27" t="s">
        <v>4657</v>
      </c>
      <c r="BC27">
        <v>6</v>
      </c>
      <c r="BE27" t="s">
        <v>4917</v>
      </c>
      <c r="BF27" t="s">
        <v>4956</v>
      </c>
      <c r="BG27" t="s">
        <v>4975</v>
      </c>
      <c r="BH27" t="s">
        <v>5098</v>
      </c>
      <c r="BI27" t="s">
        <v>5378</v>
      </c>
      <c r="BJ27" t="s">
        <v>5609</v>
      </c>
      <c r="BK27" t="s">
        <v>5924</v>
      </c>
      <c r="BL27" t="s">
        <v>6151</v>
      </c>
      <c r="BM27" t="s">
        <v>6334</v>
      </c>
      <c r="BN27" t="s">
        <v>6486</v>
      </c>
      <c r="BO27" t="s">
        <v>6648</v>
      </c>
      <c r="BP27" t="s">
        <v>6789</v>
      </c>
      <c r="BT27" t="s">
        <v>6906</v>
      </c>
      <c r="BU27" t="s">
        <v>7165</v>
      </c>
      <c r="BV27" t="s">
        <v>7222</v>
      </c>
      <c r="BW27" t="s">
        <v>7388</v>
      </c>
      <c r="BX27" t="s">
        <v>7549</v>
      </c>
      <c r="BZ27">
        <v>0</v>
      </c>
      <c r="CA27">
        <v>0</v>
      </c>
      <c r="CE27" t="s">
        <v>7881</v>
      </c>
      <c r="CF27" s="144">
        <v>43947.838761574072</v>
      </c>
      <c r="CG27" s="144">
        <v>43947.848506944443</v>
      </c>
      <c r="CH27" t="s">
        <v>8164</v>
      </c>
    </row>
    <row r="28" spans="1:86" ht="15" customHeight="1" x14ac:dyDescent="0.35">
      <c r="A28" t="s">
        <v>559</v>
      </c>
      <c r="B28">
        <v>1</v>
      </c>
      <c r="C28">
        <v>1</v>
      </c>
      <c r="D28" t="s">
        <v>936</v>
      </c>
      <c r="E28" t="s">
        <v>1154</v>
      </c>
      <c r="F28">
        <v>8</v>
      </c>
      <c r="I28" t="s">
        <v>1485</v>
      </c>
      <c r="J28">
        <v>5</v>
      </c>
      <c r="M28" t="s">
        <v>1818</v>
      </c>
      <c r="N28">
        <v>6</v>
      </c>
      <c r="Q28" t="s">
        <v>2132</v>
      </c>
      <c r="U28" t="s">
        <v>2484</v>
      </c>
      <c r="Y28" t="s">
        <v>2807</v>
      </c>
      <c r="Z28">
        <v>6</v>
      </c>
      <c r="AC28" t="s">
        <v>3114</v>
      </c>
      <c r="AE28">
        <v>5</v>
      </c>
      <c r="AG28" t="s">
        <v>3391</v>
      </c>
      <c r="AH28">
        <v>6</v>
      </c>
      <c r="AK28" t="s">
        <v>3614</v>
      </c>
      <c r="AL28">
        <v>8</v>
      </c>
      <c r="AO28" t="s">
        <v>3867</v>
      </c>
      <c r="AQ28">
        <v>5</v>
      </c>
      <c r="BE28" t="s">
        <v>4918</v>
      </c>
      <c r="BG28" t="s">
        <v>4975</v>
      </c>
      <c r="BH28" t="s">
        <v>5099</v>
      </c>
      <c r="BI28" t="s">
        <v>5379</v>
      </c>
      <c r="BJ28" t="s">
        <v>5610</v>
      </c>
      <c r="BK28" t="s">
        <v>5924</v>
      </c>
      <c r="BL28" t="s">
        <v>6152</v>
      </c>
      <c r="BM28" t="s">
        <v>6335</v>
      </c>
      <c r="BN28" t="s">
        <v>6487</v>
      </c>
      <c r="BO28" t="s">
        <v>6649</v>
      </c>
      <c r="BP28" t="s">
        <v>6789</v>
      </c>
      <c r="BT28" t="s">
        <v>6907</v>
      </c>
      <c r="BU28" t="s">
        <v>7165</v>
      </c>
      <c r="BV28" t="s">
        <v>7223</v>
      </c>
      <c r="BW28" t="s">
        <v>7388</v>
      </c>
      <c r="BX28" t="s">
        <v>7549</v>
      </c>
      <c r="BZ28">
        <v>1</v>
      </c>
      <c r="CA28">
        <v>0</v>
      </c>
      <c r="CE28" t="s">
        <v>7882</v>
      </c>
      <c r="CF28" s="144">
        <v>43944.535173611112</v>
      </c>
      <c r="CG28" s="144">
        <v>43944.544583333336</v>
      </c>
      <c r="CH28" t="s">
        <v>8165</v>
      </c>
    </row>
    <row r="29" spans="1:86" ht="15" hidden="1" customHeight="1" x14ac:dyDescent="0.35">
      <c r="A29" t="s">
        <v>560</v>
      </c>
      <c r="B29">
        <v>1</v>
      </c>
      <c r="C29">
        <v>1</v>
      </c>
      <c r="D29" t="s">
        <v>937</v>
      </c>
      <c r="E29" t="s">
        <v>1155</v>
      </c>
      <c r="I29" t="s">
        <v>1486</v>
      </c>
      <c r="M29" t="s">
        <v>1818</v>
      </c>
      <c r="N29">
        <v>7</v>
      </c>
      <c r="P29" t="s">
        <v>2014</v>
      </c>
      <c r="Q29" t="s">
        <v>2132</v>
      </c>
      <c r="U29" t="s">
        <v>2484</v>
      </c>
      <c r="Y29" t="s">
        <v>2807</v>
      </c>
      <c r="Z29">
        <v>8</v>
      </c>
      <c r="AB29" t="s">
        <v>3024</v>
      </c>
      <c r="AC29" t="s">
        <v>3115</v>
      </c>
      <c r="AG29" t="s">
        <v>3392</v>
      </c>
      <c r="AK29" t="s">
        <v>3615</v>
      </c>
      <c r="AO29" t="s">
        <v>3868</v>
      </c>
      <c r="AP29">
        <v>6</v>
      </c>
      <c r="AR29" t="s">
        <v>4091</v>
      </c>
      <c r="AS29" t="s">
        <v>4177</v>
      </c>
      <c r="AT29">
        <v>7</v>
      </c>
      <c r="AV29" t="s">
        <v>4363</v>
      </c>
      <c r="AW29" t="s">
        <v>4423</v>
      </c>
      <c r="BA29" t="s">
        <v>4658</v>
      </c>
      <c r="BE29" t="s">
        <v>4919</v>
      </c>
      <c r="BF29" t="s">
        <v>4957</v>
      </c>
      <c r="BG29" t="s">
        <v>4975</v>
      </c>
      <c r="BH29" t="s">
        <v>5100</v>
      </c>
      <c r="BI29" t="s">
        <v>5380</v>
      </c>
      <c r="BJ29" t="s">
        <v>5611</v>
      </c>
      <c r="BK29" t="s">
        <v>5925</v>
      </c>
      <c r="BL29" t="s">
        <v>6153</v>
      </c>
      <c r="BM29" t="s">
        <v>6336</v>
      </c>
      <c r="BN29" t="s">
        <v>6488</v>
      </c>
      <c r="BO29" t="s">
        <v>6649</v>
      </c>
      <c r="BP29" t="s">
        <v>6789</v>
      </c>
      <c r="BT29" t="s">
        <v>6908</v>
      </c>
      <c r="BU29" t="s">
        <v>7166</v>
      </c>
      <c r="BV29" t="s">
        <v>7223</v>
      </c>
      <c r="BW29" t="s">
        <v>7388</v>
      </c>
      <c r="BX29" t="s">
        <v>7549</v>
      </c>
      <c r="BZ29">
        <v>1</v>
      </c>
      <c r="CA29">
        <v>0</v>
      </c>
      <c r="CE29" t="s">
        <v>7883</v>
      </c>
      <c r="CF29" s="144">
        <v>43943.835023148145</v>
      </c>
      <c r="CG29" s="144">
        <v>43943.840844907405</v>
      </c>
      <c r="CH29" t="s">
        <v>8166</v>
      </c>
    </row>
    <row r="30" spans="1:86" ht="15" hidden="1" customHeight="1" x14ac:dyDescent="0.35">
      <c r="A30" t="s">
        <v>561</v>
      </c>
      <c r="B30">
        <v>1</v>
      </c>
      <c r="C30">
        <v>1</v>
      </c>
      <c r="D30" t="s">
        <v>938</v>
      </c>
      <c r="E30" t="s">
        <v>1155</v>
      </c>
      <c r="I30" t="s">
        <v>1486</v>
      </c>
      <c r="M30" t="s">
        <v>1818</v>
      </c>
      <c r="N30">
        <v>5</v>
      </c>
      <c r="Q30" t="s">
        <v>2132</v>
      </c>
      <c r="U30" t="s">
        <v>2484</v>
      </c>
      <c r="Y30" t="s">
        <v>2808</v>
      </c>
      <c r="AA30">
        <v>6</v>
      </c>
      <c r="AC30" t="s">
        <v>3115</v>
      </c>
      <c r="AG30" t="s">
        <v>3392</v>
      </c>
      <c r="AK30" t="s">
        <v>3615</v>
      </c>
      <c r="AO30" t="s">
        <v>3869</v>
      </c>
      <c r="AS30" t="s">
        <v>4177</v>
      </c>
      <c r="AT30">
        <v>5</v>
      </c>
      <c r="AW30" t="s">
        <v>4424</v>
      </c>
      <c r="AX30">
        <v>5</v>
      </c>
      <c r="BA30" t="s">
        <v>4659</v>
      </c>
      <c r="BC30">
        <v>5</v>
      </c>
      <c r="BE30" t="s">
        <v>4920</v>
      </c>
      <c r="BG30" t="s">
        <v>4975</v>
      </c>
      <c r="BH30" t="s">
        <v>5101</v>
      </c>
      <c r="BI30" t="s">
        <v>5381</v>
      </c>
      <c r="BJ30" t="s">
        <v>5612</v>
      </c>
      <c r="BK30" t="s">
        <v>5926</v>
      </c>
      <c r="BL30" t="s">
        <v>6153</v>
      </c>
      <c r="BM30" t="s">
        <v>6336</v>
      </c>
      <c r="BN30" t="s">
        <v>6488</v>
      </c>
      <c r="BO30" t="s">
        <v>6649</v>
      </c>
      <c r="BP30" t="s">
        <v>6789</v>
      </c>
      <c r="BT30" t="s">
        <v>6909</v>
      </c>
      <c r="BU30" t="s">
        <v>7167</v>
      </c>
      <c r="BV30" t="s">
        <v>7224</v>
      </c>
      <c r="BW30" t="s">
        <v>7388</v>
      </c>
      <c r="BX30" t="s">
        <v>7549</v>
      </c>
      <c r="BZ30">
        <v>0</v>
      </c>
      <c r="CA30">
        <v>0</v>
      </c>
      <c r="CE30" t="s">
        <v>7884</v>
      </c>
      <c r="CF30" s="144">
        <v>43942.358912037038</v>
      </c>
      <c r="CG30" s="144">
        <v>43942.366307870368</v>
      </c>
      <c r="CH30" t="s">
        <v>8167</v>
      </c>
    </row>
    <row r="31" spans="1:86" ht="15" customHeight="1" x14ac:dyDescent="0.35">
      <c r="A31" t="s">
        <v>562</v>
      </c>
      <c r="B31">
        <v>1</v>
      </c>
      <c r="C31">
        <v>1</v>
      </c>
      <c r="D31" t="s">
        <v>938</v>
      </c>
      <c r="E31" t="s">
        <v>1155</v>
      </c>
      <c r="I31" t="s">
        <v>1487</v>
      </c>
      <c r="K31">
        <v>4</v>
      </c>
      <c r="L31" t="s">
        <v>1706</v>
      </c>
      <c r="M31" t="s">
        <v>1818</v>
      </c>
      <c r="N31">
        <v>6</v>
      </c>
      <c r="Q31" t="s">
        <v>2133</v>
      </c>
      <c r="S31">
        <v>4</v>
      </c>
      <c r="U31" t="s">
        <v>2485</v>
      </c>
      <c r="V31">
        <v>6</v>
      </c>
      <c r="Y31" t="s">
        <v>2809</v>
      </c>
      <c r="Z31">
        <v>8</v>
      </c>
      <c r="AC31" t="s">
        <v>3116</v>
      </c>
      <c r="AD31">
        <v>3</v>
      </c>
      <c r="AF31" t="s">
        <v>3309</v>
      </c>
      <c r="AG31" t="s">
        <v>3392</v>
      </c>
      <c r="AK31" t="s">
        <v>3615</v>
      </c>
      <c r="AO31" t="s">
        <v>3870</v>
      </c>
      <c r="AQ31">
        <v>2</v>
      </c>
      <c r="AS31" t="s">
        <v>4177</v>
      </c>
      <c r="AT31">
        <v>6</v>
      </c>
      <c r="AV31" t="s">
        <v>4364</v>
      </c>
      <c r="AW31" t="s">
        <v>4424</v>
      </c>
      <c r="AX31">
        <v>3</v>
      </c>
      <c r="AZ31" t="s">
        <v>4602</v>
      </c>
      <c r="BA31" t="s">
        <v>4659</v>
      </c>
      <c r="BC31">
        <v>3</v>
      </c>
      <c r="BE31" t="s">
        <v>4921</v>
      </c>
      <c r="BF31" t="s">
        <v>4958</v>
      </c>
      <c r="BG31" t="s">
        <v>4975</v>
      </c>
      <c r="BH31" t="s">
        <v>5102</v>
      </c>
      <c r="BI31" t="s">
        <v>5382</v>
      </c>
      <c r="BJ31" t="s">
        <v>5613</v>
      </c>
      <c r="BK31" t="s">
        <v>5926</v>
      </c>
      <c r="BL31" t="s">
        <v>6153</v>
      </c>
      <c r="BM31" t="s">
        <v>6336</v>
      </c>
      <c r="BN31" t="s">
        <v>6488</v>
      </c>
      <c r="BO31" t="s">
        <v>6650</v>
      </c>
      <c r="BP31" t="s">
        <v>6789</v>
      </c>
      <c r="BT31" t="s">
        <v>6910</v>
      </c>
      <c r="BU31" t="s">
        <v>7168</v>
      </c>
      <c r="BV31" t="s">
        <v>7225</v>
      </c>
      <c r="BW31" t="s">
        <v>7388</v>
      </c>
      <c r="BX31" t="s">
        <v>7550</v>
      </c>
      <c r="BZ31">
        <v>0</v>
      </c>
      <c r="CA31">
        <v>0</v>
      </c>
      <c r="CE31" t="s">
        <v>7885</v>
      </c>
      <c r="CF31" s="144">
        <v>43930.142592592594</v>
      </c>
      <c r="CG31" s="144">
        <v>43930.150787037041</v>
      </c>
      <c r="CH31" t="s">
        <v>8168</v>
      </c>
    </row>
    <row r="32" spans="1:86" ht="15" customHeight="1" x14ac:dyDescent="0.35">
      <c r="A32" t="s">
        <v>563</v>
      </c>
      <c r="B32">
        <v>1</v>
      </c>
      <c r="C32">
        <v>1</v>
      </c>
      <c r="D32" t="s">
        <v>939</v>
      </c>
      <c r="E32" t="s">
        <v>1155</v>
      </c>
      <c r="I32" t="s">
        <v>1488</v>
      </c>
      <c r="M32" t="s">
        <v>1819</v>
      </c>
      <c r="Q32" t="s">
        <v>2134</v>
      </c>
      <c r="U32" t="s">
        <v>2486</v>
      </c>
      <c r="Y32" t="s">
        <v>2810</v>
      </c>
      <c r="AC32" t="s">
        <v>3116</v>
      </c>
      <c r="AD32">
        <v>5</v>
      </c>
      <c r="AF32" t="s">
        <v>3310</v>
      </c>
      <c r="AG32" t="s">
        <v>3392</v>
      </c>
      <c r="AK32" t="s">
        <v>3616</v>
      </c>
      <c r="AM32">
        <v>5</v>
      </c>
      <c r="AN32" t="s">
        <v>3802</v>
      </c>
      <c r="AO32" t="s">
        <v>3871</v>
      </c>
      <c r="AP32">
        <v>8</v>
      </c>
      <c r="AR32" t="s">
        <v>4092</v>
      </c>
      <c r="BE32" t="s">
        <v>4922</v>
      </c>
      <c r="BG32" t="s">
        <v>4975</v>
      </c>
      <c r="BH32" t="s">
        <v>5103</v>
      </c>
      <c r="BI32" t="s">
        <v>5383</v>
      </c>
      <c r="BJ32" t="s">
        <v>5614</v>
      </c>
      <c r="BK32" t="s">
        <v>5927</v>
      </c>
      <c r="BL32" t="s">
        <v>6154</v>
      </c>
      <c r="BM32" t="s">
        <v>6337</v>
      </c>
      <c r="BN32" t="s">
        <v>6489</v>
      </c>
      <c r="BO32" t="s">
        <v>6651</v>
      </c>
      <c r="BP32" t="s">
        <v>6789</v>
      </c>
      <c r="BT32" t="s">
        <v>6911</v>
      </c>
      <c r="BU32" t="s">
        <v>7168</v>
      </c>
      <c r="BV32" t="s">
        <v>7225</v>
      </c>
      <c r="BW32" t="s">
        <v>7388</v>
      </c>
      <c r="BX32" t="s">
        <v>7551</v>
      </c>
      <c r="BZ32">
        <v>1</v>
      </c>
      <c r="CA32">
        <v>0</v>
      </c>
      <c r="CE32" t="s">
        <v>7886</v>
      </c>
      <c r="CF32" s="144">
        <v>43923.233263888891</v>
      </c>
      <c r="CG32" s="144">
        <v>43923.240949074076</v>
      </c>
      <c r="CH32" t="s">
        <v>8169</v>
      </c>
    </row>
    <row r="33" spans="1:86" ht="15" hidden="1" customHeight="1" x14ac:dyDescent="0.35">
      <c r="A33" t="s">
        <v>564</v>
      </c>
      <c r="B33">
        <v>1</v>
      </c>
      <c r="C33">
        <v>1</v>
      </c>
      <c r="D33" t="s">
        <v>940</v>
      </c>
      <c r="E33" t="s">
        <v>1156</v>
      </c>
      <c r="F33">
        <v>4</v>
      </c>
      <c r="H33" t="s">
        <v>1355</v>
      </c>
      <c r="I33" t="s">
        <v>1489</v>
      </c>
      <c r="K33">
        <v>7</v>
      </c>
      <c r="L33" t="s">
        <v>1707</v>
      </c>
      <c r="M33" t="s">
        <v>1820</v>
      </c>
      <c r="N33">
        <v>1</v>
      </c>
      <c r="Q33" t="s">
        <v>2135</v>
      </c>
      <c r="S33">
        <v>7</v>
      </c>
      <c r="T33" t="s">
        <v>2380</v>
      </c>
      <c r="U33" t="s">
        <v>2486</v>
      </c>
      <c r="Y33" t="s">
        <v>2811</v>
      </c>
      <c r="Z33">
        <v>7</v>
      </c>
      <c r="AC33" t="s">
        <v>3116</v>
      </c>
      <c r="AD33">
        <v>7</v>
      </c>
      <c r="AF33" t="s">
        <v>3311</v>
      </c>
      <c r="AG33" t="s">
        <v>3392</v>
      </c>
      <c r="AK33" t="s">
        <v>3616</v>
      </c>
      <c r="AM33">
        <v>6</v>
      </c>
      <c r="AO33" t="s">
        <v>3872</v>
      </c>
      <c r="AS33" t="s">
        <v>4178</v>
      </c>
      <c r="AW33" t="s">
        <v>4424</v>
      </c>
      <c r="AX33">
        <v>6</v>
      </c>
      <c r="BA33" t="s">
        <v>4660</v>
      </c>
      <c r="BE33" t="s">
        <v>4923</v>
      </c>
      <c r="BF33" t="s">
        <v>4959</v>
      </c>
      <c r="BG33" t="s">
        <v>4975</v>
      </c>
      <c r="BH33" t="s">
        <v>5104</v>
      </c>
      <c r="BI33" t="s">
        <v>5384</v>
      </c>
      <c r="BJ33" t="s">
        <v>5615</v>
      </c>
      <c r="BK33" t="s">
        <v>5928</v>
      </c>
      <c r="BL33" t="s">
        <v>6155</v>
      </c>
      <c r="BM33" t="s">
        <v>6338</v>
      </c>
      <c r="BN33" t="s">
        <v>6490</v>
      </c>
      <c r="BO33" t="s">
        <v>6652</v>
      </c>
      <c r="BP33" t="s">
        <v>6790</v>
      </c>
      <c r="BQ33" t="s">
        <v>6838</v>
      </c>
      <c r="BR33" t="s">
        <v>6853</v>
      </c>
      <c r="BS33" t="s">
        <v>6870</v>
      </c>
      <c r="BT33" t="s">
        <v>6912</v>
      </c>
      <c r="BU33" t="s">
        <v>7168</v>
      </c>
      <c r="BV33" t="s">
        <v>7225</v>
      </c>
      <c r="BW33" t="s">
        <v>7389</v>
      </c>
      <c r="BX33" t="s">
        <v>7552</v>
      </c>
      <c r="BZ33">
        <v>1</v>
      </c>
      <c r="CA33">
        <v>0</v>
      </c>
      <c r="CE33" t="s">
        <v>7887</v>
      </c>
      <c r="CF33" s="144">
        <v>43923.182060185187</v>
      </c>
      <c r="CG33" s="144">
        <v>43923.190648148149</v>
      </c>
      <c r="CH33" t="s">
        <v>8170</v>
      </c>
    </row>
    <row r="34" spans="1:86" ht="15" hidden="1" customHeight="1" x14ac:dyDescent="0.35">
      <c r="A34" t="s">
        <v>565</v>
      </c>
      <c r="B34">
        <v>1</v>
      </c>
      <c r="C34">
        <v>1</v>
      </c>
      <c r="D34" t="s">
        <v>941</v>
      </c>
      <c r="E34" t="s">
        <v>1156</v>
      </c>
      <c r="F34">
        <v>8</v>
      </c>
      <c r="I34" t="s">
        <v>1490</v>
      </c>
      <c r="J34">
        <v>7</v>
      </c>
      <c r="M34" t="s">
        <v>1820</v>
      </c>
      <c r="N34">
        <v>6</v>
      </c>
      <c r="Q34" t="s">
        <v>2136</v>
      </c>
      <c r="U34" t="s">
        <v>2487</v>
      </c>
      <c r="W34">
        <v>6</v>
      </c>
      <c r="Y34" t="s">
        <v>2812</v>
      </c>
      <c r="AA34">
        <v>7</v>
      </c>
      <c r="AB34" t="s">
        <v>3025</v>
      </c>
      <c r="AC34" t="s">
        <v>3117</v>
      </c>
      <c r="AE34">
        <v>7</v>
      </c>
      <c r="AF34" t="s">
        <v>3312</v>
      </c>
      <c r="AG34" t="s">
        <v>3393</v>
      </c>
      <c r="AH34">
        <v>7</v>
      </c>
      <c r="AK34" t="s">
        <v>3617</v>
      </c>
      <c r="AL34">
        <v>7</v>
      </c>
      <c r="AO34" t="s">
        <v>3873</v>
      </c>
      <c r="AQ34">
        <v>7</v>
      </c>
      <c r="AR34" t="s">
        <v>4093</v>
      </c>
      <c r="AS34" t="s">
        <v>4179</v>
      </c>
      <c r="AU34">
        <v>8</v>
      </c>
      <c r="AV34" t="s">
        <v>4365</v>
      </c>
      <c r="AW34" t="s">
        <v>4425</v>
      </c>
      <c r="AY34">
        <v>8</v>
      </c>
      <c r="AZ34" t="s">
        <v>4603</v>
      </c>
      <c r="BA34" t="s">
        <v>4660</v>
      </c>
      <c r="BE34" t="s">
        <v>4924</v>
      </c>
      <c r="BG34" t="s">
        <v>4975</v>
      </c>
      <c r="BH34" t="s">
        <v>5105</v>
      </c>
      <c r="BI34" t="s">
        <v>5385</v>
      </c>
      <c r="BJ34" t="s">
        <v>5616</v>
      </c>
      <c r="BK34" t="s">
        <v>5929</v>
      </c>
      <c r="BL34" t="s">
        <v>6155</v>
      </c>
      <c r="BM34" t="s">
        <v>6338</v>
      </c>
      <c r="BN34" t="s">
        <v>6491</v>
      </c>
      <c r="BO34" t="s">
        <v>6653</v>
      </c>
      <c r="BP34" t="s">
        <v>6791</v>
      </c>
      <c r="BT34" t="s">
        <v>6913</v>
      </c>
      <c r="BU34" t="s">
        <v>7168</v>
      </c>
      <c r="BV34" t="s">
        <v>7226</v>
      </c>
      <c r="BW34" t="s">
        <v>7390</v>
      </c>
      <c r="BX34" t="s">
        <v>7553</v>
      </c>
      <c r="BZ34">
        <v>0</v>
      </c>
      <c r="CA34">
        <v>0</v>
      </c>
      <c r="CE34" t="s">
        <v>7888</v>
      </c>
      <c r="CF34" s="144">
        <v>43914.424293981479</v>
      </c>
      <c r="CG34" s="144">
        <v>43914.4299537037</v>
      </c>
      <c r="CH34" t="s">
        <v>8171</v>
      </c>
    </row>
    <row r="35" spans="1:86" ht="15" hidden="1" customHeight="1" x14ac:dyDescent="0.35">
      <c r="A35" t="s">
        <v>566</v>
      </c>
      <c r="B35">
        <v>1</v>
      </c>
      <c r="C35">
        <v>1</v>
      </c>
      <c r="D35" t="s">
        <v>942</v>
      </c>
      <c r="E35" t="s">
        <v>1157</v>
      </c>
      <c r="I35" t="s">
        <v>1490</v>
      </c>
      <c r="J35">
        <v>4</v>
      </c>
      <c r="M35" t="s">
        <v>1820</v>
      </c>
      <c r="N35">
        <v>8</v>
      </c>
      <c r="Q35" t="s">
        <v>2136</v>
      </c>
      <c r="U35" t="s">
        <v>2488</v>
      </c>
      <c r="Y35" t="s">
        <v>2813</v>
      </c>
      <c r="Z35">
        <v>1</v>
      </c>
      <c r="AC35" t="s">
        <v>3118</v>
      </c>
      <c r="AD35">
        <v>7</v>
      </c>
      <c r="AG35" t="s">
        <v>3394</v>
      </c>
      <c r="AK35" t="s">
        <v>3618</v>
      </c>
      <c r="AO35" t="s">
        <v>3874</v>
      </c>
      <c r="AP35">
        <v>4</v>
      </c>
      <c r="BE35" t="s">
        <v>4924</v>
      </c>
      <c r="BG35" t="s">
        <v>4975</v>
      </c>
      <c r="BH35" t="s">
        <v>5106</v>
      </c>
      <c r="BI35" t="s">
        <v>5385</v>
      </c>
      <c r="BJ35" t="s">
        <v>5617</v>
      </c>
      <c r="BK35" t="s">
        <v>5930</v>
      </c>
      <c r="BL35" t="s">
        <v>6155</v>
      </c>
      <c r="BM35" t="s">
        <v>6338</v>
      </c>
      <c r="BN35" t="s">
        <v>6492</v>
      </c>
      <c r="BO35" t="s">
        <v>6654</v>
      </c>
      <c r="BP35" t="s">
        <v>6791</v>
      </c>
      <c r="BT35" t="s">
        <v>6914</v>
      </c>
      <c r="BU35" t="s">
        <v>7169</v>
      </c>
      <c r="BV35" t="s">
        <v>7226</v>
      </c>
      <c r="BW35" t="s">
        <v>7391</v>
      </c>
      <c r="BX35" t="s">
        <v>7553</v>
      </c>
      <c r="BZ35">
        <v>0</v>
      </c>
      <c r="CA35">
        <v>0</v>
      </c>
      <c r="CE35" t="s">
        <v>7889</v>
      </c>
      <c r="CF35" s="144">
        <v>43910.372581018521</v>
      </c>
      <c r="CG35" s="144">
        <v>43910.378368055557</v>
      </c>
      <c r="CH35" t="s">
        <v>8172</v>
      </c>
    </row>
    <row r="36" spans="1:86" ht="15" customHeight="1" x14ac:dyDescent="0.35">
      <c r="A36" t="s">
        <v>567</v>
      </c>
      <c r="B36">
        <v>1</v>
      </c>
      <c r="C36">
        <v>1</v>
      </c>
      <c r="D36" t="s">
        <v>942</v>
      </c>
      <c r="E36" t="s">
        <v>1158</v>
      </c>
      <c r="F36">
        <v>6</v>
      </c>
      <c r="I36" t="s">
        <v>1491</v>
      </c>
      <c r="M36" t="s">
        <v>1821</v>
      </c>
      <c r="Q36" t="s">
        <v>2137</v>
      </c>
      <c r="S36">
        <v>7</v>
      </c>
      <c r="U36" t="s">
        <v>2489</v>
      </c>
      <c r="W36">
        <v>5</v>
      </c>
      <c r="Y36" t="s">
        <v>2814</v>
      </c>
      <c r="AC36" t="s">
        <v>3119</v>
      </c>
      <c r="AG36" t="s">
        <v>3395</v>
      </c>
      <c r="AH36">
        <v>6</v>
      </c>
      <c r="AK36" t="s">
        <v>3618</v>
      </c>
      <c r="AO36" t="s">
        <v>3875</v>
      </c>
      <c r="AQ36">
        <v>5</v>
      </c>
      <c r="BE36" t="s">
        <v>4924</v>
      </c>
      <c r="BG36" t="s">
        <v>4976</v>
      </c>
      <c r="BH36" t="s">
        <v>5107</v>
      </c>
      <c r="BI36" t="s">
        <v>5386</v>
      </c>
      <c r="BJ36" t="s">
        <v>5618</v>
      </c>
      <c r="BK36" t="s">
        <v>5930</v>
      </c>
      <c r="BL36" t="s">
        <v>6156</v>
      </c>
      <c r="BM36" t="s">
        <v>6339</v>
      </c>
      <c r="BN36" t="s">
        <v>6493</v>
      </c>
      <c r="BO36" t="s">
        <v>6655</v>
      </c>
      <c r="BP36" t="s">
        <v>6791</v>
      </c>
      <c r="BT36" t="s">
        <v>6915</v>
      </c>
      <c r="BU36" t="s">
        <v>7170</v>
      </c>
      <c r="BV36" t="s">
        <v>7226</v>
      </c>
      <c r="BW36" t="s">
        <v>7391</v>
      </c>
      <c r="BX36" t="s">
        <v>7553</v>
      </c>
      <c r="BZ36">
        <v>0</v>
      </c>
      <c r="CA36">
        <v>0</v>
      </c>
      <c r="CE36" t="s">
        <v>7890</v>
      </c>
      <c r="CF36" s="144">
        <v>43908.590902777774</v>
      </c>
      <c r="CG36" s="144">
        <v>43908.595312500001</v>
      </c>
      <c r="CH36" t="s">
        <v>8173</v>
      </c>
    </row>
    <row r="37" spans="1:86" ht="15" customHeight="1" x14ac:dyDescent="0.35">
      <c r="A37" t="s">
        <v>568</v>
      </c>
      <c r="B37">
        <v>1</v>
      </c>
      <c r="C37">
        <v>1</v>
      </c>
      <c r="D37" t="s">
        <v>943</v>
      </c>
      <c r="E37" t="s">
        <v>1158</v>
      </c>
      <c r="F37">
        <v>6</v>
      </c>
      <c r="H37" s="21" t="s">
        <v>1356</v>
      </c>
      <c r="I37" t="s">
        <v>1492</v>
      </c>
      <c r="J37">
        <v>6</v>
      </c>
      <c r="L37" s="21"/>
      <c r="M37" t="s">
        <v>1822</v>
      </c>
      <c r="N37">
        <v>7</v>
      </c>
      <c r="Q37" t="s">
        <v>2138</v>
      </c>
      <c r="R37">
        <v>6</v>
      </c>
      <c r="T37" s="21"/>
      <c r="U37" t="s">
        <v>2490</v>
      </c>
      <c r="V37">
        <v>6</v>
      </c>
      <c r="X37" s="21"/>
      <c r="Y37" t="s">
        <v>2815</v>
      </c>
      <c r="Z37">
        <v>5</v>
      </c>
      <c r="AB37" s="21"/>
      <c r="AC37" t="s">
        <v>3120</v>
      </c>
      <c r="AD37">
        <v>4</v>
      </c>
      <c r="AG37" t="s">
        <v>3396</v>
      </c>
      <c r="AJ37" s="21"/>
      <c r="AK37" t="s">
        <v>3619</v>
      </c>
      <c r="AM37">
        <v>2</v>
      </c>
      <c r="AN37" s="21"/>
      <c r="AO37" t="s">
        <v>3876</v>
      </c>
      <c r="AP37">
        <v>3</v>
      </c>
      <c r="AR37" s="21"/>
      <c r="AS37" t="s">
        <v>4179</v>
      </c>
      <c r="AU37">
        <v>7</v>
      </c>
      <c r="AV37" s="21"/>
      <c r="AW37" t="s">
        <v>4426</v>
      </c>
      <c r="AZ37" s="21"/>
      <c r="BA37" t="s">
        <v>4661</v>
      </c>
      <c r="BB37">
        <v>7</v>
      </c>
      <c r="BD37" s="21"/>
      <c r="BE37" t="s">
        <v>4925</v>
      </c>
      <c r="BF37" t="s">
        <v>4960</v>
      </c>
      <c r="BG37" t="s">
        <v>4977</v>
      </c>
      <c r="BH37" t="s">
        <v>5108</v>
      </c>
      <c r="BI37" t="s">
        <v>5387</v>
      </c>
      <c r="BJ37" t="s">
        <v>5618</v>
      </c>
      <c r="BK37" t="s">
        <v>5931</v>
      </c>
      <c r="BL37" t="s">
        <v>6157</v>
      </c>
      <c r="BM37" t="s">
        <v>6340</v>
      </c>
      <c r="BN37" t="s">
        <v>6493</v>
      </c>
      <c r="BO37" t="s">
        <v>6655</v>
      </c>
      <c r="BP37" t="s">
        <v>6791</v>
      </c>
      <c r="BT37" t="s">
        <v>6916</v>
      </c>
      <c r="BU37" t="s">
        <v>7170</v>
      </c>
      <c r="BV37" t="s">
        <v>7227</v>
      </c>
      <c r="BW37" t="s">
        <v>7391</v>
      </c>
      <c r="BX37" t="s">
        <v>7553</v>
      </c>
      <c r="BZ37">
        <v>0</v>
      </c>
      <c r="CA37">
        <v>1</v>
      </c>
      <c r="CB37" t="s">
        <v>7639</v>
      </c>
      <c r="CC37" t="s">
        <v>7711</v>
      </c>
      <c r="CD37" t="s">
        <v>7789</v>
      </c>
      <c r="CE37" t="s">
        <v>7891</v>
      </c>
      <c r="CF37" s="144">
        <v>43907.649444444447</v>
      </c>
      <c r="CG37" s="144">
        <v>43907.659884259258</v>
      </c>
      <c r="CH37" t="s">
        <v>8174</v>
      </c>
    </row>
    <row r="38" spans="1:86" ht="15" customHeight="1" x14ac:dyDescent="0.35">
      <c r="A38" t="s">
        <v>569</v>
      </c>
      <c r="B38">
        <v>1</v>
      </c>
      <c r="C38">
        <v>1</v>
      </c>
      <c r="D38" t="s">
        <v>944</v>
      </c>
      <c r="E38" t="s">
        <v>1159</v>
      </c>
      <c r="I38" t="s">
        <v>1492</v>
      </c>
      <c r="J38">
        <v>6</v>
      </c>
      <c r="L38" t="s">
        <v>1708</v>
      </c>
      <c r="M38" t="s">
        <v>1822</v>
      </c>
      <c r="N38">
        <v>7</v>
      </c>
      <c r="P38" t="s">
        <v>2015</v>
      </c>
      <c r="Q38" t="s">
        <v>2138</v>
      </c>
      <c r="R38">
        <v>6</v>
      </c>
      <c r="T38" t="s">
        <v>2381</v>
      </c>
      <c r="U38" t="s">
        <v>2490</v>
      </c>
      <c r="V38">
        <v>7</v>
      </c>
      <c r="X38" t="s">
        <v>2709</v>
      </c>
      <c r="Y38" t="s">
        <v>2815</v>
      </c>
      <c r="Z38">
        <v>3</v>
      </c>
      <c r="AB38" t="s">
        <v>3026</v>
      </c>
      <c r="AC38" t="s">
        <v>3121</v>
      </c>
      <c r="AG38" t="s">
        <v>3396</v>
      </c>
      <c r="AK38" t="s">
        <v>3620</v>
      </c>
      <c r="AO38" t="s">
        <v>3877</v>
      </c>
      <c r="AQ38">
        <v>5</v>
      </c>
      <c r="AR38" t="s">
        <v>4094</v>
      </c>
      <c r="AS38" t="s">
        <v>4180</v>
      </c>
      <c r="AT38">
        <v>4</v>
      </c>
      <c r="AV38" t="s">
        <v>4366</v>
      </c>
      <c r="AW38" t="s">
        <v>4427</v>
      </c>
      <c r="AX38">
        <v>2</v>
      </c>
      <c r="AZ38" t="s">
        <v>4604</v>
      </c>
      <c r="BA38" t="s">
        <v>4662</v>
      </c>
      <c r="BC38">
        <v>4</v>
      </c>
      <c r="BE38" t="s">
        <v>4926</v>
      </c>
      <c r="BG38" t="s">
        <v>4977</v>
      </c>
      <c r="BH38" t="s">
        <v>5109</v>
      </c>
      <c r="BI38" t="s">
        <v>5388</v>
      </c>
      <c r="BJ38" t="s">
        <v>5619</v>
      </c>
      <c r="BK38" t="s">
        <v>5932</v>
      </c>
      <c r="BL38" t="s">
        <v>6157</v>
      </c>
      <c r="BM38" t="s">
        <v>6340</v>
      </c>
      <c r="BN38" t="s">
        <v>6493</v>
      </c>
      <c r="BO38" t="s">
        <v>6655</v>
      </c>
      <c r="BP38" t="s">
        <v>6791</v>
      </c>
      <c r="BT38" t="s">
        <v>6917</v>
      </c>
      <c r="BU38" t="s">
        <v>7170</v>
      </c>
      <c r="BV38" t="s">
        <v>7227</v>
      </c>
      <c r="BW38" t="s">
        <v>7391</v>
      </c>
      <c r="BX38" t="s">
        <v>7553</v>
      </c>
      <c r="BZ38">
        <v>1</v>
      </c>
      <c r="CA38">
        <v>0</v>
      </c>
      <c r="CE38" t="s">
        <v>7892</v>
      </c>
      <c r="CF38" s="144">
        <v>43907.430335648147</v>
      </c>
      <c r="CG38" s="144">
        <v>43907.442673611113</v>
      </c>
      <c r="CH38" s="24" t="s">
        <v>8175</v>
      </c>
    </row>
    <row r="39" spans="1:86" ht="15" customHeight="1" x14ac:dyDescent="0.35">
      <c r="A39" t="s">
        <v>570</v>
      </c>
      <c r="B39">
        <v>1</v>
      </c>
      <c r="C39">
        <v>1</v>
      </c>
      <c r="D39" t="s">
        <v>945</v>
      </c>
      <c r="E39" t="s">
        <v>1159</v>
      </c>
      <c r="I39" t="s">
        <v>1492</v>
      </c>
      <c r="J39">
        <v>5</v>
      </c>
      <c r="M39" t="s">
        <v>1822</v>
      </c>
      <c r="N39">
        <v>6</v>
      </c>
      <c r="Q39" t="s">
        <v>2139</v>
      </c>
      <c r="U39" t="s">
        <v>2490</v>
      </c>
      <c r="Y39" t="s">
        <v>2815</v>
      </c>
      <c r="Z39">
        <v>6</v>
      </c>
      <c r="AB39" t="s">
        <v>3027</v>
      </c>
      <c r="AC39" t="s">
        <v>3121</v>
      </c>
      <c r="AG39" t="s">
        <v>3396</v>
      </c>
      <c r="AK39" t="s">
        <v>3621</v>
      </c>
      <c r="AL39">
        <v>6</v>
      </c>
      <c r="AO39" t="s">
        <v>3878</v>
      </c>
      <c r="BE39" t="s">
        <v>4927</v>
      </c>
      <c r="BF39" t="s">
        <v>4961</v>
      </c>
      <c r="BG39" t="s">
        <v>4977</v>
      </c>
      <c r="BH39" t="s">
        <v>5110</v>
      </c>
      <c r="BI39" t="s">
        <v>5389</v>
      </c>
      <c r="BJ39" t="s">
        <v>5620</v>
      </c>
      <c r="BK39" t="s">
        <v>5932</v>
      </c>
      <c r="BL39" t="s">
        <v>6158</v>
      </c>
      <c r="BM39" t="s">
        <v>6340</v>
      </c>
      <c r="BN39" t="s">
        <v>6493</v>
      </c>
      <c r="BO39" t="s">
        <v>6655</v>
      </c>
      <c r="BP39" t="s">
        <v>6791</v>
      </c>
      <c r="BT39" t="s">
        <v>6918</v>
      </c>
      <c r="BU39" t="s">
        <v>7170</v>
      </c>
      <c r="BV39" t="s">
        <v>7228</v>
      </c>
      <c r="BW39" t="s">
        <v>7391</v>
      </c>
      <c r="BX39" t="s">
        <v>7553</v>
      </c>
      <c r="BZ39">
        <v>0</v>
      </c>
      <c r="CA39">
        <v>0</v>
      </c>
      <c r="CE39" t="s">
        <v>7893</v>
      </c>
      <c r="CF39" s="144">
        <v>43904.750868055555</v>
      </c>
      <c r="CG39" s="144">
        <v>43904.757777777777</v>
      </c>
      <c r="CH39" t="s">
        <v>8176</v>
      </c>
    </row>
    <row r="40" spans="1:86" ht="15" hidden="1" customHeight="1" x14ac:dyDescent="0.35">
      <c r="A40" t="s">
        <v>571</v>
      </c>
      <c r="B40">
        <v>1</v>
      </c>
      <c r="C40">
        <v>1</v>
      </c>
      <c r="D40" t="s">
        <v>945</v>
      </c>
      <c r="E40" t="s">
        <v>1159</v>
      </c>
      <c r="I40" t="s">
        <v>1492</v>
      </c>
      <c r="J40">
        <v>6</v>
      </c>
      <c r="M40" t="s">
        <v>1822</v>
      </c>
      <c r="N40">
        <v>7</v>
      </c>
      <c r="Q40" t="s">
        <v>2140</v>
      </c>
      <c r="R40">
        <v>6</v>
      </c>
      <c r="U40" t="s">
        <v>2490</v>
      </c>
      <c r="V40">
        <v>7</v>
      </c>
      <c r="Y40" t="s">
        <v>2815</v>
      </c>
      <c r="Z40">
        <v>5</v>
      </c>
      <c r="AC40" t="s">
        <v>3121</v>
      </c>
      <c r="AG40" t="s">
        <v>3396</v>
      </c>
      <c r="AK40" t="s">
        <v>3621</v>
      </c>
      <c r="AL40">
        <v>3</v>
      </c>
      <c r="AO40" t="s">
        <v>3879</v>
      </c>
      <c r="AP40">
        <v>6</v>
      </c>
      <c r="AS40" t="s">
        <v>4180</v>
      </c>
      <c r="AT40">
        <v>4</v>
      </c>
      <c r="AW40" t="s">
        <v>4428</v>
      </c>
      <c r="BA40" t="s">
        <v>4662</v>
      </c>
      <c r="BC40">
        <v>4</v>
      </c>
      <c r="BE40" t="s">
        <v>4928</v>
      </c>
      <c r="BF40" t="s">
        <v>4962</v>
      </c>
      <c r="BG40" t="s">
        <v>4977</v>
      </c>
      <c r="BH40" t="s">
        <v>5111</v>
      </c>
      <c r="BI40" t="s">
        <v>5389</v>
      </c>
      <c r="BJ40" t="s">
        <v>5621</v>
      </c>
      <c r="BK40" t="s">
        <v>5933</v>
      </c>
      <c r="BL40" t="s">
        <v>6159</v>
      </c>
      <c r="BM40" t="s">
        <v>6340</v>
      </c>
      <c r="BN40" t="s">
        <v>6493</v>
      </c>
      <c r="BO40" t="s">
        <v>6655</v>
      </c>
      <c r="BP40" t="s">
        <v>6791</v>
      </c>
      <c r="BT40" t="s">
        <v>6919</v>
      </c>
      <c r="BU40" t="s">
        <v>7170</v>
      </c>
      <c r="BV40" t="s">
        <v>7229</v>
      </c>
      <c r="BW40" t="s">
        <v>7392</v>
      </c>
      <c r="BX40" t="s">
        <v>7553</v>
      </c>
      <c r="BZ40">
        <v>0</v>
      </c>
      <c r="CA40">
        <v>0</v>
      </c>
      <c r="CE40" t="s">
        <v>7893</v>
      </c>
      <c r="CF40" s="144">
        <v>43904.692800925928</v>
      </c>
      <c r="CG40" s="144">
        <v>43904.699143518519</v>
      </c>
      <c r="CH40" t="s">
        <v>8177</v>
      </c>
    </row>
    <row r="41" spans="1:86" ht="15" hidden="1" customHeight="1" x14ac:dyDescent="0.35">
      <c r="A41" t="s">
        <v>572</v>
      </c>
      <c r="B41">
        <v>1</v>
      </c>
      <c r="C41">
        <v>1</v>
      </c>
      <c r="D41" t="s">
        <v>945</v>
      </c>
      <c r="E41" t="s">
        <v>1159</v>
      </c>
      <c r="I41" t="s">
        <v>1492</v>
      </c>
      <c r="J41">
        <v>6</v>
      </c>
      <c r="L41" t="s">
        <v>1709</v>
      </c>
      <c r="M41" t="s">
        <v>1822</v>
      </c>
      <c r="N41">
        <v>6</v>
      </c>
      <c r="P41" t="s">
        <v>2016</v>
      </c>
      <c r="Q41" t="s">
        <v>2140</v>
      </c>
      <c r="R41">
        <v>7</v>
      </c>
      <c r="T41" t="s">
        <v>2382</v>
      </c>
      <c r="U41" t="s">
        <v>2490</v>
      </c>
      <c r="V41">
        <v>6</v>
      </c>
      <c r="X41" t="s">
        <v>2710</v>
      </c>
      <c r="Y41" t="s">
        <v>2815</v>
      </c>
      <c r="Z41">
        <v>6</v>
      </c>
      <c r="AB41" t="s">
        <v>3028</v>
      </c>
      <c r="AC41" t="s">
        <v>3122</v>
      </c>
      <c r="AE41">
        <v>7</v>
      </c>
      <c r="AF41" t="s">
        <v>3313</v>
      </c>
      <c r="AG41" t="s">
        <v>3396</v>
      </c>
      <c r="AK41" t="s">
        <v>3622</v>
      </c>
      <c r="AO41" t="s">
        <v>3880</v>
      </c>
      <c r="AQ41">
        <v>7</v>
      </c>
      <c r="AR41" t="s">
        <v>4095</v>
      </c>
      <c r="AS41" t="s">
        <v>4181</v>
      </c>
      <c r="AW41" t="s">
        <v>4428</v>
      </c>
      <c r="BA41" t="s">
        <v>4662</v>
      </c>
      <c r="BC41">
        <v>7</v>
      </c>
      <c r="BD41" t="s">
        <v>4852</v>
      </c>
      <c r="BE41" t="s">
        <v>4929</v>
      </c>
      <c r="BG41" t="s">
        <v>4977</v>
      </c>
      <c r="BH41" t="s">
        <v>5112</v>
      </c>
      <c r="BI41" t="s">
        <v>5389</v>
      </c>
      <c r="BJ41" t="s">
        <v>5622</v>
      </c>
      <c r="BK41" t="s">
        <v>5934</v>
      </c>
      <c r="BL41" t="s">
        <v>6159</v>
      </c>
      <c r="BM41" t="s">
        <v>6340</v>
      </c>
      <c r="BN41" t="s">
        <v>6494</v>
      </c>
      <c r="BO41" t="s">
        <v>6655</v>
      </c>
      <c r="BP41" t="s">
        <v>6791</v>
      </c>
      <c r="BT41" t="s">
        <v>6920</v>
      </c>
      <c r="BU41" t="s">
        <v>7170</v>
      </c>
      <c r="BV41" t="s">
        <v>7229</v>
      </c>
      <c r="BW41" t="s">
        <v>7392</v>
      </c>
      <c r="BX41" t="s">
        <v>7553</v>
      </c>
      <c r="BZ41">
        <v>0</v>
      </c>
      <c r="CA41">
        <v>1</v>
      </c>
      <c r="CB41" t="s">
        <v>7640</v>
      </c>
      <c r="CC41" t="s">
        <v>7711</v>
      </c>
      <c r="CD41" t="s">
        <v>7790</v>
      </c>
      <c r="CE41" t="s">
        <v>7894</v>
      </c>
      <c r="CF41" s="144">
        <v>43903.836956018517</v>
      </c>
      <c r="CG41" s="144">
        <v>43903.848020833335</v>
      </c>
      <c r="CH41" t="s">
        <v>8178</v>
      </c>
    </row>
    <row r="42" spans="1:86" ht="15" customHeight="1" x14ac:dyDescent="0.35">
      <c r="A42" t="s">
        <v>573</v>
      </c>
      <c r="B42">
        <v>1</v>
      </c>
      <c r="C42">
        <v>1</v>
      </c>
      <c r="D42" t="s">
        <v>946</v>
      </c>
      <c r="E42" t="s">
        <v>1160</v>
      </c>
      <c r="F42">
        <v>5</v>
      </c>
      <c r="H42" t="s">
        <v>1357</v>
      </c>
      <c r="I42" t="s">
        <v>1493</v>
      </c>
      <c r="M42" t="s">
        <v>1822</v>
      </c>
      <c r="N42">
        <v>6</v>
      </c>
      <c r="P42" t="s">
        <v>2017</v>
      </c>
      <c r="Q42" t="s">
        <v>2141</v>
      </c>
      <c r="S42">
        <v>7</v>
      </c>
      <c r="T42" t="s">
        <v>2383</v>
      </c>
      <c r="U42" t="s">
        <v>2490</v>
      </c>
      <c r="V42">
        <v>6</v>
      </c>
      <c r="X42" t="s">
        <v>2711</v>
      </c>
      <c r="Y42" t="s">
        <v>2815</v>
      </c>
      <c r="Z42">
        <v>7</v>
      </c>
      <c r="AB42" t="s">
        <v>3029</v>
      </c>
      <c r="AC42" t="s">
        <v>3123</v>
      </c>
      <c r="AG42" t="s">
        <v>3396</v>
      </c>
      <c r="AK42" t="s">
        <v>3622</v>
      </c>
      <c r="AO42" t="s">
        <v>3880</v>
      </c>
      <c r="AQ42">
        <v>6</v>
      </c>
      <c r="AR42" t="s">
        <v>4096</v>
      </c>
      <c r="AS42" t="s">
        <v>4182</v>
      </c>
      <c r="AU42">
        <v>6</v>
      </c>
      <c r="AV42" t="s">
        <v>4367</v>
      </c>
      <c r="AW42" t="s">
        <v>4428</v>
      </c>
      <c r="BA42" t="s">
        <v>4663</v>
      </c>
      <c r="BB42">
        <v>6</v>
      </c>
      <c r="BD42" t="s">
        <v>4853</v>
      </c>
      <c r="BE42" t="s">
        <v>4930</v>
      </c>
      <c r="BF42" t="s">
        <v>4963</v>
      </c>
      <c r="BG42" t="s">
        <v>4977</v>
      </c>
      <c r="BH42" t="s">
        <v>5113</v>
      </c>
      <c r="BI42" t="s">
        <v>5390</v>
      </c>
      <c r="BJ42" t="s">
        <v>5623</v>
      </c>
      <c r="BK42" t="s">
        <v>5935</v>
      </c>
      <c r="BL42" t="s">
        <v>6159</v>
      </c>
      <c r="BM42" t="s">
        <v>6340</v>
      </c>
      <c r="BN42" t="s">
        <v>6495</v>
      </c>
      <c r="BO42" t="s">
        <v>6656</v>
      </c>
      <c r="BP42" t="s">
        <v>6791</v>
      </c>
      <c r="BT42" t="s">
        <v>6921</v>
      </c>
      <c r="BU42" t="s">
        <v>7170</v>
      </c>
      <c r="BV42" t="s">
        <v>7230</v>
      </c>
      <c r="BW42" t="s">
        <v>7393</v>
      </c>
      <c r="BX42" t="s">
        <v>7553</v>
      </c>
      <c r="BZ42">
        <v>1</v>
      </c>
      <c r="CA42">
        <v>0</v>
      </c>
      <c r="CE42" t="s">
        <v>7895</v>
      </c>
      <c r="CF42" s="144">
        <v>43902.360069444447</v>
      </c>
      <c r="CG42" s="144">
        <v>43902.364351851851</v>
      </c>
      <c r="CH42" t="s">
        <v>8179</v>
      </c>
    </row>
    <row r="43" spans="1:86" ht="15" customHeight="1" x14ac:dyDescent="0.35">
      <c r="A43" t="s">
        <v>574</v>
      </c>
      <c r="B43">
        <v>1</v>
      </c>
      <c r="C43">
        <v>1</v>
      </c>
      <c r="D43" t="s">
        <v>947</v>
      </c>
      <c r="E43" t="s">
        <v>1161</v>
      </c>
      <c r="I43" t="s">
        <v>1493</v>
      </c>
      <c r="M43" t="s">
        <v>1823</v>
      </c>
      <c r="Q43" t="s">
        <v>2142</v>
      </c>
      <c r="U43" t="s">
        <v>2491</v>
      </c>
      <c r="Y43" t="s">
        <v>2816</v>
      </c>
      <c r="AC43" t="s">
        <v>3124</v>
      </c>
      <c r="AD43">
        <v>3</v>
      </c>
      <c r="AF43" t="s">
        <v>3314</v>
      </c>
      <c r="AG43" t="s">
        <v>3396</v>
      </c>
      <c r="AK43" t="s">
        <v>3622</v>
      </c>
      <c r="AO43" t="s">
        <v>3881</v>
      </c>
      <c r="AS43" t="s">
        <v>4183</v>
      </c>
      <c r="AW43" t="s">
        <v>4428</v>
      </c>
      <c r="BA43" t="s">
        <v>4664</v>
      </c>
      <c r="BE43" t="s">
        <v>4931</v>
      </c>
      <c r="BG43" t="s">
        <v>4977</v>
      </c>
      <c r="BH43" t="s">
        <v>5114</v>
      </c>
      <c r="BI43" t="s">
        <v>5391</v>
      </c>
      <c r="BJ43" t="s">
        <v>5624</v>
      </c>
      <c r="BK43" t="s">
        <v>5936</v>
      </c>
      <c r="BL43" t="s">
        <v>6159</v>
      </c>
      <c r="BM43" t="s">
        <v>6340</v>
      </c>
      <c r="BN43" t="s">
        <v>6496</v>
      </c>
      <c r="BO43" t="s">
        <v>6657</v>
      </c>
      <c r="BP43" t="s">
        <v>6791</v>
      </c>
      <c r="BT43" t="s">
        <v>6922</v>
      </c>
      <c r="BU43" t="s">
        <v>7170</v>
      </c>
      <c r="BV43" t="s">
        <v>7230</v>
      </c>
      <c r="BW43" t="s">
        <v>7393</v>
      </c>
      <c r="BX43" t="s">
        <v>7554</v>
      </c>
      <c r="BZ43">
        <v>1</v>
      </c>
      <c r="CA43">
        <v>1</v>
      </c>
      <c r="CB43" t="s">
        <v>7641</v>
      </c>
      <c r="CC43" t="s">
        <v>7711</v>
      </c>
      <c r="CD43" t="s">
        <v>7791</v>
      </c>
      <c r="CE43" t="s">
        <v>7895</v>
      </c>
      <c r="CF43" s="144">
        <v>43895.467939814815</v>
      </c>
      <c r="CG43" s="144">
        <v>43895.473680555559</v>
      </c>
      <c r="CH43" t="s">
        <v>8180</v>
      </c>
    </row>
    <row r="44" spans="1:86" ht="15" customHeight="1" x14ac:dyDescent="0.35">
      <c r="A44" t="s">
        <v>575</v>
      </c>
      <c r="B44">
        <v>1</v>
      </c>
      <c r="C44">
        <v>1</v>
      </c>
      <c r="D44" t="s">
        <v>948</v>
      </c>
      <c r="E44" t="s">
        <v>1162</v>
      </c>
      <c r="F44">
        <v>7</v>
      </c>
      <c r="H44" t="s">
        <v>1358</v>
      </c>
      <c r="I44" t="s">
        <v>1494</v>
      </c>
      <c r="J44">
        <v>7</v>
      </c>
      <c r="L44" t="s">
        <v>1710</v>
      </c>
      <c r="M44" t="s">
        <v>1824</v>
      </c>
      <c r="N44">
        <v>6</v>
      </c>
      <c r="Q44" t="s">
        <v>2143</v>
      </c>
      <c r="R44">
        <v>6</v>
      </c>
      <c r="U44" t="s">
        <v>2492</v>
      </c>
      <c r="V44">
        <v>8</v>
      </c>
      <c r="Y44" t="s">
        <v>2817</v>
      </c>
      <c r="Z44">
        <v>6</v>
      </c>
      <c r="AC44" t="s">
        <v>3124</v>
      </c>
      <c r="AD44">
        <v>6</v>
      </c>
      <c r="AG44" t="s">
        <v>3396</v>
      </c>
      <c r="AK44" t="s">
        <v>3622</v>
      </c>
      <c r="AO44" t="s">
        <v>3881</v>
      </c>
      <c r="AS44" t="s">
        <v>4184</v>
      </c>
      <c r="AT44">
        <v>5</v>
      </c>
      <c r="AW44" t="s">
        <v>4428</v>
      </c>
      <c r="BA44" t="s">
        <v>4665</v>
      </c>
      <c r="BC44">
        <v>5</v>
      </c>
      <c r="BE44" t="s">
        <v>4932</v>
      </c>
      <c r="BG44" t="s">
        <v>4977</v>
      </c>
      <c r="BH44" t="s">
        <v>5115</v>
      </c>
      <c r="BI44" t="s">
        <v>5391</v>
      </c>
      <c r="BJ44" t="s">
        <v>5625</v>
      </c>
      <c r="BK44" t="s">
        <v>5937</v>
      </c>
      <c r="BL44" t="s">
        <v>6160</v>
      </c>
      <c r="BM44" t="s">
        <v>6341</v>
      </c>
      <c r="BN44" t="s">
        <v>6496</v>
      </c>
      <c r="BO44" t="s">
        <v>6657</v>
      </c>
      <c r="BP44" t="s">
        <v>6791</v>
      </c>
      <c r="BT44" t="s">
        <v>6923</v>
      </c>
      <c r="BU44" t="s">
        <v>7170</v>
      </c>
      <c r="BV44" t="s">
        <v>7231</v>
      </c>
      <c r="BW44" t="s">
        <v>7393</v>
      </c>
      <c r="BX44" t="s">
        <v>7555</v>
      </c>
      <c r="BZ44">
        <v>0</v>
      </c>
      <c r="CA44">
        <v>0</v>
      </c>
      <c r="CE44" t="s">
        <v>7896</v>
      </c>
      <c r="CF44" s="144">
        <v>43895.44158564815</v>
      </c>
      <c r="CG44" s="144">
        <v>43895.44672453704</v>
      </c>
      <c r="CH44" t="s">
        <v>8181</v>
      </c>
    </row>
    <row r="45" spans="1:86" ht="15" customHeight="1" x14ac:dyDescent="0.35">
      <c r="A45" t="s">
        <v>576</v>
      </c>
      <c r="B45">
        <v>1</v>
      </c>
      <c r="C45">
        <v>1</v>
      </c>
      <c r="D45" t="s">
        <v>949</v>
      </c>
      <c r="E45" t="s">
        <v>1163</v>
      </c>
      <c r="I45" t="s">
        <v>1495</v>
      </c>
      <c r="M45" t="s">
        <v>1824</v>
      </c>
      <c r="N45">
        <v>6</v>
      </c>
      <c r="Q45" t="s">
        <v>2144</v>
      </c>
      <c r="S45">
        <v>5</v>
      </c>
      <c r="T45" t="s">
        <v>2384</v>
      </c>
      <c r="U45" t="s">
        <v>2493</v>
      </c>
      <c r="W45">
        <v>5</v>
      </c>
      <c r="Y45" t="s">
        <v>2817</v>
      </c>
      <c r="AC45" t="s">
        <v>3124</v>
      </c>
      <c r="AD45">
        <v>4</v>
      </c>
      <c r="AG45" t="s">
        <v>3396</v>
      </c>
      <c r="AK45" t="s">
        <v>3623</v>
      </c>
      <c r="AM45">
        <v>4</v>
      </c>
      <c r="AO45" t="s">
        <v>3882</v>
      </c>
      <c r="AQ45">
        <v>4</v>
      </c>
      <c r="AR45" t="s">
        <v>4097</v>
      </c>
      <c r="AS45" t="s">
        <v>4184</v>
      </c>
      <c r="AT45">
        <v>6</v>
      </c>
      <c r="AW45" t="s">
        <v>4429</v>
      </c>
      <c r="AX45">
        <v>4</v>
      </c>
      <c r="BA45" t="s">
        <v>4665</v>
      </c>
      <c r="BC45">
        <v>4</v>
      </c>
      <c r="BE45" t="s">
        <v>4932</v>
      </c>
      <c r="BG45" t="s">
        <v>4977</v>
      </c>
      <c r="BH45" t="s">
        <v>5116</v>
      </c>
      <c r="BI45" t="s">
        <v>5391</v>
      </c>
      <c r="BJ45" t="s">
        <v>5626</v>
      </c>
      <c r="BK45" t="s">
        <v>5937</v>
      </c>
      <c r="BL45" t="s">
        <v>6161</v>
      </c>
      <c r="BM45" t="s">
        <v>6342</v>
      </c>
      <c r="BN45" t="s">
        <v>6496</v>
      </c>
      <c r="BO45" t="s">
        <v>6657</v>
      </c>
      <c r="BP45" t="s">
        <v>6791</v>
      </c>
      <c r="BT45" t="s">
        <v>6924</v>
      </c>
      <c r="BU45" t="s">
        <v>7170</v>
      </c>
      <c r="BV45" t="s">
        <v>7232</v>
      </c>
      <c r="BW45" t="s">
        <v>7393</v>
      </c>
      <c r="BX45" t="s">
        <v>7556</v>
      </c>
      <c r="BZ45">
        <v>0</v>
      </c>
      <c r="CA45">
        <v>0</v>
      </c>
      <c r="CE45" t="s">
        <v>7897</v>
      </c>
      <c r="CF45" s="144">
        <v>43894.877442129633</v>
      </c>
      <c r="CG45" s="144">
        <v>43894.885833333334</v>
      </c>
      <c r="CH45" t="s">
        <v>8182</v>
      </c>
    </row>
    <row r="46" spans="1:86" ht="15" customHeight="1" x14ac:dyDescent="0.35">
      <c r="A46" t="s">
        <v>577</v>
      </c>
      <c r="B46">
        <v>1</v>
      </c>
      <c r="C46">
        <v>1</v>
      </c>
      <c r="D46" t="s">
        <v>950</v>
      </c>
      <c r="E46" t="s">
        <v>1164</v>
      </c>
      <c r="F46">
        <v>6</v>
      </c>
      <c r="H46" t="s">
        <v>1359</v>
      </c>
      <c r="I46" t="s">
        <v>1496</v>
      </c>
      <c r="J46">
        <v>7</v>
      </c>
      <c r="L46" t="s">
        <v>1711</v>
      </c>
      <c r="M46" t="s">
        <v>1824</v>
      </c>
      <c r="N46">
        <v>6</v>
      </c>
      <c r="P46" t="s">
        <v>2018</v>
      </c>
      <c r="Q46" t="s">
        <v>2145</v>
      </c>
      <c r="U46" t="s">
        <v>2494</v>
      </c>
      <c r="Y46" t="s">
        <v>2818</v>
      </c>
      <c r="AC46" t="s">
        <v>3125</v>
      </c>
      <c r="AG46" t="s">
        <v>3396</v>
      </c>
      <c r="AK46" t="s">
        <v>3624</v>
      </c>
      <c r="AO46" t="s">
        <v>3883</v>
      </c>
      <c r="AS46" t="s">
        <v>4185</v>
      </c>
      <c r="AW46" t="s">
        <v>4430</v>
      </c>
      <c r="BA46" t="s">
        <v>4665</v>
      </c>
      <c r="BC46">
        <v>7</v>
      </c>
      <c r="BD46" t="s">
        <v>4854</v>
      </c>
      <c r="BE46" t="s">
        <v>4933</v>
      </c>
      <c r="BG46" t="s">
        <v>4978</v>
      </c>
      <c r="BH46" t="s">
        <v>5117</v>
      </c>
      <c r="BI46" t="s">
        <v>5391</v>
      </c>
      <c r="BJ46" t="s">
        <v>5627</v>
      </c>
      <c r="BK46" t="s">
        <v>5937</v>
      </c>
      <c r="BL46" t="s">
        <v>6161</v>
      </c>
      <c r="BM46" t="s">
        <v>6342</v>
      </c>
      <c r="BN46" t="s">
        <v>6496</v>
      </c>
      <c r="BO46" t="s">
        <v>6657</v>
      </c>
      <c r="BP46" t="s">
        <v>6792</v>
      </c>
      <c r="BQ46" t="s">
        <v>6838</v>
      </c>
      <c r="BR46" t="s">
        <v>6854</v>
      </c>
      <c r="BS46" t="s">
        <v>6871</v>
      </c>
      <c r="BT46" t="s">
        <v>6925</v>
      </c>
      <c r="BU46" t="s">
        <v>7170</v>
      </c>
      <c r="BV46" t="s">
        <v>7232</v>
      </c>
      <c r="BW46" t="s">
        <v>7393</v>
      </c>
      <c r="BX46" t="s">
        <v>7557</v>
      </c>
      <c r="BZ46">
        <v>0</v>
      </c>
      <c r="CA46">
        <v>0</v>
      </c>
      <c r="CE46" t="s">
        <v>7898</v>
      </c>
      <c r="CF46" s="144">
        <v>43894.788506944446</v>
      </c>
      <c r="CG46" s="144">
        <v>43894.860868055555</v>
      </c>
      <c r="CH46" t="s">
        <v>8183</v>
      </c>
    </row>
    <row r="47" spans="1:86" ht="15" customHeight="1" x14ac:dyDescent="0.35">
      <c r="A47" t="s">
        <v>578</v>
      </c>
      <c r="B47">
        <v>1</v>
      </c>
      <c r="C47">
        <v>1</v>
      </c>
      <c r="D47" t="s">
        <v>950</v>
      </c>
      <c r="E47" t="s">
        <v>1164</v>
      </c>
      <c r="F47">
        <v>3</v>
      </c>
      <c r="I47" t="s">
        <v>1497</v>
      </c>
      <c r="K47">
        <v>3</v>
      </c>
      <c r="M47" t="s">
        <v>1824</v>
      </c>
      <c r="N47">
        <v>4</v>
      </c>
      <c r="Q47" t="s">
        <v>2146</v>
      </c>
      <c r="S47">
        <v>3</v>
      </c>
      <c r="U47" t="s">
        <v>2495</v>
      </c>
      <c r="V47">
        <v>6</v>
      </c>
      <c r="Y47" t="s">
        <v>2819</v>
      </c>
      <c r="Z47">
        <v>6</v>
      </c>
      <c r="AC47" t="s">
        <v>3126</v>
      </c>
      <c r="AD47">
        <v>6</v>
      </c>
      <c r="AG47" t="s">
        <v>3396</v>
      </c>
      <c r="AK47" t="s">
        <v>3625</v>
      </c>
      <c r="AM47">
        <v>3</v>
      </c>
      <c r="AO47" t="s">
        <v>3883</v>
      </c>
      <c r="AS47" t="s">
        <v>4185</v>
      </c>
      <c r="AW47" t="s">
        <v>4431</v>
      </c>
      <c r="AY47">
        <v>4</v>
      </c>
      <c r="BA47" t="s">
        <v>4665</v>
      </c>
      <c r="BC47">
        <v>4</v>
      </c>
      <c r="BE47" t="s">
        <v>4933</v>
      </c>
      <c r="BG47" t="s">
        <v>4979</v>
      </c>
      <c r="BH47" t="s">
        <v>5118</v>
      </c>
      <c r="BI47" t="s">
        <v>5391</v>
      </c>
      <c r="BJ47" t="s">
        <v>5628</v>
      </c>
      <c r="BK47" t="s">
        <v>5938</v>
      </c>
      <c r="BL47" t="s">
        <v>6161</v>
      </c>
      <c r="BM47" t="s">
        <v>6342</v>
      </c>
      <c r="BN47" t="s">
        <v>6496</v>
      </c>
      <c r="BO47" t="s">
        <v>6657</v>
      </c>
      <c r="BP47" t="s">
        <v>6793</v>
      </c>
      <c r="BT47" t="s">
        <v>6926</v>
      </c>
      <c r="BU47" t="s">
        <v>7170</v>
      </c>
      <c r="BV47" t="s">
        <v>7232</v>
      </c>
      <c r="BW47" t="s">
        <v>7393</v>
      </c>
      <c r="BX47" t="s">
        <v>7557</v>
      </c>
      <c r="BZ47">
        <v>0</v>
      </c>
      <c r="CA47">
        <v>1</v>
      </c>
      <c r="CB47" t="s">
        <v>7642</v>
      </c>
      <c r="CC47" t="s">
        <v>7712</v>
      </c>
      <c r="CD47" t="s">
        <v>7792</v>
      </c>
      <c r="CE47" t="s">
        <v>7899</v>
      </c>
      <c r="CF47" s="144">
        <v>43894.622604166667</v>
      </c>
      <c r="CG47" s="144">
        <v>43894.630740740744</v>
      </c>
      <c r="CH47" t="s">
        <v>8184</v>
      </c>
    </row>
    <row r="48" spans="1:86" ht="15" customHeight="1" x14ac:dyDescent="0.35">
      <c r="A48" t="s">
        <v>579</v>
      </c>
      <c r="B48">
        <v>1</v>
      </c>
      <c r="C48">
        <v>1</v>
      </c>
      <c r="D48" t="s">
        <v>950</v>
      </c>
      <c r="E48" t="s">
        <v>1164</v>
      </c>
      <c r="F48">
        <v>3</v>
      </c>
      <c r="H48" t="s">
        <v>1360</v>
      </c>
      <c r="I48" t="s">
        <v>1498</v>
      </c>
      <c r="M48" t="s">
        <v>1825</v>
      </c>
      <c r="Q48" t="s">
        <v>2146</v>
      </c>
      <c r="S48">
        <v>2</v>
      </c>
      <c r="T48" t="s">
        <v>2385</v>
      </c>
      <c r="U48" t="s">
        <v>2496</v>
      </c>
      <c r="W48">
        <v>2</v>
      </c>
      <c r="X48" t="s">
        <v>2712</v>
      </c>
      <c r="Y48" t="s">
        <v>2820</v>
      </c>
      <c r="AC48" t="s">
        <v>3127</v>
      </c>
      <c r="AG48" t="s">
        <v>3396</v>
      </c>
      <c r="AK48" t="s">
        <v>3626</v>
      </c>
      <c r="AO48" t="s">
        <v>3883</v>
      </c>
      <c r="AS48" t="s">
        <v>4185</v>
      </c>
      <c r="AW48" t="s">
        <v>4432</v>
      </c>
      <c r="BA48" t="s">
        <v>4666</v>
      </c>
      <c r="BE48" t="s">
        <v>4933</v>
      </c>
      <c r="BG48" t="s">
        <v>4979</v>
      </c>
      <c r="BH48" t="s">
        <v>5119</v>
      </c>
      <c r="BI48" t="s">
        <v>5391</v>
      </c>
      <c r="BJ48" t="s">
        <v>5628</v>
      </c>
      <c r="BK48" t="s">
        <v>5939</v>
      </c>
      <c r="BL48" t="s">
        <v>6161</v>
      </c>
      <c r="BM48" t="s">
        <v>6342</v>
      </c>
      <c r="BN48" t="s">
        <v>6496</v>
      </c>
      <c r="BO48" t="s">
        <v>6657</v>
      </c>
      <c r="BP48" t="s">
        <v>6793</v>
      </c>
      <c r="BT48" t="s">
        <v>6927</v>
      </c>
      <c r="BU48" t="s">
        <v>7170</v>
      </c>
      <c r="BV48" t="s">
        <v>7232</v>
      </c>
      <c r="BW48" t="s">
        <v>7393</v>
      </c>
      <c r="BX48" t="s">
        <v>7557</v>
      </c>
      <c r="BZ48">
        <v>0</v>
      </c>
      <c r="CA48">
        <v>1</v>
      </c>
      <c r="CB48" t="s">
        <v>7643</v>
      </c>
      <c r="CC48" t="s">
        <v>7712</v>
      </c>
      <c r="CD48" t="s">
        <v>7792</v>
      </c>
      <c r="CE48" t="s">
        <v>7899</v>
      </c>
      <c r="CF48" s="144">
        <v>43894.420914351853</v>
      </c>
      <c r="CG48" s="144">
        <v>43894.429270833331</v>
      </c>
      <c r="CH48" t="s">
        <v>8185</v>
      </c>
    </row>
    <row r="49" spans="1:86" ht="15" customHeight="1" x14ac:dyDescent="0.35">
      <c r="A49" t="s">
        <v>580</v>
      </c>
      <c r="B49">
        <v>1</v>
      </c>
      <c r="C49">
        <v>1</v>
      </c>
      <c r="D49" t="s">
        <v>951</v>
      </c>
      <c r="E49" t="s">
        <v>1164</v>
      </c>
      <c r="F49">
        <v>6</v>
      </c>
      <c r="I49" t="s">
        <v>1499</v>
      </c>
      <c r="J49">
        <v>7</v>
      </c>
      <c r="M49" t="s">
        <v>1826</v>
      </c>
      <c r="N49">
        <v>8</v>
      </c>
      <c r="Q49" t="s">
        <v>2147</v>
      </c>
      <c r="R49">
        <v>7</v>
      </c>
      <c r="T49" t="s">
        <v>2386</v>
      </c>
      <c r="U49" t="s">
        <v>2497</v>
      </c>
      <c r="V49">
        <v>7</v>
      </c>
      <c r="Y49" t="s">
        <v>2821</v>
      </c>
      <c r="Z49">
        <v>5</v>
      </c>
      <c r="AC49" t="s">
        <v>3128</v>
      </c>
      <c r="AD49">
        <v>8</v>
      </c>
      <c r="AG49" t="s">
        <v>3397</v>
      </c>
      <c r="AH49">
        <v>5</v>
      </c>
      <c r="AK49" t="s">
        <v>3627</v>
      </c>
      <c r="AM49">
        <v>7</v>
      </c>
      <c r="AO49" t="s">
        <v>3884</v>
      </c>
      <c r="AQ49">
        <v>6</v>
      </c>
      <c r="AS49" t="s">
        <v>4186</v>
      </c>
      <c r="AT49">
        <v>7</v>
      </c>
      <c r="AW49" t="s">
        <v>4433</v>
      </c>
      <c r="AX49">
        <v>4</v>
      </c>
      <c r="BA49" t="s">
        <v>4667</v>
      </c>
      <c r="BB49">
        <v>5</v>
      </c>
      <c r="BE49" t="s">
        <v>4934</v>
      </c>
      <c r="BG49" t="s">
        <v>4979</v>
      </c>
      <c r="BH49" t="s">
        <v>5120</v>
      </c>
      <c r="BI49" t="s">
        <v>5391</v>
      </c>
      <c r="BJ49" t="s">
        <v>5628</v>
      </c>
      <c r="BK49" t="s">
        <v>5940</v>
      </c>
      <c r="BL49" t="s">
        <v>6162</v>
      </c>
      <c r="BM49" t="s">
        <v>6343</v>
      </c>
      <c r="BN49" t="s">
        <v>6496</v>
      </c>
      <c r="BO49" t="s">
        <v>6657</v>
      </c>
      <c r="BP49" t="s">
        <v>6793</v>
      </c>
      <c r="BT49" t="s">
        <v>6928</v>
      </c>
      <c r="BU49" t="s">
        <v>7170</v>
      </c>
      <c r="BV49" t="s">
        <v>7233</v>
      </c>
      <c r="BW49" t="s">
        <v>7393</v>
      </c>
      <c r="BX49" t="s">
        <v>7557</v>
      </c>
      <c r="BZ49">
        <v>0</v>
      </c>
      <c r="CA49">
        <v>0</v>
      </c>
      <c r="CE49" t="s">
        <v>7900</v>
      </c>
      <c r="CF49" s="144">
        <v>43893.473634259259</v>
      </c>
      <c r="CG49" s="144">
        <v>43893.635162037041</v>
      </c>
      <c r="CH49" t="s">
        <v>8186</v>
      </c>
    </row>
    <row r="50" spans="1:86" ht="15" customHeight="1" x14ac:dyDescent="0.35">
      <c r="A50" t="s">
        <v>581</v>
      </c>
      <c r="B50">
        <v>1</v>
      </c>
      <c r="C50">
        <v>1</v>
      </c>
      <c r="D50" t="s">
        <v>952</v>
      </c>
      <c r="E50" t="s">
        <v>1164</v>
      </c>
      <c r="F50">
        <v>3</v>
      </c>
      <c r="H50" t="s">
        <v>1361</v>
      </c>
      <c r="I50" t="s">
        <v>1500</v>
      </c>
      <c r="M50" t="s">
        <v>1826</v>
      </c>
      <c r="N50">
        <v>7</v>
      </c>
      <c r="P50" t="s">
        <v>2019</v>
      </c>
      <c r="Q50" t="s">
        <v>2148</v>
      </c>
      <c r="S50">
        <v>2</v>
      </c>
      <c r="T50" t="s">
        <v>2387</v>
      </c>
      <c r="U50" t="s">
        <v>2497</v>
      </c>
      <c r="V50">
        <v>7</v>
      </c>
      <c r="X50" t="s">
        <v>2713</v>
      </c>
      <c r="Y50" t="s">
        <v>2821</v>
      </c>
      <c r="Z50">
        <v>7</v>
      </c>
      <c r="AB50" t="s">
        <v>3030</v>
      </c>
      <c r="AC50" t="s">
        <v>3129</v>
      </c>
      <c r="AG50" t="s">
        <v>3398</v>
      </c>
      <c r="AI50">
        <v>3</v>
      </c>
      <c r="AJ50" t="s">
        <v>3560</v>
      </c>
      <c r="AK50" t="s">
        <v>3628</v>
      </c>
      <c r="AO50" t="s">
        <v>3885</v>
      </c>
      <c r="AS50" t="s">
        <v>4187</v>
      </c>
      <c r="AW50" t="s">
        <v>4434</v>
      </c>
      <c r="BA50" t="s">
        <v>4668</v>
      </c>
      <c r="BE50" t="s">
        <v>4935</v>
      </c>
      <c r="BG50" t="s">
        <v>4979</v>
      </c>
      <c r="BH50" t="s">
        <v>5121</v>
      </c>
      <c r="BI50" t="s">
        <v>5391</v>
      </c>
      <c r="BJ50" t="s">
        <v>5628</v>
      </c>
      <c r="BK50" t="s">
        <v>5941</v>
      </c>
      <c r="BL50" t="s">
        <v>6163</v>
      </c>
      <c r="BM50" t="s">
        <v>6343</v>
      </c>
      <c r="BN50" t="s">
        <v>6496</v>
      </c>
      <c r="BO50" t="s">
        <v>6658</v>
      </c>
      <c r="BP50" t="s">
        <v>6793</v>
      </c>
      <c r="BT50" t="s">
        <v>6929</v>
      </c>
      <c r="BU50" t="s">
        <v>7170</v>
      </c>
      <c r="BV50" t="s">
        <v>7234</v>
      </c>
      <c r="BW50" t="s">
        <v>7393</v>
      </c>
      <c r="BX50" t="s">
        <v>7557</v>
      </c>
      <c r="BZ50">
        <v>1</v>
      </c>
      <c r="CA50">
        <v>0</v>
      </c>
      <c r="CE50" t="s">
        <v>7901</v>
      </c>
      <c r="CF50" s="144">
        <v>43893.556875000002</v>
      </c>
      <c r="CG50" s="144">
        <v>43893.566157407404</v>
      </c>
      <c r="CH50" t="s">
        <v>8187</v>
      </c>
    </row>
    <row r="51" spans="1:86" ht="15" customHeight="1" x14ac:dyDescent="0.35">
      <c r="A51" t="s">
        <v>582</v>
      </c>
      <c r="B51">
        <v>1</v>
      </c>
      <c r="C51">
        <v>1</v>
      </c>
      <c r="D51" t="s">
        <v>953</v>
      </c>
      <c r="E51" t="s">
        <v>1165</v>
      </c>
      <c r="I51" t="s">
        <v>1501</v>
      </c>
      <c r="J51">
        <v>6</v>
      </c>
      <c r="L51" t="s">
        <v>1712</v>
      </c>
      <c r="M51" t="s">
        <v>1826</v>
      </c>
      <c r="N51">
        <v>5</v>
      </c>
      <c r="P51" t="s">
        <v>2020</v>
      </c>
      <c r="Q51" t="s">
        <v>2149</v>
      </c>
      <c r="R51">
        <v>5</v>
      </c>
      <c r="T51" t="s">
        <v>2388</v>
      </c>
      <c r="U51" t="s">
        <v>2497</v>
      </c>
      <c r="V51">
        <v>5</v>
      </c>
      <c r="X51" t="s">
        <v>2714</v>
      </c>
      <c r="Y51" t="s">
        <v>2821</v>
      </c>
      <c r="Z51">
        <v>3</v>
      </c>
      <c r="AB51" t="s">
        <v>3031</v>
      </c>
      <c r="AC51" t="s">
        <v>3129</v>
      </c>
      <c r="AG51" t="s">
        <v>3399</v>
      </c>
      <c r="AK51" t="s">
        <v>3628</v>
      </c>
      <c r="AO51" t="s">
        <v>3886</v>
      </c>
      <c r="AP51">
        <v>3</v>
      </c>
      <c r="AR51" t="s">
        <v>4098</v>
      </c>
      <c r="AS51" t="s">
        <v>4187</v>
      </c>
      <c r="AW51" t="s">
        <v>4434</v>
      </c>
      <c r="BA51" t="s">
        <v>4668</v>
      </c>
      <c r="BE51" t="s">
        <v>4935</v>
      </c>
      <c r="BG51" t="s">
        <v>4980</v>
      </c>
      <c r="BH51" t="s">
        <v>5121</v>
      </c>
      <c r="BI51" t="s">
        <v>5391</v>
      </c>
      <c r="BJ51" t="s">
        <v>5629</v>
      </c>
      <c r="BK51" t="s">
        <v>5942</v>
      </c>
      <c r="BL51" t="s">
        <v>6163</v>
      </c>
      <c r="BM51" t="s">
        <v>6344</v>
      </c>
      <c r="BN51" t="s">
        <v>6496</v>
      </c>
      <c r="BO51" t="s">
        <v>6659</v>
      </c>
      <c r="BP51" t="s">
        <v>6793</v>
      </c>
      <c r="BT51" t="s">
        <v>6930</v>
      </c>
      <c r="BU51" t="s">
        <v>7170</v>
      </c>
      <c r="BV51" t="s">
        <v>7235</v>
      </c>
      <c r="BW51" t="s">
        <v>7393</v>
      </c>
      <c r="BX51" t="s">
        <v>7557</v>
      </c>
      <c r="BZ51">
        <v>0</v>
      </c>
      <c r="CA51">
        <v>1</v>
      </c>
      <c r="CB51" t="s">
        <v>7644</v>
      </c>
      <c r="CC51" t="s">
        <v>7713</v>
      </c>
      <c r="CD51" t="s">
        <v>7793</v>
      </c>
      <c r="CE51" t="s">
        <v>7902</v>
      </c>
      <c r="CF51" s="144">
        <v>43893.525300925925</v>
      </c>
      <c r="CG51" s="144">
        <v>43893.531111111108</v>
      </c>
      <c r="CH51" t="s">
        <v>8188</v>
      </c>
    </row>
    <row r="52" spans="1:86" ht="15" customHeight="1" x14ac:dyDescent="0.35">
      <c r="A52" t="s">
        <v>583</v>
      </c>
      <c r="B52">
        <v>1</v>
      </c>
      <c r="C52">
        <v>1</v>
      </c>
      <c r="D52" t="s">
        <v>954</v>
      </c>
      <c r="E52" t="s">
        <v>1166</v>
      </c>
      <c r="F52">
        <v>6</v>
      </c>
      <c r="H52" t="s">
        <v>1362</v>
      </c>
      <c r="I52" t="s">
        <v>1501</v>
      </c>
      <c r="J52">
        <v>5</v>
      </c>
      <c r="L52" t="s">
        <v>1713</v>
      </c>
      <c r="M52" t="s">
        <v>1826</v>
      </c>
      <c r="N52">
        <v>7</v>
      </c>
      <c r="P52" t="s">
        <v>2021</v>
      </c>
      <c r="Q52" t="s">
        <v>2150</v>
      </c>
      <c r="U52" t="s">
        <v>2497</v>
      </c>
      <c r="V52">
        <v>5</v>
      </c>
      <c r="Y52" t="s">
        <v>2822</v>
      </c>
      <c r="AC52" t="s">
        <v>3130</v>
      </c>
      <c r="AD52">
        <v>6</v>
      </c>
      <c r="AF52" t="s">
        <v>3315</v>
      </c>
      <c r="AG52" t="s">
        <v>3399</v>
      </c>
      <c r="AK52" t="s">
        <v>3629</v>
      </c>
      <c r="AM52">
        <v>6</v>
      </c>
      <c r="AO52" t="s">
        <v>3886</v>
      </c>
      <c r="AP52">
        <v>6</v>
      </c>
      <c r="AR52" t="s">
        <v>4099</v>
      </c>
      <c r="AS52" t="s">
        <v>4188</v>
      </c>
      <c r="AU52">
        <v>6</v>
      </c>
      <c r="AW52" t="s">
        <v>4434</v>
      </c>
      <c r="BA52" t="s">
        <v>4669</v>
      </c>
      <c r="BB52">
        <v>4</v>
      </c>
      <c r="BE52" t="s">
        <v>4936</v>
      </c>
      <c r="BG52" t="s">
        <v>4981</v>
      </c>
      <c r="BH52" t="s">
        <v>5122</v>
      </c>
      <c r="BI52" t="s">
        <v>5391</v>
      </c>
      <c r="BJ52" t="s">
        <v>5630</v>
      </c>
      <c r="BK52" t="s">
        <v>5943</v>
      </c>
      <c r="BL52" t="s">
        <v>6164</v>
      </c>
      <c r="BM52" t="s">
        <v>6344</v>
      </c>
      <c r="BN52" t="s">
        <v>6496</v>
      </c>
      <c r="BO52" t="s">
        <v>6659</v>
      </c>
      <c r="BP52" t="s">
        <v>6793</v>
      </c>
      <c r="BT52" t="s">
        <v>6931</v>
      </c>
      <c r="BU52" t="s">
        <v>7170</v>
      </c>
      <c r="BV52" t="s">
        <v>7236</v>
      </c>
      <c r="BW52" t="s">
        <v>7393</v>
      </c>
      <c r="BX52" t="s">
        <v>7557</v>
      </c>
      <c r="BZ52">
        <v>1</v>
      </c>
      <c r="CA52">
        <v>0</v>
      </c>
      <c r="CE52" t="s">
        <v>7903</v>
      </c>
      <c r="CF52" s="144">
        <v>43885.587118055555</v>
      </c>
      <c r="CG52" s="144">
        <v>43885.604675925926</v>
      </c>
      <c r="CH52" t="s">
        <v>8189</v>
      </c>
    </row>
    <row r="53" spans="1:86" ht="15" customHeight="1" x14ac:dyDescent="0.35">
      <c r="A53" t="s">
        <v>584</v>
      </c>
      <c r="B53">
        <v>1</v>
      </c>
      <c r="C53">
        <v>1</v>
      </c>
      <c r="D53" t="s">
        <v>955</v>
      </c>
      <c r="E53" t="s">
        <v>1167</v>
      </c>
      <c r="H53" s="21"/>
      <c r="I53" t="s">
        <v>1502</v>
      </c>
      <c r="L53" s="21"/>
      <c r="M53" t="s">
        <v>1826</v>
      </c>
      <c r="N53">
        <v>8</v>
      </c>
      <c r="P53" t="s">
        <v>2022</v>
      </c>
      <c r="Q53" t="s">
        <v>2151</v>
      </c>
      <c r="R53">
        <v>2</v>
      </c>
      <c r="T53" s="21"/>
      <c r="U53" t="s">
        <v>2497</v>
      </c>
      <c r="V53">
        <v>6</v>
      </c>
      <c r="X53" s="21" t="s">
        <v>2715</v>
      </c>
      <c r="Y53" t="s">
        <v>2823</v>
      </c>
      <c r="Z53">
        <v>7</v>
      </c>
      <c r="AB53" s="21"/>
      <c r="AC53" t="s">
        <v>3130</v>
      </c>
      <c r="AD53">
        <v>7</v>
      </c>
      <c r="AF53" t="s">
        <v>3316</v>
      </c>
      <c r="AG53" t="s">
        <v>3400</v>
      </c>
      <c r="AJ53" s="21"/>
      <c r="AK53" t="s">
        <v>3629</v>
      </c>
      <c r="AM53">
        <v>7</v>
      </c>
      <c r="AN53" s="21" t="s">
        <v>3803</v>
      </c>
      <c r="AO53" t="s">
        <v>3887</v>
      </c>
      <c r="AR53" s="21"/>
      <c r="AS53" t="s">
        <v>4189</v>
      </c>
      <c r="AV53" s="21"/>
      <c r="AW53" t="s">
        <v>4434</v>
      </c>
      <c r="AZ53" s="21"/>
      <c r="BA53" t="s">
        <v>4670</v>
      </c>
      <c r="BD53" s="21"/>
      <c r="BE53" t="s">
        <v>4937</v>
      </c>
      <c r="BG53" t="s">
        <v>4981</v>
      </c>
      <c r="BH53" t="s">
        <v>5122</v>
      </c>
      <c r="BI53" t="s">
        <v>5392</v>
      </c>
      <c r="BJ53" t="s">
        <v>5631</v>
      </c>
      <c r="BK53" t="s">
        <v>5944</v>
      </c>
      <c r="BL53" t="s">
        <v>6164</v>
      </c>
      <c r="BM53" t="s">
        <v>6344</v>
      </c>
      <c r="BN53" t="s">
        <v>6496</v>
      </c>
      <c r="BO53" t="s">
        <v>6659</v>
      </c>
      <c r="BP53" t="s">
        <v>6794</v>
      </c>
      <c r="BQ53" t="s">
        <v>6839</v>
      </c>
      <c r="BR53" t="s">
        <v>6854</v>
      </c>
      <c r="BS53" t="s">
        <v>6872</v>
      </c>
      <c r="BT53" t="s">
        <v>6932</v>
      </c>
      <c r="BU53" t="s">
        <v>7170</v>
      </c>
      <c r="BV53" t="s">
        <v>7236</v>
      </c>
      <c r="BW53" t="s">
        <v>7393</v>
      </c>
      <c r="BX53" t="s">
        <v>7558</v>
      </c>
      <c r="BZ53">
        <v>1</v>
      </c>
      <c r="CA53">
        <v>0</v>
      </c>
      <c r="CE53" t="s">
        <v>7904</v>
      </c>
      <c r="CF53" s="144">
        <v>43884.751539351855</v>
      </c>
      <c r="CG53" s="144">
        <v>43884.757592592592</v>
      </c>
      <c r="CH53" t="s">
        <v>8190</v>
      </c>
    </row>
    <row r="54" spans="1:86" ht="15" hidden="1" customHeight="1" x14ac:dyDescent="0.35">
      <c r="A54" t="s">
        <v>585</v>
      </c>
      <c r="B54">
        <v>1</v>
      </c>
      <c r="C54">
        <v>1</v>
      </c>
      <c r="D54" t="s">
        <v>956</v>
      </c>
      <c r="E54" t="s">
        <v>1167</v>
      </c>
      <c r="I54" t="s">
        <v>1503</v>
      </c>
      <c r="J54">
        <v>4</v>
      </c>
      <c r="M54" t="s">
        <v>1826</v>
      </c>
      <c r="N54">
        <v>4</v>
      </c>
      <c r="Q54" t="s">
        <v>2151</v>
      </c>
      <c r="R54">
        <v>4</v>
      </c>
      <c r="U54" t="s">
        <v>2497</v>
      </c>
      <c r="V54">
        <v>4</v>
      </c>
      <c r="Y54" t="s">
        <v>2823</v>
      </c>
      <c r="Z54">
        <v>4</v>
      </c>
      <c r="AC54" t="s">
        <v>3130</v>
      </c>
      <c r="AD54">
        <v>6</v>
      </c>
      <c r="AG54" t="s">
        <v>3400</v>
      </c>
      <c r="AH54">
        <v>4</v>
      </c>
      <c r="AK54" t="s">
        <v>3629</v>
      </c>
      <c r="AM54">
        <v>6</v>
      </c>
      <c r="AO54" t="s">
        <v>3887</v>
      </c>
      <c r="AS54" t="s">
        <v>4190</v>
      </c>
      <c r="AT54">
        <v>4</v>
      </c>
      <c r="AW54" t="s">
        <v>4434</v>
      </c>
      <c r="BA54" t="s">
        <v>4671</v>
      </c>
      <c r="BC54">
        <v>4</v>
      </c>
      <c r="BE54" t="s">
        <v>4938</v>
      </c>
      <c r="BG54" t="s">
        <v>4982</v>
      </c>
      <c r="BH54" t="s">
        <v>5123</v>
      </c>
      <c r="BI54" t="s">
        <v>5393</v>
      </c>
      <c r="BJ54" t="s">
        <v>5632</v>
      </c>
      <c r="BK54" t="s">
        <v>5944</v>
      </c>
      <c r="BL54" t="s">
        <v>6165</v>
      </c>
      <c r="BM54" t="s">
        <v>6345</v>
      </c>
      <c r="BN54" t="s">
        <v>6496</v>
      </c>
      <c r="BO54" t="s">
        <v>6659</v>
      </c>
      <c r="BP54" t="s">
        <v>6794</v>
      </c>
      <c r="BQ54" t="s">
        <v>6839</v>
      </c>
      <c r="BR54" t="s">
        <v>6854</v>
      </c>
      <c r="BS54" t="s">
        <v>6872</v>
      </c>
      <c r="BT54" t="s">
        <v>6933</v>
      </c>
      <c r="BU54" t="s">
        <v>7170</v>
      </c>
      <c r="BV54" t="s">
        <v>7237</v>
      </c>
      <c r="BW54" t="s">
        <v>7394</v>
      </c>
      <c r="BX54" t="s">
        <v>7559</v>
      </c>
      <c r="BZ54">
        <v>0</v>
      </c>
      <c r="CA54">
        <v>1</v>
      </c>
      <c r="CB54" t="s">
        <v>7645</v>
      </c>
      <c r="CC54" t="s">
        <v>7714</v>
      </c>
      <c r="CD54" t="s">
        <v>7794</v>
      </c>
      <c r="CE54" t="s">
        <v>7905</v>
      </c>
      <c r="CF54" s="144">
        <v>43874.521053240744</v>
      </c>
      <c r="CG54" s="144">
        <v>43874.53025462963</v>
      </c>
      <c r="CH54" s="24" t="s">
        <v>8191</v>
      </c>
    </row>
    <row r="55" spans="1:86" ht="15" customHeight="1" x14ac:dyDescent="0.35">
      <c r="A55" t="s">
        <v>586</v>
      </c>
      <c r="B55">
        <v>1</v>
      </c>
      <c r="C55">
        <v>1</v>
      </c>
      <c r="D55" t="s">
        <v>956</v>
      </c>
      <c r="E55" t="s">
        <v>1168</v>
      </c>
      <c r="F55">
        <v>6</v>
      </c>
      <c r="I55" t="s">
        <v>1503</v>
      </c>
      <c r="J55">
        <v>4</v>
      </c>
      <c r="M55" t="s">
        <v>1826</v>
      </c>
      <c r="N55">
        <v>8</v>
      </c>
      <c r="Q55" t="s">
        <v>2152</v>
      </c>
      <c r="S55">
        <v>4</v>
      </c>
      <c r="U55" t="s">
        <v>2497</v>
      </c>
      <c r="V55">
        <v>6</v>
      </c>
      <c r="Y55" t="s">
        <v>2823</v>
      </c>
      <c r="Z55">
        <v>8</v>
      </c>
      <c r="AC55" t="s">
        <v>3131</v>
      </c>
      <c r="AE55">
        <v>2</v>
      </c>
      <c r="AG55" t="s">
        <v>3400</v>
      </c>
      <c r="AH55">
        <v>6</v>
      </c>
      <c r="AK55" t="s">
        <v>3630</v>
      </c>
      <c r="AL55">
        <v>6</v>
      </c>
      <c r="AO55" t="s">
        <v>3888</v>
      </c>
      <c r="AP55">
        <v>4</v>
      </c>
      <c r="AS55" t="s">
        <v>4190</v>
      </c>
      <c r="AT55">
        <v>6</v>
      </c>
      <c r="AW55" t="s">
        <v>4435</v>
      </c>
      <c r="AY55">
        <v>6</v>
      </c>
      <c r="BA55" t="s">
        <v>4671</v>
      </c>
      <c r="BC55">
        <v>8</v>
      </c>
      <c r="BE55" t="s">
        <v>4938</v>
      </c>
      <c r="BG55" t="s">
        <v>4982</v>
      </c>
      <c r="BH55" t="s">
        <v>5123</v>
      </c>
      <c r="BI55" t="s">
        <v>5394</v>
      </c>
      <c r="BJ55" t="s">
        <v>5633</v>
      </c>
      <c r="BK55" t="s">
        <v>5945</v>
      </c>
      <c r="BL55" t="s">
        <v>6166</v>
      </c>
      <c r="BM55" t="s">
        <v>6345</v>
      </c>
      <c r="BN55" t="s">
        <v>6496</v>
      </c>
      <c r="BO55" t="s">
        <v>6659</v>
      </c>
      <c r="BP55" t="s">
        <v>6795</v>
      </c>
      <c r="BT55" t="s">
        <v>6933</v>
      </c>
      <c r="BU55" t="s">
        <v>7170</v>
      </c>
      <c r="BV55" t="s">
        <v>7238</v>
      </c>
      <c r="BW55" t="s">
        <v>7395</v>
      </c>
      <c r="BX55" t="s">
        <v>7560</v>
      </c>
      <c r="BZ55">
        <v>0</v>
      </c>
      <c r="CA55">
        <v>1</v>
      </c>
      <c r="CB55" t="s">
        <v>7645</v>
      </c>
      <c r="CC55" t="s">
        <v>7714</v>
      </c>
      <c r="CD55" t="s">
        <v>7795</v>
      </c>
      <c r="CE55" t="s">
        <v>7906</v>
      </c>
      <c r="CF55" s="144">
        <v>43874.497048611112</v>
      </c>
      <c r="CG55" s="144">
        <v>43874.509467592594</v>
      </c>
      <c r="CH55" t="s">
        <v>8191</v>
      </c>
    </row>
    <row r="56" spans="1:86" ht="15" hidden="1" customHeight="1" x14ac:dyDescent="0.35">
      <c r="A56" t="s">
        <v>587</v>
      </c>
      <c r="B56">
        <v>1</v>
      </c>
      <c r="C56">
        <v>1</v>
      </c>
      <c r="D56" t="s">
        <v>956</v>
      </c>
      <c r="E56" t="s">
        <v>1168</v>
      </c>
      <c r="F56">
        <v>4</v>
      </c>
      <c r="H56" t="s">
        <v>1363</v>
      </c>
      <c r="I56" t="s">
        <v>1503</v>
      </c>
      <c r="J56">
        <v>4</v>
      </c>
      <c r="L56" t="s">
        <v>1714</v>
      </c>
      <c r="M56" t="s">
        <v>1826</v>
      </c>
      <c r="N56">
        <v>2</v>
      </c>
      <c r="P56" t="s">
        <v>2023</v>
      </c>
      <c r="Q56" t="s">
        <v>2153</v>
      </c>
      <c r="R56">
        <v>3</v>
      </c>
      <c r="T56" t="s">
        <v>2389</v>
      </c>
      <c r="U56" t="s">
        <v>2497</v>
      </c>
      <c r="V56">
        <v>6</v>
      </c>
      <c r="X56" t="s">
        <v>2716</v>
      </c>
      <c r="Y56" t="s">
        <v>2823</v>
      </c>
      <c r="Z56">
        <v>1</v>
      </c>
      <c r="AB56" t="s">
        <v>3032</v>
      </c>
      <c r="AC56" t="s">
        <v>3132</v>
      </c>
      <c r="AG56" t="s">
        <v>3401</v>
      </c>
      <c r="AK56" t="s">
        <v>3631</v>
      </c>
      <c r="AO56" t="s">
        <v>3889</v>
      </c>
      <c r="AS56" t="s">
        <v>4190</v>
      </c>
      <c r="AT56">
        <v>5</v>
      </c>
      <c r="AV56" t="s">
        <v>4368</v>
      </c>
      <c r="AW56" t="s">
        <v>4436</v>
      </c>
      <c r="BA56" t="s">
        <v>4671</v>
      </c>
      <c r="BC56">
        <v>5</v>
      </c>
      <c r="BD56" t="s">
        <v>4855</v>
      </c>
      <c r="BE56" t="s">
        <v>4939</v>
      </c>
      <c r="BG56" t="s">
        <v>4982</v>
      </c>
      <c r="BH56" t="s">
        <v>5124</v>
      </c>
      <c r="BI56" t="s">
        <v>5395</v>
      </c>
      <c r="BJ56" t="s">
        <v>5634</v>
      </c>
      <c r="BK56" t="s">
        <v>5945</v>
      </c>
      <c r="BL56" t="s">
        <v>6167</v>
      </c>
      <c r="BM56" t="s">
        <v>6346</v>
      </c>
      <c r="BN56" t="s">
        <v>6496</v>
      </c>
      <c r="BO56" t="s">
        <v>6659</v>
      </c>
      <c r="BP56" t="s">
        <v>6796</v>
      </c>
      <c r="BQ56" t="s">
        <v>6840</v>
      </c>
      <c r="BR56" t="s">
        <v>6855</v>
      </c>
      <c r="BS56" t="s">
        <v>6873</v>
      </c>
      <c r="BT56" t="s">
        <v>6934</v>
      </c>
      <c r="BU56" t="s">
        <v>7170</v>
      </c>
      <c r="BV56" t="s">
        <v>7238</v>
      </c>
      <c r="BW56" t="s">
        <v>7396</v>
      </c>
      <c r="BX56" t="s">
        <v>7560</v>
      </c>
      <c r="BZ56">
        <v>0</v>
      </c>
      <c r="CA56">
        <v>0</v>
      </c>
      <c r="CE56" t="s">
        <v>7907</v>
      </c>
      <c r="CF56" s="144">
        <v>43873.522488425922</v>
      </c>
      <c r="CG56" s="144">
        <v>43873.538310185184</v>
      </c>
      <c r="CH56" t="s">
        <v>8192</v>
      </c>
    </row>
    <row r="57" spans="1:86" ht="15" customHeight="1" x14ac:dyDescent="0.35">
      <c r="A57" t="s">
        <v>588</v>
      </c>
      <c r="B57">
        <v>1</v>
      </c>
      <c r="C57">
        <v>1</v>
      </c>
      <c r="D57" t="s">
        <v>957</v>
      </c>
      <c r="E57" t="s">
        <v>1169</v>
      </c>
      <c r="I57" t="s">
        <v>1503</v>
      </c>
      <c r="J57">
        <v>6</v>
      </c>
      <c r="L57" t="s">
        <v>1715</v>
      </c>
      <c r="M57" t="s">
        <v>1826</v>
      </c>
      <c r="N57">
        <v>7</v>
      </c>
      <c r="Q57" t="s">
        <v>2154</v>
      </c>
      <c r="U57" t="s">
        <v>2497</v>
      </c>
      <c r="V57">
        <v>7</v>
      </c>
      <c r="X57" t="s">
        <v>2717</v>
      </c>
      <c r="Y57" t="s">
        <v>2823</v>
      </c>
      <c r="Z57">
        <v>6</v>
      </c>
      <c r="AC57" t="s">
        <v>3132</v>
      </c>
      <c r="AG57" t="s">
        <v>3401</v>
      </c>
      <c r="AK57" t="s">
        <v>3631</v>
      </c>
      <c r="AO57" t="s">
        <v>3890</v>
      </c>
      <c r="AQ57">
        <v>6</v>
      </c>
      <c r="AS57" t="s">
        <v>4191</v>
      </c>
      <c r="AW57" t="s">
        <v>4436</v>
      </c>
      <c r="BA57" t="s">
        <v>4672</v>
      </c>
      <c r="BE57" t="s">
        <v>4939</v>
      </c>
      <c r="BG57" t="s">
        <v>4983</v>
      </c>
      <c r="BH57" t="s">
        <v>5124</v>
      </c>
      <c r="BI57" t="s">
        <v>5396</v>
      </c>
      <c r="BJ57" t="s">
        <v>5635</v>
      </c>
      <c r="BK57" t="s">
        <v>5945</v>
      </c>
      <c r="BL57" t="s">
        <v>6167</v>
      </c>
      <c r="BM57" t="s">
        <v>6346</v>
      </c>
      <c r="BN57" t="s">
        <v>6496</v>
      </c>
      <c r="BO57" t="s">
        <v>6659</v>
      </c>
      <c r="BP57" t="s">
        <v>6796</v>
      </c>
      <c r="BQ57" t="s">
        <v>6840</v>
      </c>
      <c r="BR57" t="s">
        <v>6856</v>
      </c>
      <c r="BS57" t="s">
        <v>6873</v>
      </c>
      <c r="BT57" t="s">
        <v>6935</v>
      </c>
      <c r="BU57" t="s">
        <v>7170</v>
      </c>
      <c r="BV57" t="s">
        <v>7239</v>
      </c>
      <c r="BW57" t="s">
        <v>7397</v>
      </c>
      <c r="BX57" t="s">
        <v>7560</v>
      </c>
      <c r="BZ57">
        <v>0</v>
      </c>
      <c r="CA57">
        <v>1</v>
      </c>
      <c r="CB57" t="s">
        <v>7645</v>
      </c>
      <c r="CC57" t="s">
        <v>7715</v>
      </c>
      <c r="CD57" t="s">
        <v>7796</v>
      </c>
      <c r="CE57" t="s">
        <v>7908</v>
      </c>
      <c r="CF57" s="144">
        <v>43872.475324074076</v>
      </c>
      <c r="CG57" s="144">
        <v>43872.482777777775</v>
      </c>
      <c r="CH57" t="s">
        <v>8193</v>
      </c>
    </row>
    <row r="58" spans="1:86" ht="15" customHeight="1" x14ac:dyDescent="0.35">
      <c r="A58" t="s">
        <v>589</v>
      </c>
      <c r="B58">
        <v>1</v>
      </c>
      <c r="C58">
        <v>1</v>
      </c>
      <c r="D58" t="s">
        <v>957</v>
      </c>
      <c r="E58" t="s">
        <v>1169</v>
      </c>
      <c r="I58" t="s">
        <v>1504</v>
      </c>
      <c r="M58" t="s">
        <v>1827</v>
      </c>
      <c r="Q58" t="s">
        <v>2154</v>
      </c>
      <c r="U58" t="s">
        <v>2498</v>
      </c>
      <c r="Y58" t="s">
        <v>2824</v>
      </c>
      <c r="AC58" t="s">
        <v>3132</v>
      </c>
      <c r="AG58" t="s">
        <v>3401</v>
      </c>
      <c r="AK58" t="s">
        <v>3631</v>
      </c>
      <c r="AO58" t="s">
        <v>3891</v>
      </c>
      <c r="AS58" t="s">
        <v>4191</v>
      </c>
      <c r="AW58" t="s">
        <v>4436</v>
      </c>
      <c r="BA58" t="s">
        <v>4672</v>
      </c>
      <c r="BE58" t="s">
        <v>4939</v>
      </c>
      <c r="BG58" t="s">
        <v>4983</v>
      </c>
      <c r="BH58" t="s">
        <v>5125</v>
      </c>
      <c r="BI58" t="s">
        <v>5397</v>
      </c>
      <c r="BJ58" t="s">
        <v>5636</v>
      </c>
      <c r="BK58" t="s">
        <v>5945</v>
      </c>
      <c r="BL58" t="s">
        <v>6167</v>
      </c>
      <c r="BM58" t="s">
        <v>6346</v>
      </c>
      <c r="BN58" t="s">
        <v>6497</v>
      </c>
      <c r="BO58" t="s">
        <v>6660</v>
      </c>
      <c r="BP58" t="s">
        <v>6796</v>
      </c>
      <c r="BQ58" t="s">
        <v>6840</v>
      </c>
      <c r="BR58" t="s">
        <v>6856</v>
      </c>
      <c r="BS58" t="s">
        <v>6873</v>
      </c>
      <c r="BT58" t="s">
        <v>6936</v>
      </c>
      <c r="BU58" t="s">
        <v>7170</v>
      </c>
      <c r="BV58" t="s">
        <v>7240</v>
      </c>
      <c r="BW58" t="s">
        <v>7397</v>
      </c>
      <c r="BX58" t="s">
        <v>7560</v>
      </c>
      <c r="BZ58">
        <v>0</v>
      </c>
      <c r="CA58">
        <v>0</v>
      </c>
      <c r="CE58" t="s">
        <v>7909</v>
      </c>
      <c r="CF58" s="144">
        <v>43871.869340277779</v>
      </c>
      <c r="CG58" s="144">
        <v>43871.874178240738</v>
      </c>
      <c r="CH58" t="s">
        <v>8194</v>
      </c>
    </row>
    <row r="59" spans="1:86" ht="15" hidden="1" customHeight="1" x14ac:dyDescent="0.35">
      <c r="A59" t="s">
        <v>590</v>
      </c>
      <c r="B59">
        <v>1</v>
      </c>
      <c r="C59">
        <v>1</v>
      </c>
      <c r="D59" t="s">
        <v>958</v>
      </c>
      <c r="E59" t="s">
        <v>1170</v>
      </c>
      <c r="F59">
        <v>6</v>
      </c>
      <c r="H59" s="21" t="s">
        <v>1364</v>
      </c>
      <c r="I59" t="s">
        <v>1505</v>
      </c>
      <c r="K59">
        <v>5</v>
      </c>
      <c r="L59" s="21" t="s">
        <v>1716</v>
      </c>
      <c r="M59" t="s">
        <v>1827</v>
      </c>
      <c r="Q59" t="s">
        <v>2155</v>
      </c>
      <c r="S59">
        <v>6</v>
      </c>
      <c r="T59" s="21" t="s">
        <v>2390</v>
      </c>
      <c r="U59" t="s">
        <v>2499</v>
      </c>
      <c r="W59">
        <v>7</v>
      </c>
      <c r="X59" s="21" t="s">
        <v>2718</v>
      </c>
      <c r="Y59" t="s">
        <v>2825</v>
      </c>
      <c r="AA59">
        <v>6</v>
      </c>
      <c r="AB59" s="21" t="s">
        <v>3033</v>
      </c>
      <c r="AC59" t="s">
        <v>3133</v>
      </c>
      <c r="AE59">
        <v>7</v>
      </c>
      <c r="AF59" t="s">
        <v>3317</v>
      </c>
      <c r="AG59" t="s">
        <v>3402</v>
      </c>
      <c r="AI59">
        <v>5</v>
      </c>
      <c r="AJ59" s="21" t="s">
        <v>3561</v>
      </c>
      <c r="AK59" t="s">
        <v>3632</v>
      </c>
      <c r="AL59">
        <v>6</v>
      </c>
      <c r="AN59" s="21" t="s">
        <v>3804</v>
      </c>
      <c r="AO59" t="s">
        <v>3892</v>
      </c>
      <c r="AP59">
        <v>7</v>
      </c>
      <c r="AR59" s="21" t="s">
        <v>4100</v>
      </c>
      <c r="AS59" t="s">
        <v>4192</v>
      </c>
      <c r="AT59">
        <v>5</v>
      </c>
      <c r="AV59" s="21" t="s">
        <v>4369</v>
      </c>
      <c r="AW59" t="s">
        <v>4437</v>
      </c>
      <c r="AY59">
        <v>2</v>
      </c>
      <c r="AZ59" s="21" t="s">
        <v>4605</v>
      </c>
      <c r="BA59" t="s">
        <v>4673</v>
      </c>
      <c r="BC59">
        <v>3</v>
      </c>
      <c r="BD59" s="21" t="s">
        <v>4856</v>
      </c>
      <c r="BE59" t="s">
        <v>4940</v>
      </c>
      <c r="BG59" t="s">
        <v>4983</v>
      </c>
      <c r="BH59" t="s">
        <v>5126</v>
      </c>
      <c r="BI59" t="s">
        <v>5398</v>
      </c>
      <c r="BJ59" t="s">
        <v>5637</v>
      </c>
      <c r="BK59" t="s">
        <v>5946</v>
      </c>
      <c r="BL59" t="s">
        <v>6168</v>
      </c>
      <c r="BM59" t="s">
        <v>6347</v>
      </c>
      <c r="BN59" t="s">
        <v>6498</v>
      </c>
      <c r="BO59" t="s">
        <v>6661</v>
      </c>
      <c r="BP59" t="s">
        <v>6797</v>
      </c>
      <c r="BT59" t="s">
        <v>6937</v>
      </c>
      <c r="BU59" t="s">
        <v>7170</v>
      </c>
      <c r="BV59" t="s">
        <v>7240</v>
      </c>
      <c r="BW59" t="s">
        <v>7398</v>
      </c>
      <c r="BX59" t="s">
        <v>7560</v>
      </c>
      <c r="BZ59">
        <v>0</v>
      </c>
      <c r="CA59">
        <v>1</v>
      </c>
      <c r="CB59" t="s">
        <v>7646</v>
      </c>
      <c r="CC59" t="s">
        <v>7716</v>
      </c>
      <c r="CD59" t="s">
        <v>7796</v>
      </c>
      <c r="CE59" t="s">
        <v>7910</v>
      </c>
      <c r="CF59" s="144">
        <v>43858.87027777778</v>
      </c>
      <c r="CG59" s="144">
        <v>43858.878599537034</v>
      </c>
      <c r="CH59" t="s">
        <v>8195</v>
      </c>
    </row>
    <row r="60" spans="1:86" ht="15" customHeight="1" x14ac:dyDescent="0.35">
      <c r="A60" t="s">
        <v>591</v>
      </c>
      <c r="B60">
        <v>1</v>
      </c>
      <c r="C60">
        <v>1</v>
      </c>
      <c r="D60" t="s">
        <v>958</v>
      </c>
      <c r="E60" t="s">
        <v>1171</v>
      </c>
      <c r="G60">
        <v>5</v>
      </c>
      <c r="H60" t="s">
        <v>1365</v>
      </c>
      <c r="I60" t="s">
        <v>1506</v>
      </c>
      <c r="J60">
        <v>6</v>
      </c>
      <c r="L60" t="s">
        <v>1717</v>
      </c>
      <c r="M60" t="s">
        <v>1827</v>
      </c>
      <c r="Q60" t="s">
        <v>2156</v>
      </c>
      <c r="U60" t="s">
        <v>2500</v>
      </c>
      <c r="Y60" t="s">
        <v>2826</v>
      </c>
      <c r="Z60">
        <v>6</v>
      </c>
      <c r="AB60" t="s">
        <v>3034</v>
      </c>
      <c r="AC60" t="s">
        <v>3134</v>
      </c>
      <c r="AD60">
        <v>8</v>
      </c>
      <c r="AF60" t="s">
        <v>3318</v>
      </c>
      <c r="AG60" t="s">
        <v>3403</v>
      </c>
      <c r="AK60" t="s">
        <v>3633</v>
      </c>
      <c r="AM60">
        <v>6</v>
      </c>
      <c r="AO60" t="s">
        <v>3893</v>
      </c>
      <c r="AS60" t="s">
        <v>4193</v>
      </c>
      <c r="AW60" t="s">
        <v>4438</v>
      </c>
      <c r="BA60" t="s">
        <v>4674</v>
      </c>
      <c r="BE60" t="s">
        <v>4941</v>
      </c>
      <c r="BG60" t="s">
        <v>4983</v>
      </c>
      <c r="BH60" t="s">
        <v>5127</v>
      </c>
      <c r="BI60" t="s">
        <v>5399</v>
      </c>
      <c r="BJ60" t="s">
        <v>5637</v>
      </c>
      <c r="BK60" t="s">
        <v>5947</v>
      </c>
      <c r="BL60" t="s">
        <v>6169</v>
      </c>
      <c r="BM60" t="s">
        <v>6348</v>
      </c>
      <c r="BN60" t="s">
        <v>6498</v>
      </c>
      <c r="BO60" t="s">
        <v>6661</v>
      </c>
      <c r="BP60" t="s">
        <v>6798</v>
      </c>
      <c r="BQ60" t="s">
        <v>6840</v>
      </c>
      <c r="BR60" t="s">
        <v>6856</v>
      </c>
      <c r="BS60" t="s">
        <v>6873</v>
      </c>
      <c r="BT60" t="s">
        <v>6938</v>
      </c>
      <c r="BU60" t="s">
        <v>7170</v>
      </c>
      <c r="BV60" t="s">
        <v>7241</v>
      </c>
      <c r="BW60" t="s">
        <v>7399</v>
      </c>
      <c r="BX60" t="s">
        <v>7560</v>
      </c>
      <c r="BZ60">
        <v>1</v>
      </c>
      <c r="CA60">
        <v>1</v>
      </c>
      <c r="CB60" t="s">
        <v>7647</v>
      </c>
      <c r="CC60" t="s">
        <v>7717</v>
      </c>
      <c r="CD60" t="s">
        <v>7797</v>
      </c>
      <c r="CE60" t="s">
        <v>7911</v>
      </c>
      <c r="CF60" s="144">
        <v>43857.604143518518</v>
      </c>
      <c r="CG60" s="144">
        <v>43857.621006944442</v>
      </c>
      <c r="CH60" s="24" t="s">
        <v>8196</v>
      </c>
    </row>
    <row r="61" spans="1:86" ht="15" hidden="1" customHeight="1" x14ac:dyDescent="0.35">
      <c r="A61" t="s">
        <v>592</v>
      </c>
      <c r="B61">
        <v>1</v>
      </c>
      <c r="C61">
        <v>1</v>
      </c>
      <c r="D61" t="s">
        <v>958</v>
      </c>
      <c r="E61" t="s">
        <v>1172</v>
      </c>
      <c r="I61" t="s">
        <v>1506</v>
      </c>
      <c r="M61" t="s">
        <v>1828</v>
      </c>
      <c r="Q61" t="s">
        <v>2157</v>
      </c>
      <c r="U61" t="s">
        <v>2501</v>
      </c>
      <c r="Y61" t="s">
        <v>2827</v>
      </c>
      <c r="AC61" t="s">
        <v>3134</v>
      </c>
      <c r="AG61" t="s">
        <v>3404</v>
      </c>
      <c r="AK61" t="s">
        <v>3633</v>
      </c>
      <c r="AO61" t="s">
        <v>3894</v>
      </c>
      <c r="BE61" t="s">
        <v>4942</v>
      </c>
      <c r="BG61" t="s">
        <v>4984</v>
      </c>
      <c r="BH61" t="s">
        <v>5128</v>
      </c>
      <c r="BI61" t="s">
        <v>5400</v>
      </c>
      <c r="BJ61" t="s">
        <v>5638</v>
      </c>
      <c r="BK61" t="s">
        <v>5948</v>
      </c>
      <c r="BL61" t="s">
        <v>6170</v>
      </c>
      <c r="BM61" t="s">
        <v>6349</v>
      </c>
      <c r="BN61" t="s">
        <v>6499</v>
      </c>
      <c r="BO61" t="s">
        <v>6662</v>
      </c>
      <c r="BP61" t="s">
        <v>6799</v>
      </c>
      <c r="BT61" t="s">
        <v>6939</v>
      </c>
      <c r="BU61" t="s">
        <v>7171</v>
      </c>
      <c r="BV61" t="s">
        <v>7242</v>
      </c>
      <c r="BW61" t="s">
        <v>7400</v>
      </c>
      <c r="BX61" t="s">
        <v>7561</v>
      </c>
      <c r="BZ61">
        <v>0</v>
      </c>
      <c r="CA61">
        <v>1</v>
      </c>
      <c r="CE61" t="s">
        <v>7912</v>
      </c>
      <c r="CF61" s="144">
        <v>43844.385798611111</v>
      </c>
      <c r="CG61" s="144">
        <v>43844.410011574073</v>
      </c>
      <c r="CH61" t="s">
        <v>8197</v>
      </c>
    </row>
    <row r="62" spans="1:86" ht="15" hidden="1" customHeight="1" x14ac:dyDescent="0.35">
      <c r="A62" t="s">
        <v>593</v>
      </c>
      <c r="B62">
        <v>1</v>
      </c>
      <c r="C62">
        <v>1</v>
      </c>
      <c r="D62" t="s">
        <v>959</v>
      </c>
      <c r="E62" t="s">
        <v>1173</v>
      </c>
      <c r="I62" t="s">
        <v>1507</v>
      </c>
      <c r="M62" t="s">
        <v>1829</v>
      </c>
      <c r="N62">
        <v>8</v>
      </c>
      <c r="P62" t="s">
        <v>2024</v>
      </c>
      <c r="Q62" t="s">
        <v>2158</v>
      </c>
      <c r="S62">
        <v>8</v>
      </c>
      <c r="T62" t="s">
        <v>2391</v>
      </c>
      <c r="U62" t="s">
        <v>2502</v>
      </c>
      <c r="V62">
        <v>8</v>
      </c>
      <c r="X62" t="s">
        <v>2719</v>
      </c>
      <c r="Y62" t="s">
        <v>2828</v>
      </c>
      <c r="AA62">
        <v>1</v>
      </c>
      <c r="AC62" t="s">
        <v>3135</v>
      </c>
      <c r="AG62" t="s">
        <v>3405</v>
      </c>
      <c r="AK62" t="s">
        <v>3634</v>
      </c>
      <c r="AL62">
        <v>6</v>
      </c>
      <c r="AO62" t="s">
        <v>3895</v>
      </c>
      <c r="AS62" t="s">
        <v>4194</v>
      </c>
      <c r="AW62" t="s">
        <v>4439</v>
      </c>
      <c r="BA62" t="s">
        <v>4675</v>
      </c>
      <c r="BC62">
        <v>5</v>
      </c>
      <c r="BE62" t="s">
        <v>4943</v>
      </c>
      <c r="BG62" t="s">
        <v>4985</v>
      </c>
      <c r="BH62" t="s">
        <v>5129</v>
      </c>
      <c r="BI62" t="s">
        <v>5401</v>
      </c>
      <c r="BJ62" t="s">
        <v>5639</v>
      </c>
      <c r="BK62" t="s">
        <v>5949</v>
      </c>
      <c r="BL62" t="s">
        <v>6170</v>
      </c>
      <c r="BM62" t="s">
        <v>6350</v>
      </c>
      <c r="BN62" t="s">
        <v>6500</v>
      </c>
      <c r="BO62" t="s">
        <v>6663</v>
      </c>
      <c r="BP62" t="s">
        <v>6800</v>
      </c>
      <c r="BT62" t="s">
        <v>6940</v>
      </c>
      <c r="BW62" t="s">
        <v>7401</v>
      </c>
      <c r="BZ62">
        <v>1</v>
      </c>
      <c r="CA62">
        <v>0</v>
      </c>
      <c r="CD62" s="23"/>
      <c r="CE62" s="23" t="s">
        <v>7913</v>
      </c>
      <c r="CF62" s="144">
        <v>44127.565925925926</v>
      </c>
      <c r="CG62" s="144">
        <v>44127.573611111111</v>
      </c>
      <c r="CH62" t="s">
        <v>8198</v>
      </c>
    </row>
    <row r="63" spans="1:86" ht="15" hidden="1" customHeight="1" x14ac:dyDescent="0.35">
      <c r="A63" t="s">
        <v>594</v>
      </c>
      <c r="B63">
        <v>1</v>
      </c>
      <c r="C63">
        <v>1</v>
      </c>
      <c r="D63" t="s">
        <v>960</v>
      </c>
      <c r="E63" t="s">
        <v>1173</v>
      </c>
      <c r="I63" t="s">
        <v>1507</v>
      </c>
      <c r="M63" t="s">
        <v>1830</v>
      </c>
      <c r="O63">
        <v>5</v>
      </c>
      <c r="Q63" t="s">
        <v>2159</v>
      </c>
      <c r="R63">
        <v>6</v>
      </c>
      <c r="U63" t="s">
        <v>2503</v>
      </c>
      <c r="Y63" t="s">
        <v>2829</v>
      </c>
      <c r="AC63" t="s">
        <v>3136</v>
      </c>
      <c r="AD63">
        <v>6</v>
      </c>
      <c r="AF63" t="s">
        <v>3319</v>
      </c>
      <c r="AG63" t="s">
        <v>3406</v>
      </c>
      <c r="AH63">
        <v>6</v>
      </c>
      <c r="AK63" t="s">
        <v>3634</v>
      </c>
      <c r="AL63">
        <v>7</v>
      </c>
      <c r="AO63" t="s">
        <v>3896</v>
      </c>
      <c r="AQ63">
        <v>6</v>
      </c>
      <c r="AS63" t="s">
        <v>4195</v>
      </c>
      <c r="AW63" t="s">
        <v>4439</v>
      </c>
      <c r="BA63" t="s">
        <v>4676</v>
      </c>
      <c r="BE63" t="s">
        <v>4943</v>
      </c>
      <c r="BG63" t="s">
        <v>4985</v>
      </c>
      <c r="BH63" t="s">
        <v>5129</v>
      </c>
      <c r="BI63" t="s">
        <v>5401</v>
      </c>
      <c r="BJ63" t="s">
        <v>5640</v>
      </c>
      <c r="BK63" t="s">
        <v>5950</v>
      </c>
      <c r="BL63" t="s">
        <v>6170</v>
      </c>
      <c r="BM63" t="s">
        <v>6350</v>
      </c>
      <c r="BN63" t="s">
        <v>6501</v>
      </c>
      <c r="BO63" t="s">
        <v>6664</v>
      </c>
      <c r="BP63" t="s">
        <v>6801</v>
      </c>
      <c r="BQ63" t="s">
        <v>6841</v>
      </c>
      <c r="BR63" t="s">
        <v>6857</v>
      </c>
      <c r="BS63" t="s">
        <v>6874</v>
      </c>
      <c r="BT63" t="s">
        <v>6941</v>
      </c>
      <c r="BW63" t="s">
        <v>7401</v>
      </c>
      <c r="BZ63">
        <v>0</v>
      </c>
      <c r="CA63">
        <v>0</v>
      </c>
      <c r="CD63" s="23"/>
      <c r="CE63" s="23" t="s">
        <v>7914</v>
      </c>
      <c r="CF63" s="144">
        <v>44125.596631944441</v>
      </c>
      <c r="CG63" s="144">
        <v>44125.620023148149</v>
      </c>
      <c r="CH63" t="s">
        <v>8199</v>
      </c>
    </row>
    <row r="64" spans="1:86" ht="15" hidden="1" customHeight="1" x14ac:dyDescent="0.35">
      <c r="A64" t="s">
        <v>595</v>
      </c>
      <c r="B64">
        <v>1</v>
      </c>
      <c r="C64">
        <v>1</v>
      </c>
      <c r="D64" t="s">
        <v>961</v>
      </c>
      <c r="E64" t="s">
        <v>1174</v>
      </c>
      <c r="G64">
        <v>6</v>
      </c>
      <c r="H64" t="s">
        <v>1366</v>
      </c>
      <c r="I64" t="s">
        <v>1508</v>
      </c>
      <c r="J64">
        <v>6</v>
      </c>
      <c r="L64" t="s">
        <v>1718</v>
      </c>
      <c r="M64" t="s">
        <v>1831</v>
      </c>
      <c r="N64">
        <v>7</v>
      </c>
      <c r="P64" t="s">
        <v>2025</v>
      </c>
      <c r="Q64" t="s">
        <v>2159</v>
      </c>
      <c r="R64">
        <v>6</v>
      </c>
      <c r="U64" t="s">
        <v>2504</v>
      </c>
      <c r="V64">
        <v>6</v>
      </c>
      <c r="Y64" t="s">
        <v>2830</v>
      </c>
      <c r="Z64">
        <v>4</v>
      </c>
      <c r="AC64" t="s">
        <v>3137</v>
      </c>
      <c r="AG64" t="s">
        <v>3406</v>
      </c>
      <c r="AH64">
        <v>6</v>
      </c>
      <c r="AK64" t="s">
        <v>3634</v>
      </c>
      <c r="AL64">
        <v>6</v>
      </c>
      <c r="AO64" t="s">
        <v>3896</v>
      </c>
      <c r="AS64" t="s">
        <v>4196</v>
      </c>
      <c r="AW64" t="s">
        <v>4440</v>
      </c>
      <c r="AY64">
        <v>7</v>
      </c>
      <c r="BA64" t="s">
        <v>4677</v>
      </c>
      <c r="BC64">
        <v>7</v>
      </c>
      <c r="BE64" t="s">
        <v>4943</v>
      </c>
      <c r="BG64" t="s">
        <v>4985</v>
      </c>
      <c r="BH64" t="s">
        <v>5129</v>
      </c>
      <c r="BI64" t="s">
        <v>5401</v>
      </c>
      <c r="BJ64" t="s">
        <v>5640</v>
      </c>
      <c r="BK64" t="s">
        <v>5950</v>
      </c>
      <c r="BL64" t="s">
        <v>6171</v>
      </c>
      <c r="BM64" t="s">
        <v>6350</v>
      </c>
      <c r="BN64" t="s">
        <v>6501</v>
      </c>
      <c r="BO64" t="s">
        <v>6664</v>
      </c>
      <c r="BP64" t="s">
        <v>6802</v>
      </c>
      <c r="BT64" t="s">
        <v>6942</v>
      </c>
      <c r="BW64" t="s">
        <v>7401</v>
      </c>
      <c r="BZ64">
        <v>0</v>
      </c>
      <c r="CA64">
        <v>1</v>
      </c>
      <c r="CB64" t="s">
        <v>7648</v>
      </c>
      <c r="CC64" t="s">
        <v>7718</v>
      </c>
      <c r="CD64" s="23" t="s">
        <v>7798</v>
      </c>
      <c r="CE64" s="23" t="s">
        <v>7914</v>
      </c>
      <c r="CF64" s="144">
        <v>44125.57503472222</v>
      </c>
      <c r="CG64" s="144">
        <v>44125.584710648145</v>
      </c>
      <c r="CH64" s="24" t="s">
        <v>8200</v>
      </c>
    </row>
    <row r="65" spans="1:86" ht="15" hidden="1" customHeight="1" x14ac:dyDescent="0.35">
      <c r="A65" t="s">
        <v>596</v>
      </c>
      <c r="B65">
        <v>1</v>
      </c>
      <c r="C65">
        <v>1</v>
      </c>
      <c r="D65" t="s">
        <v>961</v>
      </c>
      <c r="E65" t="s">
        <v>1175</v>
      </c>
      <c r="I65" t="s">
        <v>1508</v>
      </c>
      <c r="J65">
        <v>6</v>
      </c>
      <c r="L65" t="s">
        <v>1719</v>
      </c>
      <c r="M65" t="s">
        <v>1832</v>
      </c>
      <c r="Q65" t="s">
        <v>2160</v>
      </c>
      <c r="U65" t="s">
        <v>2504</v>
      </c>
      <c r="V65">
        <v>6</v>
      </c>
      <c r="Y65" t="s">
        <v>2831</v>
      </c>
      <c r="AC65" t="s">
        <v>3138</v>
      </c>
      <c r="AD65">
        <v>6</v>
      </c>
      <c r="AF65" t="s">
        <v>3320</v>
      </c>
      <c r="AG65" t="s">
        <v>3406</v>
      </c>
      <c r="AH65">
        <v>6</v>
      </c>
      <c r="AK65" t="s">
        <v>3634</v>
      </c>
      <c r="AL65">
        <v>6</v>
      </c>
      <c r="AN65" t="s">
        <v>3805</v>
      </c>
      <c r="AO65" t="s">
        <v>3897</v>
      </c>
      <c r="AS65" t="s">
        <v>4197</v>
      </c>
      <c r="AU65">
        <v>6</v>
      </c>
      <c r="AW65" t="s">
        <v>4440</v>
      </c>
      <c r="AY65">
        <v>6</v>
      </c>
      <c r="BA65" t="s">
        <v>4677</v>
      </c>
      <c r="BC65">
        <v>5</v>
      </c>
      <c r="BE65" t="s">
        <v>4943</v>
      </c>
      <c r="BG65" t="s">
        <v>4985</v>
      </c>
      <c r="BH65" t="s">
        <v>5130</v>
      </c>
      <c r="BI65" t="s">
        <v>5401</v>
      </c>
      <c r="BJ65" t="s">
        <v>5641</v>
      </c>
      <c r="BK65" t="s">
        <v>5950</v>
      </c>
      <c r="BL65" t="s">
        <v>6172</v>
      </c>
      <c r="BM65" t="s">
        <v>6351</v>
      </c>
      <c r="BN65" t="s">
        <v>6501</v>
      </c>
      <c r="BO65" t="s">
        <v>6664</v>
      </c>
      <c r="BP65" t="s">
        <v>6803</v>
      </c>
      <c r="BT65" t="s">
        <v>6943</v>
      </c>
      <c r="BW65" t="s">
        <v>7401</v>
      </c>
      <c r="BZ65">
        <v>0</v>
      </c>
      <c r="CA65">
        <v>0</v>
      </c>
      <c r="CD65" s="23"/>
      <c r="CE65" s="23" t="s">
        <v>7915</v>
      </c>
      <c r="CF65" s="144">
        <v>44125.564641203702</v>
      </c>
      <c r="CG65" s="144">
        <v>44125.569837962961</v>
      </c>
      <c r="CH65" s="24" t="s">
        <v>8201</v>
      </c>
    </row>
    <row r="66" spans="1:86" ht="15" hidden="1" customHeight="1" x14ac:dyDescent="0.35">
      <c r="A66" t="s">
        <v>597</v>
      </c>
      <c r="B66">
        <v>1</v>
      </c>
      <c r="C66">
        <v>1</v>
      </c>
      <c r="D66" t="s">
        <v>961</v>
      </c>
      <c r="E66" t="s">
        <v>1175</v>
      </c>
      <c r="I66" t="s">
        <v>1508</v>
      </c>
      <c r="J66">
        <v>6</v>
      </c>
      <c r="L66" t="s">
        <v>1720</v>
      </c>
      <c r="M66" t="s">
        <v>1833</v>
      </c>
      <c r="O66">
        <v>5</v>
      </c>
      <c r="P66" t="s">
        <v>2026</v>
      </c>
      <c r="Q66" t="s">
        <v>2161</v>
      </c>
      <c r="S66">
        <v>6</v>
      </c>
      <c r="T66" t="s">
        <v>2392</v>
      </c>
      <c r="U66" t="s">
        <v>2504</v>
      </c>
      <c r="V66">
        <v>7</v>
      </c>
      <c r="X66" t="s">
        <v>2720</v>
      </c>
      <c r="Y66" t="s">
        <v>2832</v>
      </c>
      <c r="Z66">
        <v>7</v>
      </c>
      <c r="AB66" t="s">
        <v>3035</v>
      </c>
      <c r="AC66" t="s">
        <v>3139</v>
      </c>
      <c r="AG66" t="s">
        <v>3407</v>
      </c>
      <c r="AK66" t="s">
        <v>3635</v>
      </c>
      <c r="AO66" t="s">
        <v>3898</v>
      </c>
      <c r="AQ66">
        <v>8</v>
      </c>
      <c r="AR66" t="s">
        <v>4101</v>
      </c>
      <c r="AS66" t="s">
        <v>4198</v>
      </c>
      <c r="AW66" t="s">
        <v>4441</v>
      </c>
      <c r="BA66" t="s">
        <v>4678</v>
      </c>
      <c r="BE66" t="s">
        <v>4943</v>
      </c>
      <c r="BG66" t="s">
        <v>4985</v>
      </c>
      <c r="BH66" t="s">
        <v>5130</v>
      </c>
      <c r="BI66" t="s">
        <v>5401</v>
      </c>
      <c r="BJ66" t="s">
        <v>5641</v>
      </c>
      <c r="BK66" t="s">
        <v>5950</v>
      </c>
      <c r="BL66" t="s">
        <v>6172</v>
      </c>
      <c r="BM66" t="s">
        <v>6351</v>
      </c>
      <c r="BN66" t="s">
        <v>6502</v>
      </c>
      <c r="BO66" t="s">
        <v>6664</v>
      </c>
      <c r="BP66" t="s">
        <v>6804</v>
      </c>
      <c r="BT66" t="s">
        <v>6944</v>
      </c>
      <c r="BW66" t="s">
        <v>7401</v>
      </c>
      <c r="BZ66">
        <v>0</v>
      </c>
      <c r="CA66">
        <v>0</v>
      </c>
      <c r="CD66" s="23"/>
      <c r="CE66" s="23" t="s">
        <v>7915</v>
      </c>
      <c r="CF66" s="144">
        <v>44125.495243055557</v>
      </c>
      <c r="CG66" s="144">
        <v>44125.507395833331</v>
      </c>
      <c r="CH66" t="s">
        <v>8202</v>
      </c>
    </row>
    <row r="67" spans="1:86" ht="15" hidden="1" customHeight="1" x14ac:dyDescent="0.35">
      <c r="A67" t="s">
        <v>598</v>
      </c>
      <c r="B67">
        <v>1</v>
      </c>
      <c r="C67">
        <v>1</v>
      </c>
      <c r="D67" t="s">
        <v>961</v>
      </c>
      <c r="E67" t="s">
        <v>1175</v>
      </c>
      <c r="I67" t="s">
        <v>1509</v>
      </c>
      <c r="M67" t="s">
        <v>1834</v>
      </c>
      <c r="N67">
        <v>6</v>
      </c>
      <c r="P67" t="s">
        <v>2027</v>
      </c>
      <c r="Q67" t="s">
        <v>2162</v>
      </c>
      <c r="U67" t="s">
        <v>2504</v>
      </c>
      <c r="V67">
        <v>6</v>
      </c>
      <c r="Y67" t="s">
        <v>2832</v>
      </c>
      <c r="Z67">
        <v>6</v>
      </c>
      <c r="AB67" t="s">
        <v>3036</v>
      </c>
      <c r="AC67" t="s">
        <v>3139</v>
      </c>
      <c r="AG67" t="s">
        <v>3407</v>
      </c>
      <c r="AK67" t="s">
        <v>3636</v>
      </c>
      <c r="AL67">
        <v>6</v>
      </c>
      <c r="AN67" t="s">
        <v>3806</v>
      </c>
      <c r="AO67" t="s">
        <v>3899</v>
      </c>
      <c r="AS67" t="s">
        <v>4199</v>
      </c>
      <c r="AT67">
        <v>6</v>
      </c>
      <c r="AV67" t="s">
        <v>4370</v>
      </c>
      <c r="AW67" t="s">
        <v>4442</v>
      </c>
      <c r="AY67">
        <v>7</v>
      </c>
      <c r="AZ67" t="s">
        <v>4606</v>
      </c>
      <c r="BA67" t="s">
        <v>4679</v>
      </c>
      <c r="BC67">
        <v>7</v>
      </c>
      <c r="BD67" t="s">
        <v>4857</v>
      </c>
      <c r="BE67" t="s">
        <v>4943</v>
      </c>
      <c r="BG67" t="s">
        <v>4985</v>
      </c>
      <c r="BH67" t="s">
        <v>5131</v>
      </c>
      <c r="BI67" t="s">
        <v>5402</v>
      </c>
      <c r="BJ67" t="s">
        <v>5642</v>
      </c>
      <c r="BK67" t="s">
        <v>5950</v>
      </c>
      <c r="BL67" t="s">
        <v>6172</v>
      </c>
      <c r="BM67" t="s">
        <v>6351</v>
      </c>
      <c r="BN67" t="s">
        <v>6502</v>
      </c>
      <c r="BO67" t="s">
        <v>6664</v>
      </c>
      <c r="BP67" t="s">
        <v>6804</v>
      </c>
      <c r="BT67" t="s">
        <v>6945</v>
      </c>
      <c r="BW67" t="s">
        <v>7401</v>
      </c>
      <c r="BZ67">
        <v>0</v>
      </c>
      <c r="CA67">
        <v>0</v>
      </c>
      <c r="CD67" s="23"/>
      <c r="CE67" s="23" t="s">
        <v>7915</v>
      </c>
      <c r="CF67" s="144">
        <v>44125.500532407408</v>
      </c>
      <c r="CG67" s="144">
        <v>44125.505474537036</v>
      </c>
      <c r="CH67" t="s">
        <v>8203</v>
      </c>
    </row>
    <row r="68" spans="1:86" ht="15" hidden="1" customHeight="1" x14ac:dyDescent="0.35">
      <c r="A68" t="s">
        <v>599</v>
      </c>
      <c r="B68">
        <v>1</v>
      </c>
      <c r="C68">
        <v>1</v>
      </c>
      <c r="D68" t="s">
        <v>961</v>
      </c>
      <c r="E68" t="s">
        <v>1175</v>
      </c>
      <c r="I68" t="s">
        <v>1510</v>
      </c>
      <c r="J68">
        <v>6</v>
      </c>
      <c r="M68" t="s">
        <v>1835</v>
      </c>
      <c r="O68">
        <v>6</v>
      </c>
      <c r="Q68" t="s">
        <v>2163</v>
      </c>
      <c r="R68">
        <v>7</v>
      </c>
      <c r="U68" t="s">
        <v>2505</v>
      </c>
      <c r="Y68" t="s">
        <v>2833</v>
      </c>
      <c r="AA68">
        <v>6</v>
      </c>
      <c r="AC68" t="s">
        <v>3139</v>
      </c>
      <c r="AG68" t="s">
        <v>3407</v>
      </c>
      <c r="AK68" t="s">
        <v>3637</v>
      </c>
      <c r="AO68" t="s">
        <v>3899</v>
      </c>
      <c r="AS68" t="s">
        <v>4200</v>
      </c>
      <c r="AU68">
        <v>5</v>
      </c>
      <c r="AW68" t="s">
        <v>4443</v>
      </c>
      <c r="AX68">
        <v>6</v>
      </c>
      <c r="BA68" t="s">
        <v>4680</v>
      </c>
      <c r="BE68" t="s">
        <v>4943</v>
      </c>
      <c r="BG68" t="s">
        <v>4986</v>
      </c>
      <c r="BH68" t="s">
        <v>5132</v>
      </c>
      <c r="BI68" t="s">
        <v>5402</v>
      </c>
      <c r="BJ68" t="s">
        <v>5643</v>
      </c>
      <c r="BK68" t="s">
        <v>5950</v>
      </c>
      <c r="BL68" t="s">
        <v>6173</v>
      </c>
      <c r="BM68" t="s">
        <v>6351</v>
      </c>
      <c r="BN68" t="s">
        <v>6503</v>
      </c>
      <c r="BO68" t="s">
        <v>6664</v>
      </c>
      <c r="BP68" t="s">
        <v>6804</v>
      </c>
      <c r="BT68" t="s">
        <v>6946</v>
      </c>
      <c r="BW68" t="s">
        <v>7401</v>
      </c>
      <c r="BZ68">
        <v>0</v>
      </c>
      <c r="CA68">
        <v>0</v>
      </c>
      <c r="CD68" s="23"/>
      <c r="CE68" s="23" t="s">
        <v>7915</v>
      </c>
      <c r="CF68" s="144">
        <v>44114.961145833331</v>
      </c>
      <c r="CG68" s="144">
        <v>44114.966805555552</v>
      </c>
      <c r="CH68" t="s">
        <v>8204</v>
      </c>
    </row>
    <row r="69" spans="1:86" ht="15" hidden="1" customHeight="1" x14ac:dyDescent="0.35">
      <c r="A69" t="s">
        <v>600</v>
      </c>
      <c r="B69">
        <v>1</v>
      </c>
      <c r="C69">
        <v>1</v>
      </c>
      <c r="D69" t="s">
        <v>962</v>
      </c>
      <c r="E69" t="s">
        <v>1175</v>
      </c>
      <c r="I69" t="s">
        <v>1511</v>
      </c>
      <c r="M69" t="s">
        <v>1836</v>
      </c>
      <c r="N69">
        <v>7</v>
      </c>
      <c r="Q69" t="s">
        <v>2164</v>
      </c>
      <c r="U69" t="s">
        <v>2506</v>
      </c>
      <c r="V69">
        <v>7</v>
      </c>
      <c r="X69" t="s">
        <v>2721</v>
      </c>
      <c r="Y69" t="s">
        <v>2834</v>
      </c>
      <c r="Z69">
        <v>5</v>
      </c>
      <c r="AC69" t="s">
        <v>3139</v>
      </c>
      <c r="AG69" t="s">
        <v>3407</v>
      </c>
      <c r="AK69" t="s">
        <v>3638</v>
      </c>
      <c r="AL69">
        <v>5</v>
      </c>
      <c r="AO69" t="s">
        <v>3900</v>
      </c>
      <c r="AP69">
        <v>5</v>
      </c>
      <c r="AR69" t="s">
        <v>4102</v>
      </c>
      <c r="AS69" t="s">
        <v>4200</v>
      </c>
      <c r="AU69">
        <v>6</v>
      </c>
      <c r="AW69" t="s">
        <v>4444</v>
      </c>
      <c r="AY69">
        <v>6</v>
      </c>
      <c r="BA69" t="s">
        <v>4681</v>
      </c>
      <c r="BC69">
        <v>6</v>
      </c>
      <c r="BE69" t="s">
        <v>4943</v>
      </c>
      <c r="BG69" t="s">
        <v>4987</v>
      </c>
      <c r="BH69" t="s">
        <v>5132</v>
      </c>
      <c r="BI69" t="s">
        <v>5403</v>
      </c>
      <c r="BJ69" t="s">
        <v>5644</v>
      </c>
      <c r="BK69" t="s">
        <v>5951</v>
      </c>
      <c r="BL69" t="s">
        <v>6174</v>
      </c>
      <c r="BM69" t="s">
        <v>6352</v>
      </c>
      <c r="BN69" t="s">
        <v>6504</v>
      </c>
      <c r="BO69" t="s">
        <v>6665</v>
      </c>
      <c r="BP69" t="s">
        <v>6804</v>
      </c>
      <c r="BT69" t="s">
        <v>6947</v>
      </c>
      <c r="BW69" t="s">
        <v>7401</v>
      </c>
      <c r="BZ69">
        <v>1</v>
      </c>
      <c r="CA69">
        <v>0</v>
      </c>
      <c r="CD69" s="23"/>
      <c r="CE69" s="23" t="s">
        <v>7916</v>
      </c>
      <c r="CF69" s="144">
        <v>44110.555011574077</v>
      </c>
      <c r="CG69" s="144">
        <v>44110.560057870367</v>
      </c>
      <c r="CH69" s="24" t="s">
        <v>8205</v>
      </c>
    </row>
    <row r="70" spans="1:86" ht="15" hidden="1" customHeight="1" x14ac:dyDescent="0.35">
      <c r="A70" t="s">
        <v>601</v>
      </c>
      <c r="B70">
        <v>1</v>
      </c>
      <c r="C70">
        <v>1</v>
      </c>
      <c r="D70" t="s">
        <v>962</v>
      </c>
      <c r="E70" t="s">
        <v>1176</v>
      </c>
      <c r="G70">
        <v>8</v>
      </c>
      <c r="H70" t="s">
        <v>1367</v>
      </c>
      <c r="I70" t="s">
        <v>1511</v>
      </c>
      <c r="M70" t="s">
        <v>1836</v>
      </c>
      <c r="N70">
        <v>8</v>
      </c>
      <c r="P70" t="s">
        <v>2028</v>
      </c>
      <c r="Q70" t="s">
        <v>2165</v>
      </c>
      <c r="S70">
        <v>8</v>
      </c>
      <c r="T70" t="s">
        <v>2393</v>
      </c>
      <c r="U70" t="s">
        <v>2506</v>
      </c>
      <c r="V70">
        <v>8</v>
      </c>
      <c r="X70" t="s">
        <v>2722</v>
      </c>
      <c r="Y70" t="s">
        <v>2835</v>
      </c>
      <c r="AC70" t="s">
        <v>3139</v>
      </c>
      <c r="AG70" t="s">
        <v>3407</v>
      </c>
      <c r="AK70" t="s">
        <v>3639</v>
      </c>
      <c r="AO70" t="s">
        <v>3901</v>
      </c>
      <c r="AS70" t="s">
        <v>4201</v>
      </c>
      <c r="AW70" t="s">
        <v>4445</v>
      </c>
      <c r="BA70" t="s">
        <v>4682</v>
      </c>
      <c r="BE70" t="s">
        <v>4943</v>
      </c>
      <c r="BG70" t="s">
        <v>4987</v>
      </c>
      <c r="BH70" t="s">
        <v>5133</v>
      </c>
      <c r="BI70" t="s">
        <v>5403</v>
      </c>
      <c r="BJ70" t="s">
        <v>5645</v>
      </c>
      <c r="BK70" t="s">
        <v>5952</v>
      </c>
      <c r="BL70" t="s">
        <v>6174</v>
      </c>
      <c r="BM70" t="s">
        <v>6352</v>
      </c>
      <c r="BN70" t="s">
        <v>6505</v>
      </c>
      <c r="BO70" t="s">
        <v>6666</v>
      </c>
      <c r="BP70" t="s">
        <v>6804</v>
      </c>
      <c r="BT70" t="s">
        <v>6947</v>
      </c>
      <c r="BW70" t="s">
        <v>7402</v>
      </c>
      <c r="BZ70">
        <v>0</v>
      </c>
      <c r="CA70">
        <v>1</v>
      </c>
      <c r="CB70" t="s">
        <v>7649</v>
      </c>
      <c r="CC70" t="s">
        <v>7718</v>
      </c>
      <c r="CD70" s="23" t="s">
        <v>7799</v>
      </c>
      <c r="CE70" s="23" t="s">
        <v>7916</v>
      </c>
      <c r="CF70" s="144">
        <v>44068.7033912037</v>
      </c>
      <c r="CG70" s="144">
        <v>44068.708472222221</v>
      </c>
      <c r="CH70" t="s">
        <v>8206</v>
      </c>
    </row>
    <row r="71" spans="1:86" ht="15" hidden="1" customHeight="1" x14ac:dyDescent="0.35">
      <c r="A71" t="s">
        <v>602</v>
      </c>
      <c r="B71">
        <v>1</v>
      </c>
      <c r="C71">
        <v>1</v>
      </c>
      <c r="D71" t="s">
        <v>963</v>
      </c>
      <c r="E71" t="s">
        <v>1177</v>
      </c>
      <c r="F71">
        <v>7</v>
      </c>
      <c r="H71" t="s">
        <v>1368</v>
      </c>
      <c r="I71" t="s">
        <v>1511</v>
      </c>
      <c r="M71" t="s">
        <v>1836</v>
      </c>
      <c r="N71">
        <v>7</v>
      </c>
      <c r="Q71" t="s">
        <v>2165</v>
      </c>
      <c r="S71">
        <v>7</v>
      </c>
      <c r="U71" t="s">
        <v>2507</v>
      </c>
      <c r="Y71" t="s">
        <v>2836</v>
      </c>
      <c r="Z71">
        <v>7</v>
      </c>
      <c r="AC71" t="s">
        <v>3139</v>
      </c>
      <c r="AG71" t="s">
        <v>3407</v>
      </c>
      <c r="AK71" t="s">
        <v>3639</v>
      </c>
      <c r="AO71" t="s">
        <v>3901</v>
      </c>
      <c r="AS71" t="s">
        <v>4201</v>
      </c>
      <c r="AW71" t="s">
        <v>4445</v>
      </c>
      <c r="BA71" t="s">
        <v>4683</v>
      </c>
      <c r="BC71">
        <v>5</v>
      </c>
      <c r="BE71" t="s">
        <v>4943</v>
      </c>
      <c r="BG71" t="s">
        <v>4987</v>
      </c>
      <c r="BH71" t="s">
        <v>5134</v>
      </c>
      <c r="BI71" t="s">
        <v>5403</v>
      </c>
      <c r="BJ71" t="s">
        <v>5645</v>
      </c>
      <c r="BK71" t="s">
        <v>5952</v>
      </c>
      <c r="BL71" t="s">
        <v>6175</v>
      </c>
      <c r="BM71" t="s">
        <v>6353</v>
      </c>
      <c r="BN71" t="s">
        <v>6506</v>
      </c>
      <c r="BO71" t="s">
        <v>6667</v>
      </c>
      <c r="BP71" t="s">
        <v>6804</v>
      </c>
      <c r="BT71" t="s">
        <v>6947</v>
      </c>
      <c r="BW71" t="s">
        <v>7403</v>
      </c>
      <c r="BZ71">
        <v>1</v>
      </c>
      <c r="CA71">
        <v>1</v>
      </c>
      <c r="CB71" t="s">
        <v>7650</v>
      </c>
      <c r="CC71" t="s">
        <v>7719</v>
      </c>
      <c r="CD71" s="23" t="s">
        <v>7799</v>
      </c>
      <c r="CE71" s="23" t="s">
        <v>7916</v>
      </c>
      <c r="CF71" s="144">
        <v>44009.617303240739</v>
      </c>
      <c r="CG71" s="144">
        <v>44009.625532407408</v>
      </c>
      <c r="CH71" t="s">
        <v>8207</v>
      </c>
    </row>
    <row r="72" spans="1:86" ht="15" hidden="1" customHeight="1" x14ac:dyDescent="0.35">
      <c r="A72" t="s">
        <v>603</v>
      </c>
      <c r="B72">
        <v>1</v>
      </c>
      <c r="C72">
        <v>1</v>
      </c>
      <c r="D72" t="s">
        <v>964</v>
      </c>
      <c r="E72" t="s">
        <v>1178</v>
      </c>
      <c r="I72" t="s">
        <v>1511</v>
      </c>
      <c r="M72" t="s">
        <v>1837</v>
      </c>
      <c r="P72" s="21"/>
      <c r="Q72" t="s">
        <v>2165</v>
      </c>
      <c r="S72">
        <v>7</v>
      </c>
      <c r="T72" t="s">
        <v>2394</v>
      </c>
      <c r="U72" t="s">
        <v>2508</v>
      </c>
      <c r="W72">
        <v>6</v>
      </c>
      <c r="X72" s="21" t="s">
        <v>2723</v>
      </c>
      <c r="Y72" t="s">
        <v>2837</v>
      </c>
      <c r="AB72" s="21"/>
      <c r="AC72" t="s">
        <v>3140</v>
      </c>
      <c r="AD72">
        <v>7</v>
      </c>
      <c r="AG72" t="s">
        <v>3407</v>
      </c>
      <c r="AJ72" s="21"/>
      <c r="AK72" t="s">
        <v>3640</v>
      </c>
      <c r="AM72">
        <v>6</v>
      </c>
      <c r="AO72" t="s">
        <v>3902</v>
      </c>
      <c r="AP72">
        <v>6</v>
      </c>
      <c r="AR72" t="s">
        <v>4103</v>
      </c>
      <c r="AS72" t="s">
        <v>4202</v>
      </c>
      <c r="AT72">
        <v>6</v>
      </c>
      <c r="AW72" t="s">
        <v>4445</v>
      </c>
      <c r="BA72" t="s">
        <v>4683</v>
      </c>
      <c r="BC72">
        <v>6</v>
      </c>
      <c r="BE72" t="s">
        <v>4944</v>
      </c>
      <c r="BF72" t="s">
        <v>4964</v>
      </c>
      <c r="BG72" t="s">
        <v>4987</v>
      </c>
      <c r="BH72" t="s">
        <v>5135</v>
      </c>
      <c r="BI72" t="s">
        <v>5404</v>
      </c>
      <c r="BJ72" t="s">
        <v>5646</v>
      </c>
      <c r="BK72" t="s">
        <v>5953</v>
      </c>
      <c r="BL72" t="s">
        <v>6176</v>
      </c>
      <c r="BM72" t="s">
        <v>6354</v>
      </c>
      <c r="BN72" t="s">
        <v>6507</v>
      </c>
      <c r="BO72" t="s">
        <v>6668</v>
      </c>
      <c r="BP72" t="s">
        <v>6804</v>
      </c>
      <c r="BT72" t="s">
        <v>6948</v>
      </c>
      <c r="BW72" t="s">
        <v>7403</v>
      </c>
      <c r="BZ72">
        <v>0</v>
      </c>
      <c r="CA72">
        <v>0</v>
      </c>
      <c r="CD72" s="23"/>
      <c r="CE72" s="23" t="s">
        <v>7917</v>
      </c>
      <c r="CF72" s="144">
        <v>44001.64880787037</v>
      </c>
      <c r="CG72" s="144">
        <v>44001.659351851849</v>
      </c>
      <c r="CH72" t="s">
        <v>8208</v>
      </c>
    </row>
    <row r="73" spans="1:86" ht="15" hidden="1" customHeight="1" x14ac:dyDescent="0.35">
      <c r="A73" t="s">
        <v>604</v>
      </c>
      <c r="B73">
        <v>1</v>
      </c>
      <c r="C73">
        <v>1</v>
      </c>
      <c r="D73" t="s">
        <v>964</v>
      </c>
      <c r="E73" t="s">
        <v>1178</v>
      </c>
      <c r="I73" t="s">
        <v>1512</v>
      </c>
      <c r="J73">
        <v>7</v>
      </c>
      <c r="L73" t="s">
        <v>1721</v>
      </c>
      <c r="M73" t="s">
        <v>1838</v>
      </c>
      <c r="N73">
        <v>8</v>
      </c>
      <c r="P73" t="s">
        <v>2029</v>
      </c>
      <c r="Q73" t="s">
        <v>2166</v>
      </c>
      <c r="U73" t="s">
        <v>2509</v>
      </c>
      <c r="Y73" t="s">
        <v>2837</v>
      </c>
      <c r="AC73" t="s">
        <v>3141</v>
      </c>
      <c r="AG73" t="s">
        <v>3407</v>
      </c>
      <c r="AK73" t="s">
        <v>3641</v>
      </c>
      <c r="AO73" t="s">
        <v>3903</v>
      </c>
      <c r="AS73" t="s">
        <v>4203</v>
      </c>
      <c r="AW73" t="s">
        <v>4445</v>
      </c>
      <c r="BA73" t="s">
        <v>4684</v>
      </c>
      <c r="BE73" t="s">
        <v>4945</v>
      </c>
      <c r="BG73" t="s">
        <v>4987</v>
      </c>
      <c r="BH73" t="s">
        <v>5136</v>
      </c>
      <c r="BI73" t="s">
        <v>5405</v>
      </c>
      <c r="BJ73" t="s">
        <v>5647</v>
      </c>
      <c r="BK73" t="s">
        <v>5954</v>
      </c>
      <c r="BL73" t="s">
        <v>6177</v>
      </c>
      <c r="BM73" t="s">
        <v>6355</v>
      </c>
      <c r="BN73" t="s">
        <v>6508</v>
      </c>
      <c r="BO73" t="s">
        <v>6668</v>
      </c>
      <c r="BP73" t="s">
        <v>6804</v>
      </c>
      <c r="BT73" t="s">
        <v>6948</v>
      </c>
      <c r="BW73" t="s">
        <v>7403</v>
      </c>
      <c r="BZ73">
        <v>1</v>
      </c>
      <c r="CA73">
        <v>1</v>
      </c>
      <c r="CB73" t="s">
        <v>7650</v>
      </c>
      <c r="CC73" t="s">
        <v>7720</v>
      </c>
      <c r="CD73" s="23" t="s">
        <v>7800</v>
      </c>
      <c r="CE73" s="23" t="s">
        <v>7918</v>
      </c>
      <c r="CF73" s="144">
        <v>43992.698414351849</v>
      </c>
      <c r="CG73" s="144">
        <v>43992.70416666667</v>
      </c>
      <c r="CH73" t="s">
        <v>8209</v>
      </c>
    </row>
    <row r="74" spans="1:86" ht="15" hidden="1" customHeight="1" x14ac:dyDescent="0.35">
      <c r="A74" t="s">
        <v>605</v>
      </c>
      <c r="B74">
        <v>1</v>
      </c>
      <c r="C74">
        <v>1</v>
      </c>
      <c r="D74" t="s">
        <v>965</v>
      </c>
      <c r="E74" t="s">
        <v>1179</v>
      </c>
      <c r="F74">
        <v>5</v>
      </c>
      <c r="I74" t="s">
        <v>1512</v>
      </c>
      <c r="J74">
        <v>6</v>
      </c>
      <c r="M74" t="s">
        <v>1839</v>
      </c>
      <c r="Q74" t="s">
        <v>2167</v>
      </c>
      <c r="R74">
        <v>3</v>
      </c>
      <c r="U74" t="s">
        <v>2510</v>
      </c>
      <c r="V74">
        <v>3</v>
      </c>
      <c r="Y74" t="s">
        <v>2837</v>
      </c>
      <c r="AC74" t="s">
        <v>3142</v>
      </c>
      <c r="AE74">
        <v>5</v>
      </c>
      <c r="AG74" t="s">
        <v>3408</v>
      </c>
      <c r="AI74">
        <v>6</v>
      </c>
      <c r="AK74" t="s">
        <v>3642</v>
      </c>
      <c r="AM74">
        <v>4</v>
      </c>
      <c r="AO74" t="s">
        <v>3904</v>
      </c>
      <c r="AQ74">
        <v>4</v>
      </c>
      <c r="AS74" t="s">
        <v>4203</v>
      </c>
      <c r="AW74" t="s">
        <v>4445</v>
      </c>
      <c r="BA74" t="s">
        <v>4684</v>
      </c>
      <c r="BE74" t="s">
        <v>4945</v>
      </c>
      <c r="BG74" t="s">
        <v>4987</v>
      </c>
      <c r="BH74" t="s">
        <v>5137</v>
      </c>
      <c r="BI74" t="s">
        <v>5406</v>
      </c>
      <c r="BJ74" t="s">
        <v>5647</v>
      </c>
      <c r="BK74" t="s">
        <v>5955</v>
      </c>
      <c r="BL74" t="s">
        <v>6178</v>
      </c>
      <c r="BM74" t="s">
        <v>6356</v>
      </c>
      <c r="BN74" t="s">
        <v>6509</v>
      </c>
      <c r="BO74" t="s">
        <v>6669</v>
      </c>
      <c r="BP74" t="s">
        <v>6804</v>
      </c>
      <c r="BT74" t="s">
        <v>6949</v>
      </c>
      <c r="BW74" t="s">
        <v>7404</v>
      </c>
      <c r="BZ74">
        <v>0</v>
      </c>
      <c r="CA74">
        <v>1</v>
      </c>
      <c r="CB74" t="s">
        <v>7651</v>
      </c>
      <c r="CC74" t="s">
        <v>7720</v>
      </c>
      <c r="CD74" s="23" t="s">
        <v>7800</v>
      </c>
      <c r="CE74" s="23" t="s">
        <v>7919</v>
      </c>
      <c r="CF74" s="144">
        <v>43980.574155092596</v>
      </c>
      <c r="CG74" s="144">
        <v>43980.576631944445</v>
      </c>
      <c r="CH74" t="s">
        <v>8210</v>
      </c>
    </row>
    <row r="75" spans="1:86" ht="15" hidden="1" customHeight="1" x14ac:dyDescent="0.35">
      <c r="A75" t="s">
        <v>606</v>
      </c>
      <c r="B75">
        <v>1</v>
      </c>
      <c r="C75">
        <v>1</v>
      </c>
      <c r="D75" t="s">
        <v>966</v>
      </c>
      <c r="E75" t="s">
        <v>1179</v>
      </c>
      <c r="F75">
        <v>7</v>
      </c>
      <c r="H75" t="s">
        <v>1369</v>
      </c>
      <c r="I75" t="s">
        <v>1513</v>
      </c>
      <c r="L75" s="22"/>
      <c r="M75" t="s">
        <v>1840</v>
      </c>
      <c r="N75">
        <v>8</v>
      </c>
      <c r="Q75" t="s">
        <v>2168</v>
      </c>
      <c r="U75" t="s">
        <v>2510</v>
      </c>
      <c r="V75">
        <v>7</v>
      </c>
      <c r="Y75" t="s">
        <v>2838</v>
      </c>
      <c r="Z75">
        <v>6</v>
      </c>
      <c r="AC75" t="s">
        <v>3143</v>
      </c>
      <c r="AG75" t="s">
        <v>3409</v>
      </c>
      <c r="AK75" t="s">
        <v>3643</v>
      </c>
      <c r="AO75" t="s">
        <v>3905</v>
      </c>
      <c r="AS75" t="s">
        <v>4203</v>
      </c>
      <c r="AW75" t="s">
        <v>4446</v>
      </c>
      <c r="AY75">
        <v>6</v>
      </c>
      <c r="BA75" t="s">
        <v>4684</v>
      </c>
      <c r="BE75" t="s">
        <v>4945</v>
      </c>
      <c r="BG75" t="s">
        <v>4988</v>
      </c>
      <c r="BH75" t="s">
        <v>5138</v>
      </c>
      <c r="BI75" t="s">
        <v>5406</v>
      </c>
      <c r="BJ75" t="s">
        <v>5648</v>
      </c>
      <c r="BK75" t="s">
        <v>5956</v>
      </c>
      <c r="BL75" t="s">
        <v>6179</v>
      </c>
      <c r="BM75" t="s">
        <v>6356</v>
      </c>
      <c r="BN75" t="s">
        <v>6509</v>
      </c>
      <c r="BO75" t="s">
        <v>6669</v>
      </c>
      <c r="BP75" t="s">
        <v>6804</v>
      </c>
      <c r="BT75" t="s">
        <v>6950</v>
      </c>
      <c r="BW75" t="s">
        <v>7405</v>
      </c>
      <c r="BZ75">
        <v>0</v>
      </c>
      <c r="CA75">
        <v>0</v>
      </c>
      <c r="CD75" s="23"/>
      <c r="CE75" s="23" t="s">
        <v>7920</v>
      </c>
      <c r="CF75" s="144">
        <v>43977.365624999999</v>
      </c>
      <c r="CG75" s="144">
        <v>43977.392048611109</v>
      </c>
      <c r="CH75" t="s">
        <v>8211</v>
      </c>
    </row>
    <row r="76" spans="1:86" ht="15" hidden="1" customHeight="1" x14ac:dyDescent="0.35">
      <c r="A76" t="s">
        <v>607</v>
      </c>
      <c r="B76">
        <v>1</v>
      </c>
      <c r="C76">
        <v>1</v>
      </c>
      <c r="D76" t="s">
        <v>966</v>
      </c>
      <c r="E76" t="s">
        <v>1180</v>
      </c>
      <c r="I76" t="s">
        <v>1514</v>
      </c>
      <c r="J76">
        <v>5</v>
      </c>
      <c r="M76" t="s">
        <v>1840</v>
      </c>
      <c r="N76">
        <v>7</v>
      </c>
      <c r="Q76" t="s">
        <v>2169</v>
      </c>
      <c r="R76">
        <v>6</v>
      </c>
      <c r="U76" t="s">
        <v>2510</v>
      </c>
      <c r="V76">
        <v>7</v>
      </c>
      <c r="Y76" t="s">
        <v>2839</v>
      </c>
      <c r="AC76" t="s">
        <v>3143</v>
      </c>
      <c r="AG76" t="s">
        <v>3409</v>
      </c>
      <c r="AK76" t="s">
        <v>3643</v>
      </c>
      <c r="AO76" t="s">
        <v>3905</v>
      </c>
      <c r="AS76" t="s">
        <v>4204</v>
      </c>
      <c r="AU76">
        <v>5</v>
      </c>
      <c r="AW76" t="s">
        <v>4447</v>
      </c>
      <c r="BA76" t="s">
        <v>4684</v>
      </c>
      <c r="BE76" t="s">
        <v>4945</v>
      </c>
      <c r="BG76" t="s">
        <v>4989</v>
      </c>
      <c r="BH76" t="s">
        <v>5138</v>
      </c>
      <c r="BI76" t="s">
        <v>5406</v>
      </c>
      <c r="BJ76" t="s">
        <v>5649</v>
      </c>
      <c r="BK76" t="s">
        <v>5957</v>
      </c>
      <c r="BL76" t="s">
        <v>6180</v>
      </c>
      <c r="BM76" t="s">
        <v>6356</v>
      </c>
      <c r="BN76" t="s">
        <v>6509</v>
      </c>
      <c r="BO76" t="s">
        <v>6669</v>
      </c>
      <c r="BP76" t="s">
        <v>6804</v>
      </c>
      <c r="BT76" t="s">
        <v>6951</v>
      </c>
      <c r="BW76" t="s">
        <v>7406</v>
      </c>
      <c r="BZ76">
        <v>0</v>
      </c>
      <c r="CA76">
        <v>1</v>
      </c>
      <c r="CB76" t="s">
        <v>7652</v>
      </c>
      <c r="CC76" t="s">
        <v>7720</v>
      </c>
      <c r="CD76" s="23" t="s">
        <v>7801</v>
      </c>
      <c r="CE76" s="23" t="s">
        <v>7921</v>
      </c>
      <c r="CF76" s="144">
        <v>43976.587511574071</v>
      </c>
      <c r="CG76" s="144">
        <v>43976.593819444446</v>
      </c>
      <c r="CH76" t="s">
        <v>8212</v>
      </c>
    </row>
    <row r="77" spans="1:86" ht="15" hidden="1" customHeight="1" x14ac:dyDescent="0.35">
      <c r="A77" t="s">
        <v>608</v>
      </c>
      <c r="B77">
        <v>1</v>
      </c>
      <c r="C77">
        <v>1</v>
      </c>
      <c r="D77" t="s">
        <v>967</v>
      </c>
      <c r="E77" t="s">
        <v>1181</v>
      </c>
      <c r="F77">
        <v>7</v>
      </c>
      <c r="I77" t="s">
        <v>1514</v>
      </c>
      <c r="J77">
        <v>6</v>
      </c>
      <c r="M77" t="s">
        <v>1840</v>
      </c>
      <c r="N77">
        <v>8</v>
      </c>
      <c r="Q77" t="s">
        <v>2169</v>
      </c>
      <c r="R77">
        <v>6</v>
      </c>
      <c r="U77" t="s">
        <v>2510</v>
      </c>
      <c r="V77">
        <v>7</v>
      </c>
      <c r="Y77" t="s">
        <v>2840</v>
      </c>
      <c r="Z77">
        <v>8</v>
      </c>
      <c r="AC77" t="s">
        <v>3143</v>
      </c>
      <c r="AG77" t="s">
        <v>3409</v>
      </c>
      <c r="AK77" t="s">
        <v>3643</v>
      </c>
      <c r="AO77" t="s">
        <v>3906</v>
      </c>
      <c r="AQ77">
        <v>6</v>
      </c>
      <c r="AS77" t="s">
        <v>4205</v>
      </c>
      <c r="AW77" t="s">
        <v>4447</v>
      </c>
      <c r="BA77" t="s">
        <v>4685</v>
      </c>
      <c r="BC77">
        <v>5</v>
      </c>
      <c r="BE77" t="s">
        <v>4945</v>
      </c>
      <c r="BG77" t="s">
        <v>4989</v>
      </c>
      <c r="BH77" t="s">
        <v>5139</v>
      </c>
      <c r="BI77" t="s">
        <v>5406</v>
      </c>
      <c r="BJ77" t="s">
        <v>5650</v>
      </c>
      <c r="BK77" t="s">
        <v>5958</v>
      </c>
      <c r="BL77" t="s">
        <v>6181</v>
      </c>
      <c r="BM77" t="s">
        <v>6357</v>
      </c>
      <c r="BN77" t="s">
        <v>6509</v>
      </c>
      <c r="BO77" t="s">
        <v>6669</v>
      </c>
      <c r="BP77" t="s">
        <v>6804</v>
      </c>
      <c r="BT77" t="s">
        <v>6952</v>
      </c>
      <c r="BW77" t="s">
        <v>7406</v>
      </c>
      <c r="BZ77">
        <v>0</v>
      </c>
      <c r="CA77">
        <v>1</v>
      </c>
      <c r="CB77" t="s">
        <v>7653</v>
      </c>
      <c r="CC77" t="s">
        <v>7721</v>
      </c>
      <c r="CD77" s="23" t="s">
        <v>7802</v>
      </c>
      <c r="CE77" s="23" t="s">
        <v>7922</v>
      </c>
      <c r="CF77" s="144">
        <v>43971.352766203701</v>
      </c>
      <c r="CG77" s="144">
        <v>43971.363715277781</v>
      </c>
      <c r="CH77" t="s">
        <v>8213</v>
      </c>
    </row>
    <row r="78" spans="1:86" ht="15" hidden="1" customHeight="1" x14ac:dyDescent="0.35">
      <c r="A78" t="s">
        <v>609</v>
      </c>
      <c r="B78">
        <v>1</v>
      </c>
      <c r="C78">
        <v>1</v>
      </c>
      <c r="D78" t="s">
        <v>968</v>
      </c>
      <c r="E78" t="s">
        <v>1182</v>
      </c>
      <c r="G78">
        <v>7</v>
      </c>
      <c r="H78" t="s">
        <v>1370</v>
      </c>
      <c r="I78" t="s">
        <v>1514</v>
      </c>
      <c r="J78">
        <v>6</v>
      </c>
      <c r="M78" t="s">
        <v>1841</v>
      </c>
      <c r="O78">
        <v>6</v>
      </c>
      <c r="Q78" t="s">
        <v>2169</v>
      </c>
      <c r="R78">
        <v>6</v>
      </c>
      <c r="U78" t="s">
        <v>2511</v>
      </c>
      <c r="W78">
        <v>6</v>
      </c>
      <c r="Y78" t="s">
        <v>2841</v>
      </c>
      <c r="AA78">
        <v>6</v>
      </c>
      <c r="AC78" t="s">
        <v>3143</v>
      </c>
      <c r="AG78" t="s">
        <v>3409</v>
      </c>
      <c r="AK78" t="s">
        <v>3643</v>
      </c>
      <c r="AO78" t="s">
        <v>3907</v>
      </c>
      <c r="AS78" t="s">
        <v>4205</v>
      </c>
      <c r="AW78" t="s">
        <v>4447</v>
      </c>
      <c r="BA78" t="s">
        <v>4686</v>
      </c>
      <c r="BE78" t="s">
        <v>4945</v>
      </c>
      <c r="BG78" t="s">
        <v>4990</v>
      </c>
      <c r="BH78" t="s">
        <v>5140</v>
      </c>
      <c r="BI78" t="s">
        <v>5407</v>
      </c>
      <c r="BJ78" t="s">
        <v>5651</v>
      </c>
      <c r="BK78" t="s">
        <v>5959</v>
      </c>
      <c r="BL78" t="s">
        <v>6181</v>
      </c>
      <c r="BM78" t="s">
        <v>6358</v>
      </c>
      <c r="BN78" t="s">
        <v>6509</v>
      </c>
      <c r="BO78" t="s">
        <v>6669</v>
      </c>
      <c r="BP78" t="s">
        <v>6804</v>
      </c>
      <c r="BT78" t="s">
        <v>6953</v>
      </c>
      <c r="BW78" t="s">
        <v>7407</v>
      </c>
      <c r="BZ78">
        <v>0</v>
      </c>
      <c r="CA78">
        <v>0</v>
      </c>
      <c r="CD78" s="23"/>
      <c r="CE78" s="23" t="s">
        <v>7922</v>
      </c>
      <c r="CF78" s="144">
        <v>43971.347453703704</v>
      </c>
      <c r="CG78" s="144">
        <v>43971.358530092592</v>
      </c>
      <c r="CH78" t="s">
        <v>8214</v>
      </c>
    </row>
    <row r="79" spans="1:86" ht="15" hidden="1" customHeight="1" x14ac:dyDescent="0.35">
      <c r="A79" t="s">
        <v>610</v>
      </c>
      <c r="B79">
        <v>1</v>
      </c>
      <c r="C79">
        <v>1</v>
      </c>
      <c r="D79" t="s">
        <v>969</v>
      </c>
      <c r="E79" t="s">
        <v>1182</v>
      </c>
      <c r="G79">
        <v>6</v>
      </c>
      <c r="H79" t="s">
        <v>1371</v>
      </c>
      <c r="I79" t="s">
        <v>1515</v>
      </c>
      <c r="M79" t="s">
        <v>1842</v>
      </c>
      <c r="Q79" t="s">
        <v>2170</v>
      </c>
      <c r="U79" t="s">
        <v>2512</v>
      </c>
      <c r="Y79" t="s">
        <v>2842</v>
      </c>
      <c r="AC79" t="s">
        <v>3143</v>
      </c>
      <c r="AG79" t="s">
        <v>3409</v>
      </c>
      <c r="AK79" t="s">
        <v>3643</v>
      </c>
      <c r="AO79" t="s">
        <v>3907</v>
      </c>
      <c r="AS79" t="s">
        <v>4205</v>
      </c>
      <c r="AW79" t="s">
        <v>4447</v>
      </c>
      <c r="BA79" t="s">
        <v>4686</v>
      </c>
      <c r="BE79" t="s">
        <v>4945</v>
      </c>
      <c r="BG79" t="s">
        <v>4991</v>
      </c>
      <c r="BH79" t="s">
        <v>5141</v>
      </c>
      <c r="BI79" t="s">
        <v>5407</v>
      </c>
      <c r="BJ79" t="s">
        <v>5652</v>
      </c>
      <c r="BK79" t="s">
        <v>5960</v>
      </c>
      <c r="BL79" t="s">
        <v>6182</v>
      </c>
      <c r="BM79" t="s">
        <v>6358</v>
      </c>
      <c r="BN79" t="s">
        <v>6509</v>
      </c>
      <c r="BO79" t="s">
        <v>6670</v>
      </c>
      <c r="BP79" t="s">
        <v>6804</v>
      </c>
      <c r="BT79" t="s">
        <v>6954</v>
      </c>
      <c r="BW79" t="s">
        <v>7407</v>
      </c>
      <c r="BZ79">
        <v>0</v>
      </c>
      <c r="CA79">
        <v>0</v>
      </c>
      <c r="CD79" s="23"/>
      <c r="CE79" s="23" t="s">
        <v>7922</v>
      </c>
      <c r="CF79" s="144">
        <v>43970.74</v>
      </c>
      <c r="CG79" s="144">
        <v>43970.747719907406</v>
      </c>
      <c r="CH79" t="s">
        <v>8215</v>
      </c>
    </row>
    <row r="80" spans="1:86" ht="15" hidden="1" customHeight="1" x14ac:dyDescent="0.35">
      <c r="A80" t="s">
        <v>611</v>
      </c>
      <c r="B80">
        <v>1</v>
      </c>
      <c r="C80">
        <v>1</v>
      </c>
      <c r="D80" t="s">
        <v>969</v>
      </c>
      <c r="E80" t="s">
        <v>1183</v>
      </c>
      <c r="F80">
        <v>7</v>
      </c>
      <c r="I80" t="s">
        <v>1516</v>
      </c>
      <c r="J80">
        <v>6</v>
      </c>
      <c r="M80" t="s">
        <v>1843</v>
      </c>
      <c r="O80">
        <v>6</v>
      </c>
      <c r="Q80" t="s">
        <v>2171</v>
      </c>
      <c r="R80">
        <v>6</v>
      </c>
      <c r="U80" t="s">
        <v>2513</v>
      </c>
      <c r="W80">
        <v>6</v>
      </c>
      <c r="Y80" t="s">
        <v>2843</v>
      </c>
      <c r="AA80">
        <v>5</v>
      </c>
      <c r="AC80" t="s">
        <v>3144</v>
      </c>
      <c r="AE80">
        <v>6</v>
      </c>
      <c r="AG80" t="s">
        <v>3410</v>
      </c>
      <c r="AH80">
        <v>5</v>
      </c>
      <c r="AK80" t="s">
        <v>3644</v>
      </c>
      <c r="AL80">
        <v>5</v>
      </c>
      <c r="AO80" t="s">
        <v>3908</v>
      </c>
      <c r="AP80">
        <v>5</v>
      </c>
      <c r="AS80" t="s">
        <v>4206</v>
      </c>
      <c r="AU80">
        <v>5</v>
      </c>
      <c r="AW80" t="s">
        <v>4448</v>
      </c>
      <c r="AY80">
        <v>6</v>
      </c>
      <c r="BA80" t="s">
        <v>4687</v>
      </c>
      <c r="BB80">
        <v>6</v>
      </c>
      <c r="BE80" t="s">
        <v>4945</v>
      </c>
      <c r="BG80" t="s">
        <v>4991</v>
      </c>
      <c r="BH80" t="s">
        <v>5142</v>
      </c>
      <c r="BI80" t="s">
        <v>5408</v>
      </c>
      <c r="BJ80" t="s">
        <v>5653</v>
      </c>
      <c r="BK80" t="s">
        <v>5961</v>
      </c>
      <c r="BL80" t="s">
        <v>6182</v>
      </c>
      <c r="BM80" t="s">
        <v>6358</v>
      </c>
      <c r="BN80" t="s">
        <v>6509</v>
      </c>
      <c r="BO80" t="s">
        <v>6671</v>
      </c>
      <c r="BP80" t="s">
        <v>6804</v>
      </c>
      <c r="BT80" t="s">
        <v>6955</v>
      </c>
      <c r="BW80" t="s">
        <v>7407</v>
      </c>
      <c r="BZ80">
        <v>1</v>
      </c>
      <c r="CA80">
        <v>1</v>
      </c>
      <c r="CB80" t="s">
        <v>7654</v>
      </c>
      <c r="CC80" t="s">
        <v>7721</v>
      </c>
      <c r="CD80" s="23" t="s">
        <v>7803</v>
      </c>
      <c r="CE80" s="23" t="s">
        <v>7922</v>
      </c>
      <c r="CF80" s="144">
        <v>43970.68005787037</v>
      </c>
      <c r="CG80" s="144">
        <v>43970.6871875</v>
      </c>
      <c r="CH80" t="s">
        <v>8216</v>
      </c>
    </row>
    <row r="81" spans="1:86" ht="15" hidden="1" customHeight="1" x14ac:dyDescent="0.35">
      <c r="A81" t="s">
        <v>612</v>
      </c>
      <c r="B81">
        <v>1</v>
      </c>
      <c r="C81">
        <v>1</v>
      </c>
      <c r="D81" t="s">
        <v>970</v>
      </c>
      <c r="E81" t="s">
        <v>1184</v>
      </c>
      <c r="I81" t="s">
        <v>1517</v>
      </c>
      <c r="M81" t="s">
        <v>1844</v>
      </c>
      <c r="Q81" t="s">
        <v>2172</v>
      </c>
      <c r="U81" t="s">
        <v>2514</v>
      </c>
      <c r="Y81" t="s">
        <v>2844</v>
      </c>
      <c r="AC81" t="s">
        <v>3145</v>
      </c>
      <c r="AD81">
        <v>6</v>
      </c>
      <c r="AG81" t="s">
        <v>3411</v>
      </c>
      <c r="AK81" t="s">
        <v>3645</v>
      </c>
      <c r="AO81" t="s">
        <v>3909</v>
      </c>
      <c r="AS81" t="s">
        <v>4207</v>
      </c>
      <c r="AW81" t="s">
        <v>4449</v>
      </c>
      <c r="BA81" t="s">
        <v>4688</v>
      </c>
      <c r="BE81" t="s">
        <v>4945</v>
      </c>
      <c r="BG81" t="s">
        <v>4991</v>
      </c>
      <c r="BH81" t="s">
        <v>5143</v>
      </c>
      <c r="BI81" t="s">
        <v>5409</v>
      </c>
      <c r="BJ81" t="s">
        <v>5654</v>
      </c>
      <c r="BK81" t="s">
        <v>5962</v>
      </c>
      <c r="BL81" t="s">
        <v>6182</v>
      </c>
      <c r="BM81" t="s">
        <v>6358</v>
      </c>
      <c r="BN81" t="s">
        <v>6509</v>
      </c>
      <c r="BO81" t="s">
        <v>6671</v>
      </c>
      <c r="BP81" t="s">
        <v>6804</v>
      </c>
      <c r="BT81" t="s">
        <v>6956</v>
      </c>
      <c r="BW81" t="s">
        <v>7407</v>
      </c>
      <c r="BZ81">
        <v>1</v>
      </c>
      <c r="CA81">
        <v>1</v>
      </c>
      <c r="CB81" t="s">
        <v>7655</v>
      </c>
      <c r="CC81" t="s">
        <v>7722</v>
      </c>
      <c r="CD81" s="23" t="s">
        <v>7803</v>
      </c>
      <c r="CE81" s="23" t="s">
        <v>7922</v>
      </c>
      <c r="CF81" s="144">
        <v>43970.657743055555</v>
      </c>
      <c r="CG81" s="144">
        <v>43970.66265046296</v>
      </c>
      <c r="CH81" t="s">
        <v>8217</v>
      </c>
    </row>
    <row r="82" spans="1:86" ht="15" hidden="1" customHeight="1" x14ac:dyDescent="0.35">
      <c r="A82" t="s">
        <v>613</v>
      </c>
      <c r="B82">
        <v>1</v>
      </c>
      <c r="C82">
        <v>1</v>
      </c>
      <c r="D82" t="s">
        <v>971</v>
      </c>
      <c r="E82" t="s">
        <v>1184</v>
      </c>
      <c r="I82" t="s">
        <v>1518</v>
      </c>
      <c r="J82">
        <v>6</v>
      </c>
      <c r="M82" t="s">
        <v>1845</v>
      </c>
      <c r="O82">
        <v>5</v>
      </c>
      <c r="Q82" t="s">
        <v>2172</v>
      </c>
      <c r="U82" t="s">
        <v>2514</v>
      </c>
      <c r="Y82" t="s">
        <v>2844</v>
      </c>
      <c r="AC82" t="s">
        <v>3146</v>
      </c>
      <c r="AG82" t="s">
        <v>3411</v>
      </c>
      <c r="AK82" t="s">
        <v>3645</v>
      </c>
      <c r="AO82" t="s">
        <v>3910</v>
      </c>
      <c r="AP82">
        <v>8</v>
      </c>
      <c r="AS82" t="s">
        <v>4207</v>
      </c>
      <c r="AW82" t="s">
        <v>4450</v>
      </c>
      <c r="AY82">
        <v>8</v>
      </c>
      <c r="BA82" t="s">
        <v>4689</v>
      </c>
      <c r="BC82">
        <v>8</v>
      </c>
      <c r="BE82" t="s">
        <v>4945</v>
      </c>
      <c r="BG82" t="s">
        <v>4991</v>
      </c>
      <c r="BH82" t="s">
        <v>5144</v>
      </c>
      <c r="BI82" t="s">
        <v>5410</v>
      </c>
      <c r="BJ82" t="s">
        <v>5655</v>
      </c>
      <c r="BK82" t="s">
        <v>5963</v>
      </c>
      <c r="BL82" t="s">
        <v>6183</v>
      </c>
      <c r="BM82" t="s">
        <v>6359</v>
      </c>
      <c r="BN82" t="s">
        <v>6509</v>
      </c>
      <c r="BO82" t="s">
        <v>6671</v>
      </c>
      <c r="BP82" t="s">
        <v>6804</v>
      </c>
      <c r="BT82" t="s">
        <v>6957</v>
      </c>
      <c r="BW82" t="s">
        <v>7408</v>
      </c>
      <c r="BZ82">
        <v>0</v>
      </c>
      <c r="CA82">
        <v>1</v>
      </c>
      <c r="CB82" t="s">
        <v>7655</v>
      </c>
      <c r="CC82" t="s">
        <v>7722</v>
      </c>
      <c r="CD82" s="23" t="s">
        <v>7804</v>
      </c>
      <c r="CE82" s="23" t="s">
        <v>7923</v>
      </c>
      <c r="CF82" s="144">
        <v>43966.327002314814</v>
      </c>
      <c r="CG82" s="144">
        <v>43966.340543981481</v>
      </c>
      <c r="CH82" t="s">
        <v>8218</v>
      </c>
    </row>
    <row r="83" spans="1:86" ht="15" hidden="1" customHeight="1" x14ac:dyDescent="0.35">
      <c r="A83" t="s">
        <v>614</v>
      </c>
      <c r="B83">
        <v>1</v>
      </c>
      <c r="C83">
        <v>1</v>
      </c>
      <c r="D83" t="s">
        <v>972</v>
      </c>
      <c r="E83" t="s">
        <v>1185</v>
      </c>
      <c r="F83">
        <v>6</v>
      </c>
      <c r="H83" t="s">
        <v>1372</v>
      </c>
      <c r="I83" t="s">
        <v>1519</v>
      </c>
      <c r="M83" t="s">
        <v>1846</v>
      </c>
      <c r="Q83" t="s">
        <v>2173</v>
      </c>
      <c r="R83">
        <v>4</v>
      </c>
      <c r="U83" t="s">
        <v>2514</v>
      </c>
      <c r="Y83" t="s">
        <v>2845</v>
      </c>
      <c r="AA83">
        <v>4</v>
      </c>
      <c r="AC83" t="s">
        <v>3147</v>
      </c>
      <c r="AD83">
        <v>4</v>
      </c>
      <c r="AG83" t="s">
        <v>3411</v>
      </c>
      <c r="AK83" t="s">
        <v>3645</v>
      </c>
      <c r="AO83" t="s">
        <v>3910</v>
      </c>
      <c r="AP83">
        <v>3</v>
      </c>
      <c r="AR83" t="s">
        <v>4104</v>
      </c>
      <c r="AS83" t="s">
        <v>4207</v>
      </c>
      <c r="AW83" t="s">
        <v>4450</v>
      </c>
      <c r="AY83">
        <v>5</v>
      </c>
      <c r="BA83" t="s">
        <v>4690</v>
      </c>
      <c r="BE83" t="s">
        <v>4945</v>
      </c>
      <c r="BG83" t="s">
        <v>4991</v>
      </c>
      <c r="BH83" t="s">
        <v>5145</v>
      </c>
      <c r="BI83" t="s">
        <v>5411</v>
      </c>
      <c r="BJ83" t="s">
        <v>5656</v>
      </c>
      <c r="BK83" t="s">
        <v>5964</v>
      </c>
      <c r="BL83" t="s">
        <v>6183</v>
      </c>
      <c r="BM83" t="s">
        <v>6359</v>
      </c>
      <c r="BN83" t="s">
        <v>6509</v>
      </c>
      <c r="BO83" t="s">
        <v>6671</v>
      </c>
      <c r="BP83" t="s">
        <v>6804</v>
      </c>
      <c r="BT83" t="s">
        <v>6958</v>
      </c>
      <c r="BW83" t="s">
        <v>7409</v>
      </c>
      <c r="BZ83">
        <v>0</v>
      </c>
      <c r="CA83">
        <v>0</v>
      </c>
      <c r="CD83" s="23"/>
      <c r="CE83" s="23" t="s">
        <v>7924</v>
      </c>
      <c r="CF83" s="144">
        <v>43965.625057870369</v>
      </c>
      <c r="CG83" s="144">
        <v>43965.635752314818</v>
      </c>
      <c r="CH83" t="s">
        <v>8219</v>
      </c>
    </row>
    <row r="84" spans="1:86" ht="15" hidden="1" customHeight="1" x14ac:dyDescent="0.35">
      <c r="A84" t="s">
        <v>615</v>
      </c>
      <c r="B84">
        <v>1</v>
      </c>
      <c r="C84">
        <v>1</v>
      </c>
      <c r="D84" t="s">
        <v>973</v>
      </c>
      <c r="E84" t="s">
        <v>1186</v>
      </c>
      <c r="I84" t="s">
        <v>1519</v>
      </c>
      <c r="M84" t="s">
        <v>1847</v>
      </c>
      <c r="N84">
        <v>6</v>
      </c>
      <c r="P84" t="s">
        <v>2030</v>
      </c>
      <c r="Q84" t="s">
        <v>2173</v>
      </c>
      <c r="R84">
        <v>5</v>
      </c>
      <c r="T84" t="s">
        <v>2395</v>
      </c>
      <c r="U84" t="s">
        <v>2515</v>
      </c>
      <c r="V84">
        <v>6</v>
      </c>
      <c r="Y84" t="s">
        <v>2846</v>
      </c>
      <c r="Z84">
        <v>7</v>
      </c>
      <c r="AB84" t="s">
        <v>3037</v>
      </c>
      <c r="AC84" t="s">
        <v>3147</v>
      </c>
      <c r="AD84">
        <v>7</v>
      </c>
      <c r="AF84" t="s">
        <v>3321</v>
      </c>
      <c r="AG84" t="s">
        <v>3412</v>
      </c>
      <c r="AH84">
        <v>8</v>
      </c>
      <c r="AJ84" t="s">
        <v>3562</v>
      </c>
      <c r="AK84" t="s">
        <v>3646</v>
      </c>
      <c r="AL84">
        <v>6</v>
      </c>
      <c r="AN84" t="s">
        <v>3807</v>
      </c>
      <c r="AO84" t="s">
        <v>3911</v>
      </c>
      <c r="AQ84">
        <v>5</v>
      </c>
      <c r="AR84" t="s">
        <v>4105</v>
      </c>
      <c r="AS84" t="s">
        <v>4208</v>
      </c>
      <c r="AT84">
        <v>7</v>
      </c>
      <c r="AV84" t="s">
        <v>4371</v>
      </c>
      <c r="AW84" t="s">
        <v>4450</v>
      </c>
      <c r="AY84">
        <v>6</v>
      </c>
      <c r="AZ84" t="s">
        <v>4607</v>
      </c>
      <c r="BA84" t="s">
        <v>4691</v>
      </c>
      <c r="BC84">
        <v>7</v>
      </c>
      <c r="BD84" t="s">
        <v>4858</v>
      </c>
      <c r="BE84" t="s">
        <v>4945</v>
      </c>
      <c r="BG84" t="s">
        <v>4991</v>
      </c>
      <c r="BH84" t="s">
        <v>5146</v>
      </c>
      <c r="BI84" t="s">
        <v>5412</v>
      </c>
      <c r="BJ84" t="s">
        <v>5657</v>
      </c>
      <c r="BK84" t="s">
        <v>5965</v>
      </c>
      <c r="BL84" t="s">
        <v>6184</v>
      </c>
      <c r="BM84" t="s">
        <v>6360</v>
      </c>
      <c r="BN84" t="s">
        <v>6509</v>
      </c>
      <c r="BO84" t="s">
        <v>6671</v>
      </c>
      <c r="BP84" t="s">
        <v>6804</v>
      </c>
      <c r="BT84" t="s">
        <v>6958</v>
      </c>
      <c r="BW84" t="s">
        <v>7410</v>
      </c>
      <c r="BZ84">
        <v>1</v>
      </c>
      <c r="CA84">
        <v>0</v>
      </c>
      <c r="CD84" s="23"/>
      <c r="CE84" s="23" t="s">
        <v>7925</v>
      </c>
      <c r="CF84" s="144">
        <v>43963.937476851854</v>
      </c>
      <c r="CG84" s="144">
        <v>43963.951238425929</v>
      </c>
      <c r="CH84" t="s">
        <v>8220</v>
      </c>
    </row>
    <row r="85" spans="1:86" ht="15" hidden="1" customHeight="1" x14ac:dyDescent="0.35">
      <c r="A85" t="s">
        <v>616</v>
      </c>
      <c r="B85">
        <v>1</v>
      </c>
      <c r="C85">
        <v>1</v>
      </c>
      <c r="D85" t="s">
        <v>974</v>
      </c>
      <c r="E85" t="s">
        <v>1186</v>
      </c>
      <c r="I85" t="s">
        <v>1519</v>
      </c>
      <c r="M85" t="s">
        <v>1848</v>
      </c>
      <c r="Q85" t="s">
        <v>2174</v>
      </c>
      <c r="S85">
        <v>7</v>
      </c>
      <c r="U85" t="s">
        <v>2516</v>
      </c>
      <c r="Y85" t="s">
        <v>2846</v>
      </c>
      <c r="Z85">
        <v>5</v>
      </c>
      <c r="AC85" t="s">
        <v>3148</v>
      </c>
      <c r="AG85" t="s">
        <v>3413</v>
      </c>
      <c r="AK85" t="s">
        <v>3647</v>
      </c>
      <c r="AO85" t="s">
        <v>3912</v>
      </c>
      <c r="BE85" t="s">
        <v>4945</v>
      </c>
      <c r="BG85" t="s">
        <v>4992</v>
      </c>
      <c r="BH85" t="s">
        <v>5147</v>
      </c>
      <c r="BI85" t="s">
        <v>5413</v>
      </c>
      <c r="BJ85" t="s">
        <v>5658</v>
      </c>
      <c r="BK85" t="s">
        <v>5966</v>
      </c>
      <c r="BL85" t="s">
        <v>6184</v>
      </c>
      <c r="BM85" t="s">
        <v>6360</v>
      </c>
      <c r="BN85" t="s">
        <v>6510</v>
      </c>
      <c r="BO85" t="s">
        <v>6672</v>
      </c>
      <c r="BP85" t="s">
        <v>6804</v>
      </c>
      <c r="BT85" t="s">
        <v>6958</v>
      </c>
      <c r="BZ85">
        <v>0</v>
      </c>
      <c r="CA85">
        <v>0</v>
      </c>
      <c r="CD85" s="23"/>
      <c r="CE85" s="23" t="s">
        <v>7926</v>
      </c>
      <c r="CF85" s="144">
        <v>43942.525567129633</v>
      </c>
      <c r="CG85" s="144">
        <v>43942.530162037037</v>
      </c>
      <c r="CH85" t="s">
        <v>8221</v>
      </c>
    </row>
    <row r="86" spans="1:86" ht="15" hidden="1" customHeight="1" x14ac:dyDescent="0.35">
      <c r="A86" t="s">
        <v>617</v>
      </c>
      <c r="B86">
        <v>1</v>
      </c>
      <c r="C86">
        <v>1</v>
      </c>
      <c r="D86" t="s">
        <v>975</v>
      </c>
      <c r="E86" t="s">
        <v>1186</v>
      </c>
      <c r="I86" t="s">
        <v>1519</v>
      </c>
      <c r="M86" t="s">
        <v>1848</v>
      </c>
      <c r="Q86" t="s">
        <v>2175</v>
      </c>
      <c r="U86" t="s">
        <v>2516</v>
      </c>
      <c r="Y86" t="s">
        <v>2847</v>
      </c>
      <c r="AC86" t="s">
        <v>3148</v>
      </c>
      <c r="AG86" t="s">
        <v>3413</v>
      </c>
      <c r="AK86" t="s">
        <v>3647</v>
      </c>
      <c r="AO86" t="s">
        <v>3912</v>
      </c>
      <c r="BE86" t="s">
        <v>4945</v>
      </c>
      <c r="BG86" t="s">
        <v>4993</v>
      </c>
      <c r="BH86" t="s">
        <v>5148</v>
      </c>
      <c r="BI86" t="s">
        <v>5414</v>
      </c>
      <c r="BJ86" t="s">
        <v>5659</v>
      </c>
      <c r="BK86" t="s">
        <v>5966</v>
      </c>
      <c r="BL86" t="s">
        <v>6184</v>
      </c>
      <c r="BM86" t="s">
        <v>6361</v>
      </c>
      <c r="BN86" t="s">
        <v>6511</v>
      </c>
      <c r="BO86" t="s">
        <v>6673</v>
      </c>
      <c r="BP86" t="s">
        <v>6805</v>
      </c>
      <c r="BT86" t="s">
        <v>6958</v>
      </c>
      <c r="BZ86">
        <v>0</v>
      </c>
      <c r="CA86">
        <v>0</v>
      </c>
      <c r="CD86" s="23"/>
      <c r="CE86" s="23" t="s">
        <v>7927</v>
      </c>
      <c r="CF86" s="144">
        <v>43937.678136574075</v>
      </c>
      <c r="CG86" s="144">
        <v>43937.696481481478</v>
      </c>
      <c r="CH86" t="s">
        <v>8222</v>
      </c>
    </row>
    <row r="87" spans="1:86" ht="15" hidden="1" customHeight="1" x14ac:dyDescent="0.35">
      <c r="A87" t="s">
        <v>618</v>
      </c>
      <c r="B87">
        <v>1</v>
      </c>
      <c r="C87">
        <v>1</v>
      </c>
      <c r="D87" t="s">
        <v>976</v>
      </c>
      <c r="E87" t="s">
        <v>1186</v>
      </c>
      <c r="I87" t="s">
        <v>1519</v>
      </c>
      <c r="M87" t="s">
        <v>1848</v>
      </c>
      <c r="Q87" t="s">
        <v>2176</v>
      </c>
      <c r="S87">
        <v>6</v>
      </c>
      <c r="T87" t="s">
        <v>2396</v>
      </c>
      <c r="U87" t="s">
        <v>2516</v>
      </c>
      <c r="Y87" t="s">
        <v>2847</v>
      </c>
      <c r="AC87" t="s">
        <v>3148</v>
      </c>
      <c r="AG87" t="s">
        <v>3413</v>
      </c>
      <c r="AK87" t="s">
        <v>3647</v>
      </c>
      <c r="AO87" t="s">
        <v>3912</v>
      </c>
      <c r="BE87" t="s">
        <v>4945</v>
      </c>
      <c r="BG87" t="s">
        <v>4993</v>
      </c>
      <c r="BH87" t="s">
        <v>5149</v>
      </c>
      <c r="BI87" t="s">
        <v>5415</v>
      </c>
      <c r="BJ87" t="s">
        <v>5660</v>
      </c>
      <c r="BK87" t="s">
        <v>5967</v>
      </c>
      <c r="BL87" t="s">
        <v>6184</v>
      </c>
      <c r="BM87" t="s">
        <v>6362</v>
      </c>
      <c r="BN87" t="s">
        <v>6511</v>
      </c>
      <c r="BO87" t="s">
        <v>6673</v>
      </c>
      <c r="BP87" t="s">
        <v>6806</v>
      </c>
      <c r="BT87" t="s">
        <v>6958</v>
      </c>
      <c r="BZ87">
        <v>1</v>
      </c>
      <c r="CA87">
        <v>0</v>
      </c>
      <c r="CD87" s="23"/>
      <c r="CE87" s="23" t="s">
        <v>7928</v>
      </c>
      <c r="CF87" s="144">
        <v>43924.414027777777</v>
      </c>
      <c r="CG87" s="144">
        <v>43924.419872685183</v>
      </c>
      <c r="CH87" t="s">
        <v>8223</v>
      </c>
    </row>
    <row r="88" spans="1:86" ht="15" hidden="1" customHeight="1" x14ac:dyDescent="0.35">
      <c r="A88" t="s">
        <v>619</v>
      </c>
      <c r="B88">
        <v>1</v>
      </c>
      <c r="C88">
        <v>1</v>
      </c>
      <c r="D88" t="s">
        <v>977</v>
      </c>
      <c r="E88" t="s">
        <v>1187</v>
      </c>
      <c r="F88">
        <v>8</v>
      </c>
      <c r="H88" t="s">
        <v>1373</v>
      </c>
      <c r="I88" t="s">
        <v>1519</v>
      </c>
      <c r="M88" t="s">
        <v>1848</v>
      </c>
      <c r="Q88" t="s">
        <v>2177</v>
      </c>
      <c r="U88" t="s">
        <v>2516</v>
      </c>
      <c r="Y88" t="s">
        <v>2847</v>
      </c>
      <c r="AC88" t="s">
        <v>3148</v>
      </c>
      <c r="AG88" t="s">
        <v>3413</v>
      </c>
      <c r="AK88" t="s">
        <v>3647</v>
      </c>
      <c r="AO88" t="s">
        <v>3912</v>
      </c>
      <c r="AS88" t="s">
        <v>4209</v>
      </c>
      <c r="AW88" t="s">
        <v>4450</v>
      </c>
      <c r="AY88">
        <v>7</v>
      </c>
      <c r="AZ88" t="s">
        <v>4608</v>
      </c>
      <c r="BA88" t="s">
        <v>4691</v>
      </c>
      <c r="BC88">
        <v>8</v>
      </c>
      <c r="BD88" t="s">
        <v>4859</v>
      </c>
      <c r="BE88" t="s">
        <v>4945</v>
      </c>
      <c r="BG88" t="s">
        <v>4993</v>
      </c>
      <c r="BH88" t="s">
        <v>5150</v>
      </c>
      <c r="BI88" t="s">
        <v>5416</v>
      </c>
      <c r="BJ88" t="s">
        <v>5661</v>
      </c>
      <c r="BK88" t="s">
        <v>5968</v>
      </c>
      <c r="BL88" t="s">
        <v>6184</v>
      </c>
      <c r="BM88" t="s">
        <v>6362</v>
      </c>
      <c r="BN88" t="s">
        <v>6511</v>
      </c>
      <c r="BO88" t="s">
        <v>6673</v>
      </c>
      <c r="BP88" t="s">
        <v>6806</v>
      </c>
      <c r="BT88" t="s">
        <v>6958</v>
      </c>
      <c r="BZ88">
        <v>0</v>
      </c>
      <c r="CA88">
        <v>0</v>
      </c>
      <c r="CD88" s="23"/>
      <c r="CE88" s="23" t="s">
        <v>7928</v>
      </c>
      <c r="CF88" s="144">
        <v>43923.550451388888</v>
      </c>
      <c r="CG88" s="144">
        <v>43923.558379629627</v>
      </c>
      <c r="CH88" t="s">
        <v>8224</v>
      </c>
    </row>
    <row r="89" spans="1:86" ht="15" hidden="1" customHeight="1" x14ac:dyDescent="0.35">
      <c r="A89" t="s">
        <v>620</v>
      </c>
      <c r="B89">
        <v>1</v>
      </c>
      <c r="C89">
        <v>1</v>
      </c>
      <c r="D89" t="s">
        <v>978</v>
      </c>
      <c r="E89" t="s">
        <v>1188</v>
      </c>
      <c r="I89" t="s">
        <v>1519</v>
      </c>
      <c r="M89" t="s">
        <v>1849</v>
      </c>
      <c r="O89">
        <v>6</v>
      </c>
      <c r="Q89" t="s">
        <v>2177</v>
      </c>
      <c r="U89" t="s">
        <v>2516</v>
      </c>
      <c r="Y89" t="s">
        <v>2847</v>
      </c>
      <c r="AC89" t="s">
        <v>3148</v>
      </c>
      <c r="AG89" t="s">
        <v>3413</v>
      </c>
      <c r="AK89" t="s">
        <v>3647</v>
      </c>
      <c r="AO89" t="s">
        <v>3913</v>
      </c>
      <c r="AP89">
        <v>7</v>
      </c>
      <c r="AR89" t="s">
        <v>4106</v>
      </c>
      <c r="AS89" t="s">
        <v>4210</v>
      </c>
      <c r="AU89">
        <v>8</v>
      </c>
      <c r="AV89" t="s">
        <v>4372</v>
      </c>
      <c r="AW89" t="s">
        <v>4450</v>
      </c>
      <c r="AY89">
        <v>7</v>
      </c>
      <c r="AZ89" t="s">
        <v>4609</v>
      </c>
      <c r="BA89" t="s">
        <v>4692</v>
      </c>
      <c r="BE89" t="s">
        <v>4945</v>
      </c>
      <c r="BG89" t="s">
        <v>4994</v>
      </c>
      <c r="BH89" t="s">
        <v>5151</v>
      </c>
      <c r="BI89" t="s">
        <v>5417</v>
      </c>
      <c r="BJ89" t="s">
        <v>5661</v>
      </c>
      <c r="BK89" t="s">
        <v>5968</v>
      </c>
      <c r="BL89" t="s">
        <v>6184</v>
      </c>
      <c r="BM89" t="s">
        <v>6362</v>
      </c>
      <c r="BN89" t="s">
        <v>6512</v>
      </c>
      <c r="BO89" t="s">
        <v>6674</v>
      </c>
      <c r="BP89" t="s">
        <v>6806</v>
      </c>
      <c r="BT89" t="s">
        <v>6959</v>
      </c>
      <c r="BZ89">
        <v>0</v>
      </c>
      <c r="CA89">
        <v>0</v>
      </c>
      <c r="CD89" s="23"/>
      <c r="CE89" s="23" t="s">
        <v>7929</v>
      </c>
      <c r="CF89" s="144">
        <v>43923.539479166669</v>
      </c>
      <c r="CG89" s="144">
        <v>43923.546122685184</v>
      </c>
      <c r="CH89" s="24" t="s">
        <v>8225</v>
      </c>
    </row>
    <row r="90" spans="1:86" ht="15" hidden="1" customHeight="1" x14ac:dyDescent="0.35">
      <c r="A90" t="s">
        <v>621</v>
      </c>
      <c r="B90">
        <v>1</v>
      </c>
      <c r="C90">
        <v>1</v>
      </c>
      <c r="D90" t="s">
        <v>979</v>
      </c>
      <c r="E90" t="s">
        <v>1188</v>
      </c>
      <c r="I90" t="s">
        <v>1519</v>
      </c>
      <c r="M90" t="s">
        <v>1850</v>
      </c>
      <c r="N90">
        <v>7</v>
      </c>
      <c r="Q90" t="s">
        <v>2178</v>
      </c>
      <c r="U90" t="s">
        <v>2517</v>
      </c>
      <c r="V90">
        <v>7</v>
      </c>
      <c r="Y90" t="s">
        <v>2848</v>
      </c>
      <c r="Z90">
        <v>7</v>
      </c>
      <c r="AC90" t="s">
        <v>3148</v>
      </c>
      <c r="AG90" t="s">
        <v>3413</v>
      </c>
      <c r="AK90" t="s">
        <v>3647</v>
      </c>
      <c r="AO90" t="s">
        <v>3913</v>
      </c>
      <c r="AP90">
        <v>7</v>
      </c>
      <c r="BE90" t="s">
        <v>4945</v>
      </c>
      <c r="BG90" t="s">
        <v>4995</v>
      </c>
      <c r="BH90" t="s">
        <v>5152</v>
      </c>
      <c r="BI90" t="s">
        <v>5418</v>
      </c>
      <c r="BJ90" t="s">
        <v>5662</v>
      </c>
      <c r="BK90" t="s">
        <v>5968</v>
      </c>
      <c r="BL90" t="s">
        <v>6185</v>
      </c>
      <c r="BM90" t="s">
        <v>6362</v>
      </c>
      <c r="BN90" t="s">
        <v>6513</v>
      </c>
      <c r="BO90" t="s">
        <v>6675</v>
      </c>
      <c r="BP90" t="s">
        <v>6806</v>
      </c>
      <c r="BT90" t="s">
        <v>6960</v>
      </c>
      <c r="BZ90">
        <v>0</v>
      </c>
      <c r="CA90">
        <v>0</v>
      </c>
      <c r="CD90" s="23"/>
      <c r="CE90" s="23" t="s">
        <v>7930</v>
      </c>
      <c r="CF90" s="144">
        <v>43921.374189814815</v>
      </c>
      <c r="CG90" s="144">
        <v>43921.378611111111</v>
      </c>
      <c r="CH90" t="s">
        <v>8226</v>
      </c>
    </row>
    <row r="91" spans="1:86" ht="15" hidden="1" customHeight="1" x14ac:dyDescent="0.35">
      <c r="A91" t="s">
        <v>622</v>
      </c>
      <c r="B91">
        <v>1</v>
      </c>
      <c r="C91">
        <v>1</v>
      </c>
      <c r="D91" t="s">
        <v>980</v>
      </c>
      <c r="E91" t="s">
        <v>1189</v>
      </c>
      <c r="F91">
        <v>7</v>
      </c>
      <c r="H91" t="s">
        <v>1374</v>
      </c>
      <c r="I91" t="s">
        <v>1519</v>
      </c>
      <c r="M91" t="s">
        <v>1850</v>
      </c>
      <c r="N91">
        <v>7</v>
      </c>
      <c r="P91" t="s">
        <v>2031</v>
      </c>
      <c r="Q91" t="s">
        <v>2179</v>
      </c>
      <c r="U91" t="s">
        <v>2517</v>
      </c>
      <c r="V91">
        <v>6</v>
      </c>
      <c r="X91" t="s">
        <v>2724</v>
      </c>
      <c r="Y91" t="s">
        <v>2848</v>
      </c>
      <c r="Z91">
        <v>8</v>
      </c>
      <c r="AB91" t="s">
        <v>3038</v>
      </c>
      <c r="AC91" t="s">
        <v>3148</v>
      </c>
      <c r="AG91" t="s">
        <v>3413</v>
      </c>
      <c r="AK91" t="s">
        <v>3647</v>
      </c>
      <c r="AO91" t="s">
        <v>3914</v>
      </c>
      <c r="AQ91">
        <v>5</v>
      </c>
      <c r="AS91" t="s">
        <v>4211</v>
      </c>
      <c r="AW91" t="s">
        <v>4451</v>
      </c>
      <c r="BA91" t="s">
        <v>4692</v>
      </c>
      <c r="BE91" t="s">
        <v>4945</v>
      </c>
      <c r="BG91" t="s">
        <v>4996</v>
      </c>
      <c r="BH91" t="s">
        <v>5153</v>
      </c>
      <c r="BI91" t="s">
        <v>5418</v>
      </c>
      <c r="BJ91" t="s">
        <v>5663</v>
      </c>
      <c r="BK91" t="s">
        <v>5969</v>
      </c>
      <c r="BL91" t="s">
        <v>6186</v>
      </c>
      <c r="BM91" t="s">
        <v>6363</v>
      </c>
      <c r="BN91" t="s">
        <v>6514</v>
      </c>
      <c r="BO91" t="s">
        <v>6676</v>
      </c>
      <c r="BP91" t="s">
        <v>6806</v>
      </c>
      <c r="BT91" t="s">
        <v>6960</v>
      </c>
      <c r="BZ91">
        <v>0</v>
      </c>
      <c r="CA91">
        <v>0</v>
      </c>
      <c r="CD91" s="23"/>
      <c r="CE91" s="23" t="s">
        <v>7931</v>
      </c>
      <c r="CF91" s="144">
        <v>43920.435034722221</v>
      </c>
      <c r="CG91" s="144">
        <v>43920.442199074074</v>
      </c>
      <c r="CH91" t="s">
        <v>8227</v>
      </c>
    </row>
    <row r="92" spans="1:86" ht="15" hidden="1" customHeight="1" x14ac:dyDescent="0.35">
      <c r="A92" t="s">
        <v>623</v>
      </c>
      <c r="B92">
        <v>1</v>
      </c>
      <c r="C92">
        <v>1</v>
      </c>
      <c r="D92" t="s">
        <v>981</v>
      </c>
      <c r="E92" t="s">
        <v>1189</v>
      </c>
      <c r="F92">
        <v>6</v>
      </c>
      <c r="H92" t="s">
        <v>1375</v>
      </c>
      <c r="I92" t="s">
        <v>1520</v>
      </c>
      <c r="K92">
        <v>8</v>
      </c>
      <c r="L92" t="s">
        <v>1722</v>
      </c>
      <c r="M92" t="s">
        <v>1851</v>
      </c>
      <c r="Q92" t="s">
        <v>2180</v>
      </c>
      <c r="S92">
        <v>8</v>
      </c>
      <c r="U92" t="s">
        <v>2518</v>
      </c>
      <c r="Y92" t="s">
        <v>2849</v>
      </c>
      <c r="AC92" t="s">
        <v>3148</v>
      </c>
      <c r="AG92" t="s">
        <v>3413</v>
      </c>
      <c r="AK92" t="s">
        <v>3647</v>
      </c>
      <c r="AO92" t="s">
        <v>3915</v>
      </c>
      <c r="AP92">
        <v>8</v>
      </c>
      <c r="AS92" t="s">
        <v>4211</v>
      </c>
      <c r="AW92" t="s">
        <v>4451</v>
      </c>
      <c r="BA92" t="s">
        <v>4692</v>
      </c>
      <c r="BE92" t="s">
        <v>4945</v>
      </c>
      <c r="BG92" t="s">
        <v>4997</v>
      </c>
      <c r="BH92" t="s">
        <v>5154</v>
      </c>
      <c r="BI92" t="s">
        <v>5419</v>
      </c>
      <c r="BJ92" t="s">
        <v>5664</v>
      </c>
      <c r="BK92" t="s">
        <v>5970</v>
      </c>
      <c r="BL92" t="s">
        <v>6187</v>
      </c>
      <c r="BM92" t="s">
        <v>6364</v>
      </c>
      <c r="BN92" t="s">
        <v>6515</v>
      </c>
      <c r="BO92" t="s">
        <v>6676</v>
      </c>
      <c r="BP92" t="s">
        <v>6806</v>
      </c>
      <c r="BT92" t="s">
        <v>6960</v>
      </c>
      <c r="BZ92">
        <v>0</v>
      </c>
      <c r="CA92">
        <v>0</v>
      </c>
      <c r="CD92" s="23"/>
      <c r="CE92" s="23" t="s">
        <v>7932</v>
      </c>
      <c r="CF92" s="144">
        <v>43919.588912037034</v>
      </c>
      <c r="CG92" s="144">
        <v>43919.597060185188</v>
      </c>
      <c r="CH92" t="s">
        <v>8228</v>
      </c>
    </row>
    <row r="93" spans="1:86" ht="15" hidden="1" customHeight="1" x14ac:dyDescent="0.35">
      <c r="A93" t="s">
        <v>624</v>
      </c>
      <c r="B93">
        <v>1</v>
      </c>
      <c r="C93">
        <v>1</v>
      </c>
      <c r="D93" t="s">
        <v>982</v>
      </c>
      <c r="E93" t="s">
        <v>1190</v>
      </c>
      <c r="I93" t="s">
        <v>1521</v>
      </c>
      <c r="J93">
        <v>7</v>
      </c>
      <c r="L93" t="s">
        <v>1723</v>
      </c>
      <c r="M93" t="s">
        <v>1852</v>
      </c>
      <c r="N93">
        <v>5</v>
      </c>
      <c r="P93" t="s">
        <v>2032</v>
      </c>
      <c r="Q93" t="s">
        <v>2181</v>
      </c>
      <c r="R93">
        <v>6</v>
      </c>
      <c r="T93" t="s">
        <v>2397</v>
      </c>
      <c r="U93" t="s">
        <v>2518</v>
      </c>
      <c r="Y93" t="s">
        <v>2849</v>
      </c>
      <c r="AC93" t="s">
        <v>3148</v>
      </c>
      <c r="AG93" t="s">
        <v>3413</v>
      </c>
      <c r="AK93" t="s">
        <v>3647</v>
      </c>
      <c r="AO93" t="s">
        <v>3916</v>
      </c>
      <c r="AS93" t="s">
        <v>4211</v>
      </c>
      <c r="AW93" t="s">
        <v>4451</v>
      </c>
      <c r="BA93" t="s">
        <v>4692</v>
      </c>
      <c r="BE93" t="s">
        <v>4945</v>
      </c>
      <c r="BG93" t="s">
        <v>4997</v>
      </c>
      <c r="BH93" t="s">
        <v>5155</v>
      </c>
      <c r="BI93" t="s">
        <v>5420</v>
      </c>
      <c r="BJ93" t="s">
        <v>5665</v>
      </c>
      <c r="BK93" t="s">
        <v>5971</v>
      </c>
      <c r="BL93" t="s">
        <v>6188</v>
      </c>
      <c r="BM93" t="s">
        <v>6364</v>
      </c>
      <c r="BN93" t="s">
        <v>6516</v>
      </c>
      <c r="BO93" t="s">
        <v>6677</v>
      </c>
      <c r="BP93" t="s">
        <v>6806</v>
      </c>
      <c r="BT93" t="s">
        <v>6960</v>
      </c>
      <c r="BZ93">
        <v>1</v>
      </c>
      <c r="CA93">
        <v>1</v>
      </c>
      <c r="CB93" t="s">
        <v>7656</v>
      </c>
      <c r="CC93" t="s">
        <v>7723</v>
      </c>
      <c r="CD93" s="23" t="s">
        <v>7805</v>
      </c>
      <c r="CE93" s="23" t="s">
        <v>7933</v>
      </c>
      <c r="CF93" s="144">
        <v>43909.640324074076</v>
      </c>
      <c r="CG93" s="144">
        <v>43909.648541666669</v>
      </c>
      <c r="CH93" s="24" t="s">
        <v>8229</v>
      </c>
    </row>
    <row r="94" spans="1:86" ht="15" hidden="1" customHeight="1" x14ac:dyDescent="0.35">
      <c r="A94" t="s">
        <v>625</v>
      </c>
      <c r="B94">
        <v>1</v>
      </c>
      <c r="C94">
        <v>1</v>
      </c>
      <c r="D94" t="s">
        <v>983</v>
      </c>
      <c r="E94" t="s">
        <v>1190</v>
      </c>
      <c r="I94" t="s">
        <v>1521</v>
      </c>
      <c r="J94">
        <v>7</v>
      </c>
      <c r="L94" s="21"/>
      <c r="M94" t="s">
        <v>1853</v>
      </c>
      <c r="O94">
        <v>5</v>
      </c>
      <c r="P94" s="21"/>
      <c r="Q94" t="s">
        <v>2181</v>
      </c>
      <c r="R94">
        <v>8</v>
      </c>
      <c r="T94" s="21"/>
      <c r="U94" t="s">
        <v>2519</v>
      </c>
      <c r="V94">
        <v>7</v>
      </c>
      <c r="X94" s="21"/>
      <c r="Y94" t="s">
        <v>2850</v>
      </c>
      <c r="AA94">
        <v>5</v>
      </c>
      <c r="AC94" t="s">
        <v>3148</v>
      </c>
      <c r="AF94" s="21"/>
      <c r="AG94" t="s">
        <v>3413</v>
      </c>
      <c r="AK94" t="s">
        <v>3647</v>
      </c>
      <c r="AN94" s="21"/>
      <c r="AO94" t="s">
        <v>3916</v>
      </c>
      <c r="BE94" t="s">
        <v>4945</v>
      </c>
      <c r="BG94" t="s">
        <v>4997</v>
      </c>
      <c r="BH94" t="s">
        <v>5156</v>
      </c>
      <c r="BI94" t="s">
        <v>5420</v>
      </c>
      <c r="BJ94" t="s">
        <v>5666</v>
      </c>
      <c r="BK94" t="s">
        <v>5972</v>
      </c>
      <c r="BL94" t="s">
        <v>6189</v>
      </c>
      <c r="BM94" t="s">
        <v>6364</v>
      </c>
      <c r="BN94" t="s">
        <v>6516</v>
      </c>
      <c r="BO94" t="s">
        <v>6677</v>
      </c>
      <c r="BP94" t="s">
        <v>6806</v>
      </c>
      <c r="BT94" t="s">
        <v>6960</v>
      </c>
      <c r="BZ94">
        <v>0</v>
      </c>
      <c r="CA94">
        <v>0</v>
      </c>
      <c r="CD94" s="23"/>
      <c r="CE94" s="23" t="s">
        <v>7934</v>
      </c>
      <c r="CF94" s="144">
        <v>43906.448472222219</v>
      </c>
      <c r="CG94" s="144">
        <v>43906.462546296294</v>
      </c>
      <c r="CH94" t="s">
        <v>8230</v>
      </c>
    </row>
    <row r="95" spans="1:86" ht="15" hidden="1" customHeight="1" x14ac:dyDescent="0.35">
      <c r="A95" t="s">
        <v>626</v>
      </c>
      <c r="B95">
        <v>1</v>
      </c>
      <c r="C95">
        <v>1</v>
      </c>
      <c r="D95" t="s">
        <v>983</v>
      </c>
      <c r="E95" t="s">
        <v>1191</v>
      </c>
      <c r="G95">
        <v>5</v>
      </c>
      <c r="H95" t="s">
        <v>1376</v>
      </c>
      <c r="I95" t="s">
        <v>1521</v>
      </c>
      <c r="J95">
        <v>7</v>
      </c>
      <c r="M95" t="s">
        <v>1854</v>
      </c>
      <c r="N95">
        <v>7</v>
      </c>
      <c r="Q95" t="s">
        <v>2181</v>
      </c>
      <c r="R95">
        <v>7</v>
      </c>
      <c r="U95" t="s">
        <v>2519</v>
      </c>
      <c r="V95">
        <v>7</v>
      </c>
      <c r="Y95" t="s">
        <v>2850</v>
      </c>
      <c r="AA95">
        <v>7</v>
      </c>
      <c r="AC95" t="s">
        <v>3148</v>
      </c>
      <c r="AG95" t="s">
        <v>3413</v>
      </c>
      <c r="AK95" t="s">
        <v>3647</v>
      </c>
      <c r="AO95" t="s">
        <v>3916</v>
      </c>
      <c r="BE95" t="s">
        <v>4945</v>
      </c>
      <c r="BG95" t="s">
        <v>4997</v>
      </c>
      <c r="BH95" t="s">
        <v>5157</v>
      </c>
      <c r="BI95" t="s">
        <v>5420</v>
      </c>
      <c r="BJ95" t="s">
        <v>5667</v>
      </c>
      <c r="BK95" t="s">
        <v>5973</v>
      </c>
      <c r="BL95" t="s">
        <v>6190</v>
      </c>
      <c r="BM95" t="s">
        <v>6365</v>
      </c>
      <c r="BN95" t="s">
        <v>6516</v>
      </c>
      <c r="BO95" t="s">
        <v>6677</v>
      </c>
      <c r="BP95" t="s">
        <v>6807</v>
      </c>
      <c r="BQ95" t="s">
        <v>6841</v>
      </c>
      <c r="BR95" t="s">
        <v>6857</v>
      </c>
      <c r="BS95" t="s">
        <v>6874</v>
      </c>
      <c r="BT95" t="s">
        <v>6961</v>
      </c>
      <c r="BZ95">
        <v>0</v>
      </c>
      <c r="CA95">
        <v>0</v>
      </c>
      <c r="CD95" s="23"/>
      <c r="CE95" s="23" t="s">
        <v>7934</v>
      </c>
      <c r="CF95" s="144">
        <v>43906.405104166668</v>
      </c>
      <c r="CG95" s="144">
        <v>43906.415208333332</v>
      </c>
      <c r="CH95" t="s">
        <v>8231</v>
      </c>
    </row>
    <row r="96" spans="1:86" ht="15" hidden="1" customHeight="1" x14ac:dyDescent="0.35">
      <c r="A96" t="s">
        <v>627</v>
      </c>
      <c r="B96">
        <v>1</v>
      </c>
      <c r="C96">
        <v>1</v>
      </c>
      <c r="D96" t="s">
        <v>983</v>
      </c>
      <c r="E96" t="s">
        <v>1192</v>
      </c>
      <c r="I96" t="s">
        <v>1522</v>
      </c>
      <c r="M96" t="s">
        <v>1854</v>
      </c>
      <c r="N96">
        <v>6</v>
      </c>
      <c r="Q96" t="s">
        <v>2181</v>
      </c>
      <c r="R96">
        <v>5</v>
      </c>
      <c r="T96" t="s">
        <v>2398</v>
      </c>
      <c r="U96" t="s">
        <v>2519</v>
      </c>
      <c r="V96">
        <v>5</v>
      </c>
      <c r="Y96" t="s">
        <v>2851</v>
      </c>
      <c r="AC96" t="s">
        <v>3148</v>
      </c>
      <c r="AG96" t="s">
        <v>3413</v>
      </c>
      <c r="AK96" t="s">
        <v>3647</v>
      </c>
      <c r="AO96" t="s">
        <v>3917</v>
      </c>
      <c r="AQ96">
        <v>8</v>
      </c>
      <c r="AS96" t="s">
        <v>4211</v>
      </c>
      <c r="AW96" t="s">
        <v>4452</v>
      </c>
      <c r="AX96">
        <v>7</v>
      </c>
      <c r="AZ96" t="s">
        <v>4610</v>
      </c>
      <c r="BA96" t="s">
        <v>4693</v>
      </c>
      <c r="BB96">
        <v>7</v>
      </c>
      <c r="BD96" t="s">
        <v>4860</v>
      </c>
      <c r="BE96" t="s">
        <v>4945</v>
      </c>
      <c r="BG96" t="s">
        <v>4998</v>
      </c>
      <c r="BH96" t="s">
        <v>5157</v>
      </c>
      <c r="BI96" t="s">
        <v>5421</v>
      </c>
      <c r="BJ96" t="s">
        <v>5668</v>
      </c>
      <c r="BK96" t="s">
        <v>5973</v>
      </c>
      <c r="BL96" t="s">
        <v>6191</v>
      </c>
      <c r="BM96" t="s">
        <v>6366</v>
      </c>
      <c r="BN96" t="s">
        <v>6516</v>
      </c>
      <c r="BO96" t="s">
        <v>6677</v>
      </c>
      <c r="BP96" t="s">
        <v>6808</v>
      </c>
      <c r="BT96" t="s">
        <v>6962</v>
      </c>
      <c r="BZ96">
        <v>0</v>
      </c>
      <c r="CA96">
        <v>0</v>
      </c>
      <c r="CD96" s="23"/>
      <c r="CE96" s="23" t="s">
        <v>7935</v>
      </c>
      <c r="CF96" s="144">
        <v>43903.430289351854</v>
      </c>
      <c r="CG96" s="144">
        <v>43903.436550925922</v>
      </c>
      <c r="CH96" t="s">
        <v>8232</v>
      </c>
    </row>
    <row r="97" spans="1:86" ht="15" hidden="1" customHeight="1" x14ac:dyDescent="0.35">
      <c r="A97" t="s">
        <v>628</v>
      </c>
      <c r="B97">
        <v>1</v>
      </c>
      <c r="C97">
        <v>1</v>
      </c>
      <c r="D97" t="s">
        <v>984</v>
      </c>
      <c r="E97" t="s">
        <v>1192</v>
      </c>
      <c r="I97" t="s">
        <v>1522</v>
      </c>
      <c r="M97" t="s">
        <v>1855</v>
      </c>
      <c r="P97" s="21"/>
      <c r="Q97" t="s">
        <v>2182</v>
      </c>
      <c r="U97" t="s">
        <v>2520</v>
      </c>
      <c r="X97" s="21"/>
      <c r="Y97" t="s">
        <v>2851</v>
      </c>
      <c r="AB97" s="21"/>
      <c r="AC97" t="s">
        <v>3148</v>
      </c>
      <c r="AG97" t="s">
        <v>3413</v>
      </c>
      <c r="AJ97" s="21"/>
      <c r="AK97" t="s">
        <v>3647</v>
      </c>
      <c r="AO97" t="s">
        <v>3917</v>
      </c>
      <c r="AQ97">
        <v>6</v>
      </c>
      <c r="AS97" t="s">
        <v>4212</v>
      </c>
      <c r="AT97">
        <v>7</v>
      </c>
      <c r="AW97" t="s">
        <v>4453</v>
      </c>
      <c r="AY97">
        <v>6</v>
      </c>
      <c r="BA97" t="s">
        <v>4694</v>
      </c>
      <c r="BE97" t="s">
        <v>4945</v>
      </c>
      <c r="BG97" t="s">
        <v>4999</v>
      </c>
      <c r="BH97" t="s">
        <v>5158</v>
      </c>
      <c r="BI97" t="s">
        <v>5422</v>
      </c>
      <c r="BJ97" t="s">
        <v>5668</v>
      </c>
      <c r="BK97" t="s">
        <v>5973</v>
      </c>
      <c r="BL97" t="s">
        <v>6192</v>
      </c>
      <c r="BM97" t="s">
        <v>6366</v>
      </c>
      <c r="BN97" t="s">
        <v>6516</v>
      </c>
      <c r="BO97" t="s">
        <v>6677</v>
      </c>
      <c r="BP97" t="s">
        <v>6808</v>
      </c>
      <c r="BT97" t="s">
        <v>6963</v>
      </c>
      <c r="BZ97">
        <v>0</v>
      </c>
      <c r="CA97">
        <v>1</v>
      </c>
      <c r="CB97" t="s">
        <v>7657</v>
      </c>
      <c r="CC97" t="s">
        <v>7723</v>
      </c>
      <c r="CD97" s="23" t="s">
        <v>7806</v>
      </c>
      <c r="CE97" s="23" t="s">
        <v>7935</v>
      </c>
      <c r="CF97" s="144">
        <v>43903.341053240743</v>
      </c>
      <c r="CG97" s="144">
        <v>43903.347407407404</v>
      </c>
      <c r="CH97" t="s">
        <v>8233</v>
      </c>
    </row>
    <row r="98" spans="1:86" ht="15" hidden="1" customHeight="1" x14ac:dyDescent="0.35">
      <c r="A98" t="s">
        <v>629</v>
      </c>
      <c r="B98">
        <v>1</v>
      </c>
      <c r="C98">
        <v>1</v>
      </c>
      <c r="D98" t="s">
        <v>985</v>
      </c>
      <c r="E98" t="s">
        <v>1193</v>
      </c>
      <c r="F98">
        <v>8</v>
      </c>
      <c r="I98" t="s">
        <v>1523</v>
      </c>
      <c r="J98">
        <v>8</v>
      </c>
      <c r="L98" t="s">
        <v>1724</v>
      </c>
      <c r="M98" t="s">
        <v>1856</v>
      </c>
      <c r="N98">
        <v>6</v>
      </c>
      <c r="P98" t="s">
        <v>2033</v>
      </c>
      <c r="Q98" t="s">
        <v>2183</v>
      </c>
      <c r="R98">
        <v>7</v>
      </c>
      <c r="T98" t="s">
        <v>2399</v>
      </c>
      <c r="U98" t="s">
        <v>2521</v>
      </c>
      <c r="V98">
        <v>8</v>
      </c>
      <c r="X98" t="s">
        <v>2725</v>
      </c>
      <c r="Y98" t="s">
        <v>2851</v>
      </c>
      <c r="AC98" t="s">
        <v>3149</v>
      </c>
      <c r="AD98">
        <v>6</v>
      </c>
      <c r="AF98" t="s">
        <v>3322</v>
      </c>
      <c r="AG98" t="s">
        <v>3413</v>
      </c>
      <c r="AK98" t="s">
        <v>3647</v>
      </c>
      <c r="AO98" t="s">
        <v>3918</v>
      </c>
      <c r="AS98" t="s">
        <v>4213</v>
      </c>
      <c r="AW98" t="s">
        <v>4453</v>
      </c>
      <c r="AY98">
        <v>7</v>
      </c>
      <c r="AZ98" t="s">
        <v>4611</v>
      </c>
      <c r="BA98" t="s">
        <v>4694</v>
      </c>
      <c r="BE98" t="s">
        <v>4945</v>
      </c>
      <c r="BG98" t="s">
        <v>4999</v>
      </c>
      <c r="BH98" t="s">
        <v>5159</v>
      </c>
      <c r="BI98" t="s">
        <v>5423</v>
      </c>
      <c r="BJ98" t="s">
        <v>5669</v>
      </c>
      <c r="BK98" t="s">
        <v>5973</v>
      </c>
      <c r="BL98" t="s">
        <v>6192</v>
      </c>
      <c r="BM98" t="s">
        <v>6366</v>
      </c>
      <c r="BN98" t="s">
        <v>6516</v>
      </c>
      <c r="BO98" t="s">
        <v>6677</v>
      </c>
      <c r="BP98" t="s">
        <v>6808</v>
      </c>
      <c r="BT98" t="s">
        <v>6963</v>
      </c>
      <c r="BZ98">
        <v>0</v>
      </c>
      <c r="CA98">
        <v>0</v>
      </c>
      <c r="CD98" s="23"/>
      <c r="CE98" s="23" t="s">
        <v>7936</v>
      </c>
      <c r="CF98" s="144">
        <v>43903.331435185188</v>
      </c>
      <c r="CG98" s="144">
        <v>43903.338090277779</v>
      </c>
      <c r="CH98" t="s">
        <v>8234</v>
      </c>
    </row>
    <row r="99" spans="1:86" ht="15" hidden="1" customHeight="1" x14ac:dyDescent="0.35">
      <c r="A99" t="s">
        <v>630</v>
      </c>
      <c r="B99">
        <v>1</v>
      </c>
      <c r="C99">
        <v>1</v>
      </c>
      <c r="D99" t="s">
        <v>986</v>
      </c>
      <c r="E99" t="s">
        <v>1193</v>
      </c>
      <c r="F99">
        <v>6</v>
      </c>
      <c r="H99" t="s">
        <v>1377</v>
      </c>
      <c r="I99" t="s">
        <v>1523</v>
      </c>
      <c r="J99">
        <v>7</v>
      </c>
      <c r="M99" t="s">
        <v>1857</v>
      </c>
      <c r="Q99" t="s">
        <v>2183</v>
      </c>
      <c r="R99">
        <v>6</v>
      </c>
      <c r="U99" t="s">
        <v>2522</v>
      </c>
      <c r="W99">
        <v>8</v>
      </c>
      <c r="Y99" t="s">
        <v>2852</v>
      </c>
      <c r="AA99">
        <v>6</v>
      </c>
      <c r="AC99" t="s">
        <v>3150</v>
      </c>
      <c r="AE99">
        <v>6</v>
      </c>
      <c r="AG99" t="s">
        <v>3414</v>
      </c>
      <c r="AI99">
        <v>6</v>
      </c>
      <c r="AK99" t="s">
        <v>3648</v>
      </c>
      <c r="AL99">
        <v>6</v>
      </c>
      <c r="AO99" t="s">
        <v>3919</v>
      </c>
      <c r="AQ99">
        <v>7</v>
      </c>
      <c r="AS99" t="s">
        <v>4214</v>
      </c>
      <c r="AT99">
        <v>5</v>
      </c>
      <c r="AW99" t="s">
        <v>4454</v>
      </c>
      <c r="AX99">
        <v>7</v>
      </c>
      <c r="BA99" t="s">
        <v>4695</v>
      </c>
      <c r="BB99">
        <v>7</v>
      </c>
      <c r="BE99" t="s">
        <v>4945</v>
      </c>
      <c r="BG99" t="s">
        <v>4999</v>
      </c>
      <c r="BH99" t="s">
        <v>5159</v>
      </c>
      <c r="BI99" t="s">
        <v>5423</v>
      </c>
      <c r="BJ99" t="s">
        <v>5669</v>
      </c>
      <c r="BK99" t="s">
        <v>5973</v>
      </c>
      <c r="BL99" t="s">
        <v>6192</v>
      </c>
      <c r="BM99" t="s">
        <v>6367</v>
      </c>
      <c r="BN99" t="s">
        <v>6517</v>
      </c>
      <c r="BO99" t="s">
        <v>6678</v>
      </c>
      <c r="BP99" t="s">
        <v>6808</v>
      </c>
      <c r="BT99" t="s">
        <v>6964</v>
      </c>
      <c r="BZ99">
        <v>0</v>
      </c>
      <c r="CA99">
        <v>0</v>
      </c>
      <c r="CD99" s="23"/>
      <c r="CE99" s="23" t="s">
        <v>7937</v>
      </c>
      <c r="CF99" s="144">
        <v>43902.958668981482</v>
      </c>
      <c r="CG99" s="144">
        <v>43902.964537037034</v>
      </c>
      <c r="CH99" t="s">
        <v>8235</v>
      </c>
    </row>
    <row r="100" spans="1:86" ht="15" hidden="1" customHeight="1" x14ac:dyDescent="0.35">
      <c r="A100" t="s">
        <v>631</v>
      </c>
      <c r="B100">
        <v>1</v>
      </c>
      <c r="C100">
        <v>1</v>
      </c>
      <c r="D100" t="s">
        <v>987</v>
      </c>
      <c r="E100" t="s">
        <v>1193</v>
      </c>
      <c r="F100">
        <v>6</v>
      </c>
      <c r="I100" t="s">
        <v>1523</v>
      </c>
      <c r="J100">
        <v>6</v>
      </c>
      <c r="L100" s="22"/>
      <c r="M100" t="s">
        <v>1858</v>
      </c>
      <c r="N100">
        <v>6</v>
      </c>
      <c r="Q100" t="s">
        <v>2183</v>
      </c>
      <c r="R100">
        <v>5</v>
      </c>
      <c r="U100" t="s">
        <v>2523</v>
      </c>
      <c r="V100">
        <v>4</v>
      </c>
      <c r="Y100" t="s">
        <v>2852</v>
      </c>
      <c r="AA100">
        <v>5</v>
      </c>
      <c r="AC100" t="s">
        <v>3151</v>
      </c>
      <c r="AD100">
        <v>5</v>
      </c>
      <c r="AG100" t="s">
        <v>3415</v>
      </c>
      <c r="AH100">
        <v>5</v>
      </c>
      <c r="AK100" t="s">
        <v>3648</v>
      </c>
      <c r="AL100">
        <v>4</v>
      </c>
      <c r="AO100" t="s">
        <v>3920</v>
      </c>
      <c r="AP100">
        <v>6</v>
      </c>
      <c r="AS100" t="s">
        <v>4214</v>
      </c>
      <c r="AT100">
        <v>4</v>
      </c>
      <c r="AW100" t="s">
        <v>4454</v>
      </c>
      <c r="AX100">
        <v>4</v>
      </c>
      <c r="BA100" t="s">
        <v>4696</v>
      </c>
      <c r="BC100">
        <v>4</v>
      </c>
      <c r="BE100" t="s">
        <v>4945</v>
      </c>
      <c r="BG100" t="s">
        <v>5000</v>
      </c>
      <c r="BH100" t="s">
        <v>5160</v>
      </c>
      <c r="BI100" t="s">
        <v>5423</v>
      </c>
      <c r="BJ100" t="s">
        <v>5670</v>
      </c>
      <c r="BK100" t="s">
        <v>5973</v>
      </c>
      <c r="BL100" t="s">
        <v>6192</v>
      </c>
      <c r="BM100" t="s">
        <v>6368</v>
      </c>
      <c r="BN100" t="s">
        <v>6518</v>
      </c>
      <c r="BO100" t="s">
        <v>6679</v>
      </c>
      <c r="BP100" t="s">
        <v>6808</v>
      </c>
      <c r="BT100" t="s">
        <v>6965</v>
      </c>
      <c r="BZ100">
        <v>0</v>
      </c>
      <c r="CA100">
        <v>0</v>
      </c>
      <c r="CD100" s="23"/>
      <c r="CE100" s="23" t="s">
        <v>7938</v>
      </c>
      <c r="CF100" s="144">
        <v>43902.677916666667</v>
      </c>
      <c r="CG100" s="144">
        <v>43902.682523148149</v>
      </c>
      <c r="CH100" t="s">
        <v>8236</v>
      </c>
    </row>
    <row r="101" spans="1:86" ht="15" hidden="1" customHeight="1" x14ac:dyDescent="0.35">
      <c r="A101" t="s">
        <v>632</v>
      </c>
      <c r="B101">
        <v>1</v>
      </c>
      <c r="C101">
        <v>1</v>
      </c>
      <c r="D101" t="s">
        <v>988</v>
      </c>
      <c r="E101" t="s">
        <v>1194</v>
      </c>
      <c r="I101" t="s">
        <v>1523</v>
      </c>
      <c r="J101">
        <v>6</v>
      </c>
      <c r="M101" t="s">
        <v>1858</v>
      </c>
      <c r="N101">
        <v>5</v>
      </c>
      <c r="Q101" t="s">
        <v>2183</v>
      </c>
      <c r="R101">
        <v>7</v>
      </c>
      <c r="U101" t="s">
        <v>2523</v>
      </c>
      <c r="V101">
        <v>6</v>
      </c>
      <c r="Y101" t="s">
        <v>2852</v>
      </c>
      <c r="AA101">
        <v>4</v>
      </c>
      <c r="AC101" t="s">
        <v>3152</v>
      </c>
      <c r="AG101" t="s">
        <v>3416</v>
      </c>
      <c r="AK101" t="s">
        <v>3649</v>
      </c>
      <c r="AO101" t="s">
        <v>3921</v>
      </c>
      <c r="AS101" t="s">
        <v>4215</v>
      </c>
      <c r="AW101" t="s">
        <v>4455</v>
      </c>
      <c r="AY101">
        <v>6</v>
      </c>
      <c r="BA101" t="s">
        <v>4696</v>
      </c>
      <c r="BC101">
        <v>6</v>
      </c>
      <c r="BE101" t="s">
        <v>4945</v>
      </c>
      <c r="BG101" t="s">
        <v>5000</v>
      </c>
      <c r="BH101" t="s">
        <v>5160</v>
      </c>
      <c r="BI101" t="s">
        <v>5424</v>
      </c>
      <c r="BJ101" t="s">
        <v>5671</v>
      </c>
      <c r="BK101" t="s">
        <v>5974</v>
      </c>
      <c r="BL101" t="s">
        <v>6193</v>
      </c>
      <c r="BM101" t="s">
        <v>6368</v>
      </c>
      <c r="BN101" t="s">
        <v>6518</v>
      </c>
      <c r="BO101" t="s">
        <v>6679</v>
      </c>
      <c r="BP101" t="s">
        <v>6808</v>
      </c>
      <c r="BT101" t="s">
        <v>6966</v>
      </c>
      <c r="BZ101">
        <v>0</v>
      </c>
      <c r="CA101">
        <v>0</v>
      </c>
      <c r="CD101" s="23"/>
      <c r="CE101" s="23" t="s">
        <v>7938</v>
      </c>
      <c r="CF101" s="144">
        <v>43902.666319444441</v>
      </c>
      <c r="CG101" s="144">
        <v>43902.673090277778</v>
      </c>
      <c r="CH101" t="s">
        <v>8237</v>
      </c>
    </row>
    <row r="102" spans="1:86" ht="15" hidden="1" customHeight="1" x14ac:dyDescent="0.35">
      <c r="A102" t="s">
        <v>633</v>
      </c>
      <c r="B102">
        <v>1</v>
      </c>
      <c r="C102">
        <v>1</v>
      </c>
      <c r="D102" t="s">
        <v>989</v>
      </c>
      <c r="E102" t="s">
        <v>1195</v>
      </c>
      <c r="F102">
        <v>8</v>
      </c>
      <c r="H102" t="s">
        <v>1378</v>
      </c>
      <c r="I102" t="s">
        <v>1523</v>
      </c>
      <c r="J102">
        <v>8</v>
      </c>
      <c r="L102" t="s">
        <v>1725</v>
      </c>
      <c r="M102" t="s">
        <v>1858</v>
      </c>
      <c r="N102">
        <v>8</v>
      </c>
      <c r="P102" t="s">
        <v>2034</v>
      </c>
      <c r="Q102" t="s">
        <v>2184</v>
      </c>
      <c r="U102" t="s">
        <v>2524</v>
      </c>
      <c r="Y102" t="s">
        <v>2853</v>
      </c>
      <c r="AC102" t="s">
        <v>3152</v>
      </c>
      <c r="AG102" t="s">
        <v>3416</v>
      </c>
      <c r="AK102" t="s">
        <v>3649</v>
      </c>
      <c r="AO102" t="s">
        <v>3921</v>
      </c>
      <c r="AS102" t="s">
        <v>4215</v>
      </c>
      <c r="AW102" t="s">
        <v>4456</v>
      </c>
      <c r="BA102" t="s">
        <v>4697</v>
      </c>
      <c r="BE102" t="s">
        <v>4945</v>
      </c>
      <c r="BG102" t="s">
        <v>5001</v>
      </c>
      <c r="BH102" t="s">
        <v>5161</v>
      </c>
      <c r="BI102" t="s">
        <v>5425</v>
      </c>
      <c r="BJ102" t="s">
        <v>5672</v>
      </c>
      <c r="BK102" t="s">
        <v>5975</v>
      </c>
      <c r="BL102" t="s">
        <v>6193</v>
      </c>
      <c r="BM102" t="s">
        <v>6368</v>
      </c>
      <c r="BN102" t="s">
        <v>6519</v>
      </c>
      <c r="BO102" t="s">
        <v>6679</v>
      </c>
      <c r="BP102" t="s">
        <v>6808</v>
      </c>
      <c r="BT102" t="s">
        <v>6967</v>
      </c>
      <c r="BZ102">
        <v>0</v>
      </c>
      <c r="CA102">
        <v>0</v>
      </c>
      <c r="CD102" s="23"/>
      <c r="CE102" s="23" t="s">
        <v>7938</v>
      </c>
      <c r="CF102" s="144">
        <v>43902.66207175926</v>
      </c>
      <c r="CG102" s="144">
        <v>43902.671030092592</v>
      </c>
      <c r="CH102" t="s">
        <v>8238</v>
      </c>
    </row>
    <row r="103" spans="1:86" ht="15" hidden="1" customHeight="1" x14ac:dyDescent="0.35">
      <c r="A103" t="s">
        <v>634</v>
      </c>
      <c r="B103">
        <v>1</v>
      </c>
      <c r="C103">
        <v>1</v>
      </c>
      <c r="D103" t="s">
        <v>989</v>
      </c>
      <c r="E103" t="s">
        <v>1196</v>
      </c>
      <c r="I103" t="s">
        <v>1524</v>
      </c>
      <c r="M103" t="s">
        <v>1859</v>
      </c>
      <c r="Q103" t="s">
        <v>2184</v>
      </c>
      <c r="U103" t="s">
        <v>2524</v>
      </c>
      <c r="Y103" t="s">
        <v>2853</v>
      </c>
      <c r="AC103" t="s">
        <v>3152</v>
      </c>
      <c r="AG103" t="s">
        <v>3417</v>
      </c>
      <c r="AI103">
        <v>7</v>
      </c>
      <c r="AJ103" t="s">
        <v>3563</v>
      </c>
      <c r="AK103" t="s">
        <v>3649</v>
      </c>
      <c r="AO103" t="s">
        <v>3921</v>
      </c>
      <c r="AS103" t="s">
        <v>4215</v>
      </c>
      <c r="AW103" t="s">
        <v>4456</v>
      </c>
      <c r="BA103" t="s">
        <v>4697</v>
      </c>
      <c r="BE103" t="s">
        <v>4945</v>
      </c>
      <c r="BG103" t="s">
        <v>5001</v>
      </c>
      <c r="BH103" t="s">
        <v>5162</v>
      </c>
      <c r="BI103" t="s">
        <v>5426</v>
      </c>
      <c r="BJ103" t="s">
        <v>5672</v>
      </c>
      <c r="BK103" t="s">
        <v>5976</v>
      </c>
      <c r="BL103" t="s">
        <v>6193</v>
      </c>
      <c r="BM103" t="s">
        <v>6368</v>
      </c>
      <c r="BN103" t="s">
        <v>6520</v>
      </c>
      <c r="BO103" t="s">
        <v>6679</v>
      </c>
      <c r="BP103" t="s">
        <v>6808</v>
      </c>
      <c r="BT103" t="s">
        <v>6968</v>
      </c>
      <c r="BZ103">
        <v>0</v>
      </c>
      <c r="CA103">
        <v>1</v>
      </c>
      <c r="CB103" t="s">
        <v>7658</v>
      </c>
      <c r="CC103" t="s">
        <v>7723</v>
      </c>
      <c r="CD103" s="23" t="s">
        <v>7806</v>
      </c>
      <c r="CE103" s="23" t="s">
        <v>7938</v>
      </c>
      <c r="CF103" s="144">
        <v>43902.647835648146</v>
      </c>
      <c r="CG103" s="144">
        <v>43902.652511574073</v>
      </c>
      <c r="CH103" s="24" t="s">
        <v>8239</v>
      </c>
    </row>
    <row r="104" spans="1:86" ht="15" hidden="1" customHeight="1" x14ac:dyDescent="0.35">
      <c r="A104" t="s">
        <v>635</v>
      </c>
      <c r="B104">
        <v>1</v>
      </c>
      <c r="C104">
        <v>1</v>
      </c>
      <c r="D104" t="s">
        <v>990</v>
      </c>
      <c r="E104" t="s">
        <v>1197</v>
      </c>
      <c r="F104">
        <v>7</v>
      </c>
      <c r="I104" t="s">
        <v>1525</v>
      </c>
      <c r="J104">
        <v>6</v>
      </c>
      <c r="M104" t="s">
        <v>1859</v>
      </c>
      <c r="Q104" t="s">
        <v>2185</v>
      </c>
      <c r="S104">
        <v>6</v>
      </c>
      <c r="U104" t="s">
        <v>2525</v>
      </c>
      <c r="W104">
        <v>7</v>
      </c>
      <c r="Y104" t="s">
        <v>2854</v>
      </c>
      <c r="AA104">
        <v>6</v>
      </c>
      <c r="AC104" t="s">
        <v>3152</v>
      </c>
      <c r="AG104" t="s">
        <v>3418</v>
      </c>
      <c r="AK104" t="s">
        <v>3649</v>
      </c>
      <c r="AO104" t="s">
        <v>3922</v>
      </c>
      <c r="AP104">
        <v>7</v>
      </c>
      <c r="AS104" t="s">
        <v>4215</v>
      </c>
      <c r="AW104" t="s">
        <v>4457</v>
      </c>
      <c r="AY104">
        <v>6</v>
      </c>
      <c r="BA104" t="s">
        <v>4698</v>
      </c>
      <c r="BC104">
        <v>6</v>
      </c>
      <c r="BE104" t="s">
        <v>4945</v>
      </c>
      <c r="BG104" t="s">
        <v>5001</v>
      </c>
      <c r="BH104" t="s">
        <v>5163</v>
      </c>
      <c r="BI104" t="s">
        <v>5426</v>
      </c>
      <c r="BJ104" t="s">
        <v>5673</v>
      </c>
      <c r="BK104" t="s">
        <v>5977</v>
      </c>
      <c r="BL104" t="s">
        <v>6194</v>
      </c>
      <c r="BM104" t="s">
        <v>6369</v>
      </c>
      <c r="BN104" t="s">
        <v>6520</v>
      </c>
      <c r="BO104" t="s">
        <v>6679</v>
      </c>
      <c r="BP104" t="s">
        <v>6808</v>
      </c>
      <c r="BT104" t="s">
        <v>6969</v>
      </c>
      <c r="BZ104">
        <v>0</v>
      </c>
      <c r="CA104">
        <v>0</v>
      </c>
      <c r="CD104" s="23"/>
      <c r="CE104" s="23" t="s">
        <v>7939</v>
      </c>
      <c r="CF104" s="144">
        <v>43902.58048611111</v>
      </c>
      <c r="CG104" s="144">
        <v>43902.635185185187</v>
      </c>
      <c r="CH104" t="s">
        <v>8240</v>
      </c>
    </row>
    <row r="105" spans="1:86" ht="15" hidden="1" customHeight="1" x14ac:dyDescent="0.35">
      <c r="A105" t="s">
        <v>636</v>
      </c>
      <c r="B105">
        <v>1</v>
      </c>
      <c r="C105">
        <v>1</v>
      </c>
      <c r="D105" t="s">
        <v>991</v>
      </c>
      <c r="E105" t="s">
        <v>1197</v>
      </c>
      <c r="F105">
        <v>7</v>
      </c>
      <c r="H105" t="s">
        <v>1379</v>
      </c>
      <c r="I105" t="s">
        <v>1525</v>
      </c>
      <c r="J105">
        <v>7</v>
      </c>
      <c r="L105" t="s">
        <v>1726</v>
      </c>
      <c r="M105" t="s">
        <v>1859</v>
      </c>
      <c r="Q105" t="s">
        <v>2186</v>
      </c>
      <c r="R105">
        <v>5</v>
      </c>
      <c r="U105" t="s">
        <v>2526</v>
      </c>
      <c r="Y105" t="s">
        <v>2855</v>
      </c>
      <c r="AC105" t="s">
        <v>3152</v>
      </c>
      <c r="AG105" t="s">
        <v>3418</v>
      </c>
      <c r="AK105" t="s">
        <v>3649</v>
      </c>
      <c r="AO105" t="s">
        <v>3922</v>
      </c>
      <c r="AP105">
        <v>7</v>
      </c>
      <c r="AR105" t="s">
        <v>4107</v>
      </c>
      <c r="AS105" t="s">
        <v>4215</v>
      </c>
      <c r="AW105" t="s">
        <v>4458</v>
      </c>
      <c r="BA105" t="s">
        <v>4699</v>
      </c>
      <c r="BE105" t="s">
        <v>4945</v>
      </c>
      <c r="BG105" t="s">
        <v>5001</v>
      </c>
      <c r="BH105" t="s">
        <v>5164</v>
      </c>
      <c r="BI105" t="s">
        <v>5426</v>
      </c>
      <c r="BJ105" t="s">
        <v>5674</v>
      </c>
      <c r="BK105" t="s">
        <v>5978</v>
      </c>
      <c r="BL105" t="s">
        <v>6195</v>
      </c>
      <c r="BM105" t="s">
        <v>6370</v>
      </c>
      <c r="BN105" t="s">
        <v>6520</v>
      </c>
      <c r="BO105" t="s">
        <v>6679</v>
      </c>
      <c r="BP105" t="s">
        <v>6808</v>
      </c>
      <c r="BT105" t="s">
        <v>6970</v>
      </c>
      <c r="BZ105">
        <v>1</v>
      </c>
      <c r="CA105">
        <v>0</v>
      </c>
      <c r="CD105" s="23"/>
      <c r="CE105" s="23" t="s">
        <v>7939</v>
      </c>
      <c r="CF105" s="144">
        <v>43902.561782407407</v>
      </c>
      <c r="CG105" s="144">
        <v>43902.575185185182</v>
      </c>
      <c r="CH105" t="s">
        <v>8241</v>
      </c>
    </row>
    <row r="106" spans="1:86" ht="15" hidden="1" customHeight="1" x14ac:dyDescent="0.35">
      <c r="A106" t="s">
        <v>637</v>
      </c>
      <c r="B106">
        <v>1</v>
      </c>
      <c r="C106">
        <v>1</v>
      </c>
      <c r="D106" t="s">
        <v>992</v>
      </c>
      <c r="E106" t="s">
        <v>1197</v>
      </c>
      <c r="F106">
        <v>8</v>
      </c>
      <c r="I106" t="s">
        <v>1525</v>
      </c>
      <c r="J106">
        <v>8</v>
      </c>
      <c r="M106" t="s">
        <v>1860</v>
      </c>
      <c r="N106">
        <v>8</v>
      </c>
      <c r="Q106" t="s">
        <v>2187</v>
      </c>
      <c r="S106">
        <v>8</v>
      </c>
      <c r="U106" t="s">
        <v>2527</v>
      </c>
      <c r="W106">
        <v>8</v>
      </c>
      <c r="Y106" t="s">
        <v>2856</v>
      </c>
      <c r="Z106">
        <v>8</v>
      </c>
      <c r="AC106" t="s">
        <v>3152</v>
      </c>
      <c r="AG106" t="s">
        <v>3418</v>
      </c>
      <c r="AK106" t="s">
        <v>3649</v>
      </c>
      <c r="AO106" t="s">
        <v>3923</v>
      </c>
      <c r="AS106" t="s">
        <v>4215</v>
      </c>
      <c r="AW106" t="s">
        <v>4458</v>
      </c>
      <c r="BA106" t="s">
        <v>4699</v>
      </c>
      <c r="BE106" t="s">
        <v>4945</v>
      </c>
      <c r="BG106" t="s">
        <v>5002</v>
      </c>
      <c r="BH106" t="s">
        <v>5164</v>
      </c>
      <c r="BI106" t="s">
        <v>5426</v>
      </c>
      <c r="BJ106" t="s">
        <v>5674</v>
      </c>
      <c r="BK106" t="s">
        <v>5979</v>
      </c>
      <c r="BL106" t="s">
        <v>6196</v>
      </c>
      <c r="BM106" t="s">
        <v>6370</v>
      </c>
      <c r="BN106" t="s">
        <v>6520</v>
      </c>
      <c r="BO106" t="s">
        <v>6679</v>
      </c>
      <c r="BP106" t="s">
        <v>6808</v>
      </c>
      <c r="BT106" t="s">
        <v>6971</v>
      </c>
      <c r="BZ106">
        <v>0</v>
      </c>
      <c r="CA106">
        <v>0</v>
      </c>
      <c r="CD106" s="23"/>
      <c r="CE106" s="23" t="s">
        <v>7940</v>
      </c>
      <c r="CF106" s="144">
        <v>43902.562037037038</v>
      </c>
      <c r="CG106" s="144">
        <v>43902.569513888891</v>
      </c>
      <c r="CH106" t="s">
        <v>8242</v>
      </c>
    </row>
    <row r="107" spans="1:86" ht="15" hidden="1" customHeight="1" x14ac:dyDescent="0.35">
      <c r="A107" t="s">
        <v>638</v>
      </c>
      <c r="B107">
        <v>1</v>
      </c>
      <c r="C107">
        <v>1</v>
      </c>
      <c r="D107" t="s">
        <v>993</v>
      </c>
      <c r="E107" t="s">
        <v>1198</v>
      </c>
      <c r="I107" t="s">
        <v>1525</v>
      </c>
      <c r="J107">
        <v>6</v>
      </c>
      <c r="L107" t="s">
        <v>1727</v>
      </c>
      <c r="M107" t="s">
        <v>1861</v>
      </c>
      <c r="Q107" t="s">
        <v>2188</v>
      </c>
      <c r="R107">
        <v>6</v>
      </c>
      <c r="T107" t="s">
        <v>2400</v>
      </c>
      <c r="U107" t="s">
        <v>2528</v>
      </c>
      <c r="Y107" t="s">
        <v>2857</v>
      </c>
      <c r="AC107" t="s">
        <v>3153</v>
      </c>
      <c r="AD107">
        <v>7</v>
      </c>
      <c r="AF107" t="s">
        <v>3323</v>
      </c>
      <c r="AG107" t="s">
        <v>3418</v>
      </c>
      <c r="AK107" t="s">
        <v>3650</v>
      </c>
      <c r="AM107">
        <v>7</v>
      </c>
      <c r="AO107" t="s">
        <v>3924</v>
      </c>
      <c r="AQ107">
        <v>7</v>
      </c>
      <c r="AR107" t="s">
        <v>4108</v>
      </c>
      <c r="AS107" t="s">
        <v>4216</v>
      </c>
      <c r="AU107">
        <v>5</v>
      </c>
      <c r="AW107" t="s">
        <v>4459</v>
      </c>
      <c r="AX107">
        <v>5</v>
      </c>
      <c r="BA107" t="s">
        <v>4700</v>
      </c>
      <c r="BB107">
        <v>5</v>
      </c>
      <c r="BD107" t="s">
        <v>4861</v>
      </c>
      <c r="BE107" t="s">
        <v>4945</v>
      </c>
      <c r="BG107" t="s">
        <v>5003</v>
      </c>
      <c r="BH107" t="s">
        <v>5165</v>
      </c>
      <c r="BI107" t="s">
        <v>5426</v>
      </c>
      <c r="BJ107" t="s">
        <v>5675</v>
      </c>
      <c r="BK107" t="s">
        <v>5980</v>
      </c>
      <c r="BL107" t="s">
        <v>6197</v>
      </c>
      <c r="BM107" t="s">
        <v>6371</v>
      </c>
      <c r="BN107" t="s">
        <v>6521</v>
      </c>
      <c r="BO107" t="s">
        <v>6680</v>
      </c>
      <c r="BP107" t="s">
        <v>6808</v>
      </c>
      <c r="BT107" t="s">
        <v>6972</v>
      </c>
      <c r="BZ107">
        <v>0</v>
      </c>
      <c r="CA107">
        <v>0</v>
      </c>
      <c r="CD107" s="23"/>
      <c r="CE107" s="23" t="s">
        <v>7941</v>
      </c>
      <c r="CF107" s="144">
        <v>43902.542291666665</v>
      </c>
      <c r="CG107" s="144">
        <v>43902.552557870367</v>
      </c>
      <c r="CH107" t="s">
        <v>8243</v>
      </c>
    </row>
    <row r="108" spans="1:86" ht="15" hidden="1" customHeight="1" x14ac:dyDescent="0.35">
      <c r="A108" t="s">
        <v>639</v>
      </c>
      <c r="B108">
        <v>1</v>
      </c>
      <c r="C108">
        <v>1</v>
      </c>
      <c r="D108" t="s">
        <v>994</v>
      </c>
      <c r="E108" t="s">
        <v>1198</v>
      </c>
      <c r="I108" t="s">
        <v>1526</v>
      </c>
      <c r="M108" t="s">
        <v>1862</v>
      </c>
      <c r="N108">
        <v>6</v>
      </c>
      <c r="Q108" t="s">
        <v>2189</v>
      </c>
      <c r="U108" t="s">
        <v>2529</v>
      </c>
      <c r="V108">
        <v>6</v>
      </c>
      <c r="Y108" t="s">
        <v>2858</v>
      </c>
      <c r="Z108">
        <v>6</v>
      </c>
      <c r="AC108" t="s">
        <v>3153</v>
      </c>
      <c r="AD108">
        <v>8</v>
      </c>
      <c r="AF108" t="s">
        <v>3324</v>
      </c>
      <c r="AG108" t="s">
        <v>3418</v>
      </c>
      <c r="AK108" t="s">
        <v>3650</v>
      </c>
      <c r="AM108">
        <v>8</v>
      </c>
      <c r="AN108" t="s">
        <v>3808</v>
      </c>
      <c r="AO108" t="s">
        <v>3925</v>
      </c>
      <c r="AS108" t="s">
        <v>4217</v>
      </c>
      <c r="AT108">
        <v>5</v>
      </c>
      <c r="AW108" t="s">
        <v>4460</v>
      </c>
      <c r="BA108" t="s">
        <v>4701</v>
      </c>
      <c r="BG108" t="s">
        <v>5004</v>
      </c>
      <c r="BH108" t="s">
        <v>5166</v>
      </c>
      <c r="BI108" t="s">
        <v>5427</v>
      </c>
      <c r="BJ108" t="s">
        <v>5676</v>
      </c>
      <c r="BK108" t="s">
        <v>5980</v>
      </c>
      <c r="BL108" t="s">
        <v>6197</v>
      </c>
      <c r="BM108" t="s">
        <v>6372</v>
      </c>
      <c r="BN108" t="s">
        <v>6522</v>
      </c>
      <c r="BO108" t="s">
        <v>6680</v>
      </c>
      <c r="BP108" t="s">
        <v>6808</v>
      </c>
      <c r="BT108" t="s">
        <v>6973</v>
      </c>
      <c r="BZ108">
        <v>1</v>
      </c>
      <c r="CA108">
        <v>0</v>
      </c>
      <c r="CD108" s="23"/>
      <c r="CE108" s="23" t="s">
        <v>7942</v>
      </c>
      <c r="CF108" s="144">
        <v>43902.53601851852</v>
      </c>
      <c r="CG108" s="144">
        <v>43902.545983796299</v>
      </c>
      <c r="CH108" t="s">
        <v>8244</v>
      </c>
    </row>
    <row r="109" spans="1:86" ht="15" hidden="1" customHeight="1" x14ac:dyDescent="0.35">
      <c r="A109" t="s">
        <v>640</v>
      </c>
      <c r="B109">
        <v>1</v>
      </c>
      <c r="C109">
        <v>1</v>
      </c>
      <c r="D109" t="s">
        <v>995</v>
      </c>
      <c r="E109" t="s">
        <v>1198</v>
      </c>
      <c r="I109" t="s">
        <v>1526</v>
      </c>
      <c r="M109" t="s">
        <v>1863</v>
      </c>
      <c r="Q109" t="s">
        <v>2189</v>
      </c>
      <c r="U109" t="s">
        <v>2530</v>
      </c>
      <c r="Y109" t="s">
        <v>2859</v>
      </c>
      <c r="AC109" t="s">
        <v>3154</v>
      </c>
      <c r="AG109" t="s">
        <v>3418</v>
      </c>
      <c r="AK109" t="s">
        <v>3651</v>
      </c>
      <c r="AO109" t="s">
        <v>3925</v>
      </c>
      <c r="AS109" t="s">
        <v>4218</v>
      </c>
      <c r="AW109" t="s">
        <v>4460</v>
      </c>
      <c r="BA109" t="s">
        <v>4701</v>
      </c>
      <c r="BE109" t="s">
        <v>4945</v>
      </c>
      <c r="BG109" t="s">
        <v>5005</v>
      </c>
      <c r="BH109" t="s">
        <v>5167</v>
      </c>
      <c r="BI109" t="s">
        <v>5428</v>
      </c>
      <c r="BJ109" t="s">
        <v>5677</v>
      </c>
      <c r="BK109" t="s">
        <v>5981</v>
      </c>
      <c r="BL109" t="s">
        <v>6197</v>
      </c>
      <c r="BM109" t="s">
        <v>6373</v>
      </c>
      <c r="BN109" t="s">
        <v>6523</v>
      </c>
      <c r="BO109" t="s">
        <v>6680</v>
      </c>
      <c r="BP109" t="s">
        <v>6808</v>
      </c>
      <c r="BT109" t="s">
        <v>6974</v>
      </c>
      <c r="BZ109">
        <v>0</v>
      </c>
      <c r="CA109">
        <v>1</v>
      </c>
      <c r="CB109" t="s">
        <v>7658</v>
      </c>
      <c r="CC109" t="s">
        <v>7723</v>
      </c>
      <c r="CD109" s="23" t="s">
        <v>7807</v>
      </c>
      <c r="CE109" s="23" t="s">
        <v>7943</v>
      </c>
      <c r="CF109" s="144">
        <v>43902.479189814818</v>
      </c>
      <c r="CG109" s="144">
        <v>43902.483263888891</v>
      </c>
      <c r="CH109" t="s">
        <v>8245</v>
      </c>
    </row>
    <row r="110" spans="1:86" ht="15" hidden="1" customHeight="1" x14ac:dyDescent="0.35">
      <c r="A110" t="s">
        <v>641</v>
      </c>
      <c r="B110">
        <v>1</v>
      </c>
      <c r="C110">
        <v>1</v>
      </c>
      <c r="D110" t="s">
        <v>995</v>
      </c>
      <c r="E110" t="s">
        <v>1199</v>
      </c>
      <c r="F110">
        <v>8</v>
      </c>
      <c r="H110" t="s">
        <v>1380</v>
      </c>
      <c r="I110" t="s">
        <v>1527</v>
      </c>
      <c r="J110">
        <v>8</v>
      </c>
      <c r="L110" t="s">
        <v>1728</v>
      </c>
      <c r="M110" t="s">
        <v>1864</v>
      </c>
      <c r="N110">
        <v>8</v>
      </c>
      <c r="Q110" t="s">
        <v>2189</v>
      </c>
      <c r="U110" t="s">
        <v>2531</v>
      </c>
      <c r="Y110" t="s">
        <v>2860</v>
      </c>
      <c r="Z110">
        <v>8</v>
      </c>
      <c r="AB110" t="s">
        <v>3039</v>
      </c>
      <c r="AC110" t="s">
        <v>3154</v>
      </c>
      <c r="AG110" t="s">
        <v>3418</v>
      </c>
      <c r="AK110" t="s">
        <v>3651</v>
      </c>
      <c r="AO110" t="s">
        <v>3925</v>
      </c>
      <c r="AS110" t="s">
        <v>4218</v>
      </c>
      <c r="AW110" t="s">
        <v>4460</v>
      </c>
      <c r="BA110" t="s">
        <v>4701</v>
      </c>
      <c r="BE110" t="s">
        <v>4945</v>
      </c>
      <c r="BG110" t="s">
        <v>5005</v>
      </c>
      <c r="BH110" t="s">
        <v>5167</v>
      </c>
      <c r="BI110" t="s">
        <v>5429</v>
      </c>
      <c r="BJ110" t="s">
        <v>5678</v>
      </c>
      <c r="BK110" t="s">
        <v>5981</v>
      </c>
      <c r="BL110" t="s">
        <v>6198</v>
      </c>
      <c r="BM110" t="s">
        <v>6374</v>
      </c>
      <c r="BN110" t="s">
        <v>6524</v>
      </c>
      <c r="BO110" t="s">
        <v>6681</v>
      </c>
      <c r="BP110" t="s">
        <v>6808</v>
      </c>
      <c r="BT110" t="s">
        <v>6975</v>
      </c>
      <c r="BZ110">
        <v>0</v>
      </c>
      <c r="CA110">
        <v>0</v>
      </c>
      <c r="CD110" s="23"/>
      <c r="CE110" s="23" t="s">
        <v>7944</v>
      </c>
      <c r="CF110" s="144">
        <v>43901.671273148146</v>
      </c>
      <c r="CG110" s="144">
        <v>43901.679918981485</v>
      </c>
      <c r="CH110" t="s">
        <v>8246</v>
      </c>
    </row>
    <row r="111" spans="1:86" ht="15" hidden="1" customHeight="1" x14ac:dyDescent="0.35">
      <c r="A111" t="s">
        <v>642</v>
      </c>
      <c r="B111">
        <v>1</v>
      </c>
      <c r="C111">
        <v>1</v>
      </c>
      <c r="D111" t="s">
        <v>995</v>
      </c>
      <c r="E111" t="s">
        <v>1200</v>
      </c>
      <c r="I111" t="s">
        <v>1528</v>
      </c>
      <c r="M111" t="s">
        <v>1864</v>
      </c>
      <c r="N111">
        <v>7</v>
      </c>
      <c r="P111" s="21" t="s">
        <v>2035</v>
      </c>
      <c r="Q111" t="s">
        <v>2190</v>
      </c>
      <c r="S111">
        <v>8</v>
      </c>
      <c r="T111" t="s">
        <v>2401</v>
      </c>
      <c r="U111" t="s">
        <v>2531</v>
      </c>
      <c r="V111">
        <v>6</v>
      </c>
      <c r="X111" s="21" t="s">
        <v>2726</v>
      </c>
      <c r="Y111" t="s">
        <v>2860</v>
      </c>
      <c r="Z111">
        <v>8</v>
      </c>
      <c r="AB111" s="21" t="s">
        <v>3040</v>
      </c>
      <c r="AC111" t="s">
        <v>3155</v>
      </c>
      <c r="AD111">
        <v>8</v>
      </c>
      <c r="AF111" t="s">
        <v>3325</v>
      </c>
      <c r="AG111" t="s">
        <v>3419</v>
      </c>
      <c r="AH111">
        <v>8</v>
      </c>
      <c r="AJ111" s="21" t="s">
        <v>3564</v>
      </c>
      <c r="AK111" t="s">
        <v>3651</v>
      </c>
      <c r="AO111" t="s">
        <v>3925</v>
      </c>
      <c r="AS111" t="s">
        <v>4218</v>
      </c>
      <c r="AW111" t="s">
        <v>4460</v>
      </c>
      <c r="BA111" t="s">
        <v>4701</v>
      </c>
      <c r="BE111" t="s">
        <v>4945</v>
      </c>
      <c r="BG111" t="s">
        <v>5005</v>
      </c>
      <c r="BH111" t="s">
        <v>5168</v>
      </c>
      <c r="BI111" t="s">
        <v>5429</v>
      </c>
      <c r="BJ111" t="s">
        <v>5679</v>
      </c>
      <c r="BK111" t="s">
        <v>5981</v>
      </c>
      <c r="BL111" t="s">
        <v>6199</v>
      </c>
      <c r="BM111" t="s">
        <v>6374</v>
      </c>
      <c r="BN111" t="s">
        <v>6524</v>
      </c>
      <c r="BO111" t="s">
        <v>6681</v>
      </c>
      <c r="BP111" t="s">
        <v>6808</v>
      </c>
      <c r="BT111" t="s">
        <v>6976</v>
      </c>
      <c r="BZ111">
        <v>1</v>
      </c>
      <c r="CA111">
        <v>0</v>
      </c>
      <c r="CD111" s="23"/>
      <c r="CE111" s="23" t="s">
        <v>7944</v>
      </c>
      <c r="CF111" s="144">
        <v>43901.42386574074</v>
      </c>
      <c r="CG111" s="144">
        <v>43901.42759259259</v>
      </c>
      <c r="CH111" t="s">
        <v>8247</v>
      </c>
    </row>
    <row r="112" spans="1:86" ht="15" hidden="1" customHeight="1" x14ac:dyDescent="0.35">
      <c r="A112" t="s">
        <v>643</v>
      </c>
      <c r="B112">
        <v>1</v>
      </c>
      <c r="C112">
        <v>1</v>
      </c>
      <c r="D112" t="s">
        <v>995</v>
      </c>
      <c r="E112" t="s">
        <v>1201</v>
      </c>
      <c r="F112">
        <v>7</v>
      </c>
      <c r="H112" t="s">
        <v>1381</v>
      </c>
      <c r="I112" t="s">
        <v>1529</v>
      </c>
      <c r="J112">
        <v>7</v>
      </c>
      <c r="L112" t="s">
        <v>1729</v>
      </c>
      <c r="M112" t="s">
        <v>1865</v>
      </c>
      <c r="Q112" t="s">
        <v>2191</v>
      </c>
      <c r="U112" t="s">
        <v>2532</v>
      </c>
      <c r="Y112" t="s">
        <v>2861</v>
      </c>
      <c r="AC112" t="s">
        <v>3155</v>
      </c>
      <c r="AD112">
        <v>5</v>
      </c>
      <c r="AF112" t="s">
        <v>3326</v>
      </c>
      <c r="AG112" t="s">
        <v>3420</v>
      </c>
      <c r="AK112" t="s">
        <v>3652</v>
      </c>
      <c r="AM112">
        <v>6</v>
      </c>
      <c r="AN112" t="s">
        <v>3809</v>
      </c>
      <c r="AO112" t="s">
        <v>3925</v>
      </c>
      <c r="AS112" t="s">
        <v>4218</v>
      </c>
      <c r="AW112" t="s">
        <v>4460</v>
      </c>
      <c r="BA112" t="s">
        <v>4701</v>
      </c>
      <c r="BE112" t="s">
        <v>4945</v>
      </c>
      <c r="BG112" t="s">
        <v>5005</v>
      </c>
      <c r="BH112" t="s">
        <v>5169</v>
      </c>
      <c r="BI112" t="s">
        <v>5429</v>
      </c>
      <c r="BJ112" t="s">
        <v>5680</v>
      </c>
      <c r="BK112" t="s">
        <v>5982</v>
      </c>
      <c r="BL112" t="s">
        <v>6199</v>
      </c>
      <c r="BM112" t="s">
        <v>6374</v>
      </c>
      <c r="BN112" t="s">
        <v>6524</v>
      </c>
      <c r="BO112" t="s">
        <v>6681</v>
      </c>
      <c r="BP112" t="s">
        <v>6808</v>
      </c>
      <c r="BT112" t="s">
        <v>6977</v>
      </c>
      <c r="BZ112">
        <v>0</v>
      </c>
      <c r="CA112">
        <v>0</v>
      </c>
      <c r="CD112" s="23"/>
      <c r="CE112" s="23" t="s">
        <v>7945</v>
      </c>
      <c r="CF112" s="144">
        <v>43900.844421296293</v>
      </c>
      <c r="CG112" s="144">
        <v>43900.849965277775</v>
      </c>
      <c r="CH112" t="s">
        <v>8248</v>
      </c>
    </row>
    <row r="113" spans="1:86" ht="15" hidden="1" customHeight="1" x14ac:dyDescent="0.35">
      <c r="A113" t="s">
        <v>644</v>
      </c>
      <c r="B113">
        <v>1</v>
      </c>
      <c r="C113">
        <v>1</v>
      </c>
      <c r="D113" t="s">
        <v>996</v>
      </c>
      <c r="E113" t="s">
        <v>1202</v>
      </c>
      <c r="I113" t="s">
        <v>1530</v>
      </c>
      <c r="M113" t="s">
        <v>1866</v>
      </c>
      <c r="N113">
        <v>4</v>
      </c>
      <c r="Q113" t="s">
        <v>2191</v>
      </c>
      <c r="U113" t="s">
        <v>2532</v>
      </c>
      <c r="Y113" t="s">
        <v>2861</v>
      </c>
      <c r="AC113" t="s">
        <v>3156</v>
      </c>
      <c r="AG113" t="s">
        <v>3420</v>
      </c>
      <c r="AK113" t="s">
        <v>3653</v>
      </c>
      <c r="AO113" t="s">
        <v>3926</v>
      </c>
      <c r="AP113">
        <v>7</v>
      </c>
      <c r="AS113" t="s">
        <v>4218</v>
      </c>
      <c r="AW113" t="s">
        <v>4461</v>
      </c>
      <c r="AY113">
        <v>5</v>
      </c>
      <c r="BA113" t="s">
        <v>4702</v>
      </c>
      <c r="BC113">
        <v>5</v>
      </c>
      <c r="BE113" t="s">
        <v>4945</v>
      </c>
      <c r="BG113" t="s">
        <v>5005</v>
      </c>
      <c r="BH113" t="s">
        <v>5170</v>
      </c>
      <c r="BI113" t="s">
        <v>5430</v>
      </c>
      <c r="BJ113" t="s">
        <v>5681</v>
      </c>
      <c r="BK113" t="s">
        <v>5983</v>
      </c>
      <c r="BL113" t="s">
        <v>6199</v>
      </c>
      <c r="BM113" t="s">
        <v>6374</v>
      </c>
      <c r="BN113" t="s">
        <v>6525</v>
      </c>
      <c r="BO113" t="s">
        <v>6682</v>
      </c>
      <c r="BP113" t="s">
        <v>6808</v>
      </c>
      <c r="BT113" t="s">
        <v>6977</v>
      </c>
      <c r="BZ113">
        <v>1</v>
      </c>
      <c r="CA113">
        <v>0</v>
      </c>
      <c r="CD113" s="23"/>
      <c r="CE113" s="23" t="s">
        <v>7946</v>
      </c>
      <c r="CF113" s="144">
        <v>43900.433240740742</v>
      </c>
      <c r="CG113" s="144">
        <v>43900.436354166668</v>
      </c>
      <c r="CH113" t="s">
        <v>8249</v>
      </c>
    </row>
    <row r="114" spans="1:86" ht="15" hidden="1" customHeight="1" x14ac:dyDescent="0.35">
      <c r="A114" t="s">
        <v>645</v>
      </c>
      <c r="B114">
        <v>1</v>
      </c>
      <c r="C114">
        <v>1</v>
      </c>
      <c r="D114" t="s">
        <v>997</v>
      </c>
      <c r="E114" t="s">
        <v>1203</v>
      </c>
      <c r="G114">
        <v>4</v>
      </c>
      <c r="H114" t="s">
        <v>1382</v>
      </c>
      <c r="I114" t="s">
        <v>1531</v>
      </c>
      <c r="J114">
        <v>5</v>
      </c>
      <c r="L114" s="22" t="s">
        <v>1730</v>
      </c>
      <c r="M114" t="s">
        <v>1867</v>
      </c>
      <c r="Q114" t="s">
        <v>2192</v>
      </c>
      <c r="R114">
        <v>5</v>
      </c>
      <c r="T114" t="s">
        <v>2402</v>
      </c>
      <c r="U114" t="s">
        <v>2532</v>
      </c>
      <c r="Y114" t="s">
        <v>2861</v>
      </c>
      <c r="AC114" t="s">
        <v>3156</v>
      </c>
      <c r="AG114" t="s">
        <v>3420</v>
      </c>
      <c r="AK114" t="s">
        <v>3653</v>
      </c>
      <c r="AO114" t="s">
        <v>3927</v>
      </c>
      <c r="AS114" t="s">
        <v>4218</v>
      </c>
      <c r="AW114" t="s">
        <v>4461</v>
      </c>
      <c r="AY114">
        <v>5</v>
      </c>
      <c r="AZ114" t="s">
        <v>4612</v>
      </c>
      <c r="BA114" t="s">
        <v>4703</v>
      </c>
      <c r="BE114" t="s">
        <v>4945</v>
      </c>
      <c r="BG114" t="s">
        <v>5005</v>
      </c>
      <c r="BH114" t="s">
        <v>5171</v>
      </c>
      <c r="BI114" t="s">
        <v>5431</v>
      </c>
      <c r="BJ114" t="s">
        <v>5682</v>
      </c>
      <c r="BK114" t="s">
        <v>5984</v>
      </c>
      <c r="BL114" t="s">
        <v>6199</v>
      </c>
      <c r="BM114" t="s">
        <v>6374</v>
      </c>
      <c r="BN114" t="s">
        <v>6526</v>
      </c>
      <c r="BO114" t="s">
        <v>6683</v>
      </c>
      <c r="BP114" t="s">
        <v>6808</v>
      </c>
      <c r="BT114" t="s">
        <v>6978</v>
      </c>
      <c r="BZ114">
        <v>1</v>
      </c>
      <c r="CA114">
        <v>0</v>
      </c>
      <c r="CD114" s="23"/>
      <c r="CE114" s="23" t="s">
        <v>7947</v>
      </c>
      <c r="CF114" s="144">
        <v>43899.489803240744</v>
      </c>
      <c r="CG114" s="144">
        <v>43899.498287037037</v>
      </c>
      <c r="CH114" t="s">
        <v>8250</v>
      </c>
    </row>
    <row r="115" spans="1:86" ht="15" hidden="1" customHeight="1" x14ac:dyDescent="0.35">
      <c r="A115" t="s">
        <v>646</v>
      </c>
      <c r="B115">
        <v>1</v>
      </c>
      <c r="C115">
        <v>1</v>
      </c>
      <c r="D115" t="s">
        <v>997</v>
      </c>
      <c r="E115" t="s">
        <v>1204</v>
      </c>
      <c r="I115" t="s">
        <v>1531</v>
      </c>
      <c r="J115">
        <v>6</v>
      </c>
      <c r="L115" t="s">
        <v>1731</v>
      </c>
      <c r="M115" t="s">
        <v>1868</v>
      </c>
      <c r="O115">
        <v>6</v>
      </c>
      <c r="P115" t="s">
        <v>2036</v>
      </c>
      <c r="Q115" t="s">
        <v>2192</v>
      </c>
      <c r="R115">
        <v>7</v>
      </c>
      <c r="T115" t="s">
        <v>2403</v>
      </c>
      <c r="U115" t="s">
        <v>2533</v>
      </c>
      <c r="W115">
        <v>6</v>
      </c>
      <c r="X115" t="s">
        <v>2727</v>
      </c>
      <c r="Y115" t="s">
        <v>2862</v>
      </c>
      <c r="AA115">
        <v>6</v>
      </c>
      <c r="AB115" t="s">
        <v>3041</v>
      </c>
      <c r="AC115" t="s">
        <v>3156</v>
      </c>
      <c r="AG115" t="s">
        <v>3420</v>
      </c>
      <c r="AK115" t="s">
        <v>3653</v>
      </c>
      <c r="AO115" t="s">
        <v>3928</v>
      </c>
      <c r="AQ115">
        <v>7</v>
      </c>
      <c r="AR115" t="s">
        <v>4109</v>
      </c>
      <c r="AS115" t="s">
        <v>4218</v>
      </c>
      <c r="AW115" t="s">
        <v>4462</v>
      </c>
      <c r="BA115" t="s">
        <v>4703</v>
      </c>
      <c r="BE115" t="s">
        <v>4945</v>
      </c>
      <c r="BG115" t="s">
        <v>5005</v>
      </c>
      <c r="BH115" t="s">
        <v>5172</v>
      </c>
      <c r="BI115" t="s">
        <v>5431</v>
      </c>
      <c r="BJ115" t="s">
        <v>5683</v>
      </c>
      <c r="BK115" t="s">
        <v>5985</v>
      </c>
      <c r="BL115" t="s">
        <v>6199</v>
      </c>
      <c r="BM115" t="s">
        <v>6374</v>
      </c>
      <c r="BN115" t="s">
        <v>6526</v>
      </c>
      <c r="BO115" t="s">
        <v>6683</v>
      </c>
      <c r="BP115" t="s">
        <v>6808</v>
      </c>
      <c r="BT115" t="s">
        <v>6979</v>
      </c>
      <c r="BZ115">
        <v>1</v>
      </c>
      <c r="CA115">
        <v>0</v>
      </c>
      <c r="CD115" s="23"/>
      <c r="CE115" s="23" t="s">
        <v>7947</v>
      </c>
      <c r="CF115" s="144">
        <v>43899.467638888891</v>
      </c>
      <c r="CG115" s="144">
        <v>43899.47583333333</v>
      </c>
      <c r="CH115" t="s">
        <v>8251</v>
      </c>
    </row>
    <row r="116" spans="1:86" ht="15" hidden="1" customHeight="1" x14ac:dyDescent="0.35">
      <c r="A116" t="s">
        <v>647</v>
      </c>
      <c r="B116">
        <v>1</v>
      </c>
      <c r="C116">
        <v>1</v>
      </c>
      <c r="D116" t="s">
        <v>998</v>
      </c>
      <c r="E116" t="s">
        <v>1205</v>
      </c>
      <c r="G116">
        <v>6</v>
      </c>
      <c r="H116" t="s">
        <v>1383</v>
      </c>
      <c r="I116" t="s">
        <v>1532</v>
      </c>
      <c r="K116">
        <v>5</v>
      </c>
      <c r="L116" t="s">
        <v>1732</v>
      </c>
      <c r="M116" t="s">
        <v>1869</v>
      </c>
      <c r="N116">
        <v>6</v>
      </c>
      <c r="P116" t="s">
        <v>2037</v>
      </c>
      <c r="Q116" t="s">
        <v>2192</v>
      </c>
      <c r="R116">
        <v>6</v>
      </c>
      <c r="T116" t="s">
        <v>2404</v>
      </c>
      <c r="U116" t="s">
        <v>2534</v>
      </c>
      <c r="V116">
        <v>6</v>
      </c>
      <c r="X116" t="s">
        <v>2728</v>
      </c>
      <c r="Y116" t="s">
        <v>2863</v>
      </c>
      <c r="Z116">
        <v>6</v>
      </c>
      <c r="AB116" t="s">
        <v>3042</v>
      </c>
      <c r="AC116" t="s">
        <v>3157</v>
      </c>
      <c r="AD116">
        <v>8</v>
      </c>
      <c r="AF116" t="s">
        <v>3327</v>
      </c>
      <c r="AG116" t="s">
        <v>3421</v>
      </c>
      <c r="AH116">
        <v>6</v>
      </c>
      <c r="AJ116" t="s">
        <v>3565</v>
      </c>
      <c r="AK116" t="s">
        <v>3654</v>
      </c>
      <c r="AM116">
        <v>8</v>
      </c>
      <c r="AN116" t="s">
        <v>3810</v>
      </c>
      <c r="AO116" t="s">
        <v>3929</v>
      </c>
      <c r="AP116">
        <v>6</v>
      </c>
      <c r="AR116" t="s">
        <v>4110</v>
      </c>
      <c r="AS116" t="s">
        <v>4219</v>
      </c>
      <c r="AT116">
        <v>6</v>
      </c>
      <c r="AV116" t="s">
        <v>4373</v>
      </c>
      <c r="AW116" t="s">
        <v>4462</v>
      </c>
      <c r="BA116" t="s">
        <v>4704</v>
      </c>
      <c r="BC116">
        <v>6</v>
      </c>
      <c r="BD116" t="s">
        <v>4862</v>
      </c>
      <c r="BE116" t="s">
        <v>4945</v>
      </c>
      <c r="BG116" t="s">
        <v>5005</v>
      </c>
      <c r="BH116" t="s">
        <v>5173</v>
      </c>
      <c r="BI116" t="s">
        <v>5432</v>
      </c>
      <c r="BJ116" t="s">
        <v>5684</v>
      </c>
      <c r="BK116" t="s">
        <v>5986</v>
      </c>
      <c r="BL116" t="s">
        <v>6199</v>
      </c>
      <c r="BM116" t="s">
        <v>6374</v>
      </c>
      <c r="BN116" t="s">
        <v>6527</v>
      </c>
      <c r="BO116" t="s">
        <v>6684</v>
      </c>
      <c r="BP116" t="s">
        <v>6808</v>
      </c>
      <c r="BT116" t="s">
        <v>6979</v>
      </c>
      <c r="BZ116">
        <v>1</v>
      </c>
      <c r="CA116">
        <v>0</v>
      </c>
      <c r="CD116" s="23"/>
      <c r="CE116" s="23" t="s">
        <v>7947</v>
      </c>
      <c r="CF116" s="144">
        <v>43898.672465277778</v>
      </c>
      <c r="CG116" s="144">
        <v>43898.719837962963</v>
      </c>
      <c r="CH116" t="s">
        <v>8252</v>
      </c>
    </row>
    <row r="117" spans="1:86" ht="15" hidden="1" customHeight="1" x14ac:dyDescent="0.35">
      <c r="A117" t="s">
        <v>648</v>
      </c>
      <c r="B117">
        <v>1</v>
      </c>
      <c r="C117">
        <v>1</v>
      </c>
      <c r="D117" t="s">
        <v>998</v>
      </c>
      <c r="E117" t="s">
        <v>1206</v>
      </c>
      <c r="I117" t="s">
        <v>1532</v>
      </c>
      <c r="K117">
        <v>5</v>
      </c>
      <c r="M117" t="s">
        <v>1869</v>
      </c>
      <c r="N117">
        <v>5</v>
      </c>
      <c r="Q117" t="s">
        <v>2193</v>
      </c>
      <c r="U117" t="s">
        <v>2535</v>
      </c>
      <c r="Y117" t="s">
        <v>2864</v>
      </c>
      <c r="AC117" t="s">
        <v>3158</v>
      </c>
      <c r="AG117" t="s">
        <v>3422</v>
      </c>
      <c r="AK117" t="s">
        <v>3655</v>
      </c>
      <c r="AO117" t="s">
        <v>3929</v>
      </c>
      <c r="AP117">
        <v>5</v>
      </c>
      <c r="AS117" t="s">
        <v>4220</v>
      </c>
      <c r="AW117" t="s">
        <v>4462</v>
      </c>
      <c r="BA117" t="s">
        <v>4705</v>
      </c>
      <c r="BE117" t="s">
        <v>4945</v>
      </c>
      <c r="BG117" t="s">
        <v>5005</v>
      </c>
      <c r="BH117" t="s">
        <v>5173</v>
      </c>
      <c r="BI117" t="s">
        <v>5433</v>
      </c>
      <c r="BJ117" t="s">
        <v>5685</v>
      </c>
      <c r="BK117" t="s">
        <v>5986</v>
      </c>
      <c r="BL117" t="s">
        <v>6199</v>
      </c>
      <c r="BM117" t="s">
        <v>6374</v>
      </c>
      <c r="BN117" t="s">
        <v>6528</v>
      </c>
      <c r="BO117" t="s">
        <v>6685</v>
      </c>
      <c r="BP117" t="s">
        <v>6808</v>
      </c>
      <c r="BT117" t="s">
        <v>6979</v>
      </c>
      <c r="BZ117">
        <v>0</v>
      </c>
      <c r="CA117">
        <v>0</v>
      </c>
      <c r="CD117" s="23"/>
      <c r="CE117" s="23" t="s">
        <v>7947</v>
      </c>
      <c r="CF117" s="144">
        <v>43898.504861111112</v>
      </c>
      <c r="CG117" s="144">
        <v>43898.508553240739</v>
      </c>
      <c r="CH117" t="s">
        <v>8253</v>
      </c>
    </row>
    <row r="118" spans="1:86" ht="15" hidden="1" customHeight="1" x14ac:dyDescent="0.35">
      <c r="A118" t="s">
        <v>649</v>
      </c>
      <c r="B118">
        <v>1</v>
      </c>
      <c r="C118">
        <v>1</v>
      </c>
      <c r="D118" t="s">
        <v>999</v>
      </c>
      <c r="E118" t="s">
        <v>1206</v>
      </c>
      <c r="I118" t="s">
        <v>1533</v>
      </c>
      <c r="J118">
        <v>6</v>
      </c>
      <c r="L118" t="s">
        <v>1733</v>
      </c>
      <c r="M118" t="s">
        <v>1870</v>
      </c>
      <c r="Q118" t="s">
        <v>2193</v>
      </c>
      <c r="U118" t="s">
        <v>2535</v>
      </c>
      <c r="Y118" t="s">
        <v>2864</v>
      </c>
      <c r="AC118" t="s">
        <v>3159</v>
      </c>
      <c r="AD118">
        <v>6</v>
      </c>
      <c r="AF118" t="s">
        <v>3328</v>
      </c>
      <c r="AG118" t="s">
        <v>3423</v>
      </c>
      <c r="AH118">
        <v>6</v>
      </c>
      <c r="AJ118" t="s">
        <v>3566</v>
      </c>
      <c r="AK118" t="s">
        <v>3655</v>
      </c>
      <c r="AO118" t="s">
        <v>3930</v>
      </c>
      <c r="AQ118">
        <v>6</v>
      </c>
      <c r="AR118" t="s">
        <v>4111</v>
      </c>
      <c r="AS118" t="s">
        <v>4221</v>
      </c>
      <c r="AT118">
        <v>6</v>
      </c>
      <c r="AV118" t="s">
        <v>4374</v>
      </c>
      <c r="AW118" t="s">
        <v>4462</v>
      </c>
      <c r="BA118" t="s">
        <v>4706</v>
      </c>
      <c r="BC118">
        <v>6</v>
      </c>
      <c r="BD118" t="s">
        <v>4863</v>
      </c>
      <c r="BE118" t="s">
        <v>4945</v>
      </c>
      <c r="BG118" t="s">
        <v>5005</v>
      </c>
      <c r="BH118" t="s">
        <v>5174</v>
      </c>
      <c r="BI118" t="s">
        <v>5433</v>
      </c>
      <c r="BJ118" t="s">
        <v>5686</v>
      </c>
      <c r="BK118" t="s">
        <v>5987</v>
      </c>
      <c r="BL118" t="s">
        <v>6199</v>
      </c>
      <c r="BM118" t="s">
        <v>6374</v>
      </c>
      <c r="BN118" t="s">
        <v>6528</v>
      </c>
      <c r="BO118" t="s">
        <v>6685</v>
      </c>
      <c r="BP118" t="s">
        <v>6808</v>
      </c>
      <c r="BT118" t="s">
        <v>6979</v>
      </c>
      <c r="BZ118">
        <v>0</v>
      </c>
      <c r="CA118">
        <v>0</v>
      </c>
      <c r="CD118" s="23"/>
      <c r="CE118" s="23" t="s">
        <v>7948</v>
      </c>
      <c r="CF118" s="144">
        <v>43895.446342592593</v>
      </c>
      <c r="CG118" s="144">
        <v>43895.455949074072</v>
      </c>
      <c r="CH118" s="24" t="s">
        <v>8254</v>
      </c>
    </row>
    <row r="119" spans="1:86" ht="15" hidden="1" customHeight="1" x14ac:dyDescent="0.35">
      <c r="A119" t="s">
        <v>650</v>
      </c>
      <c r="B119">
        <v>1</v>
      </c>
      <c r="C119">
        <v>1</v>
      </c>
      <c r="D119" t="s">
        <v>1000</v>
      </c>
      <c r="E119" t="s">
        <v>1206</v>
      </c>
      <c r="I119" t="s">
        <v>1534</v>
      </c>
      <c r="L119" s="21"/>
      <c r="M119" t="s">
        <v>1871</v>
      </c>
      <c r="N119">
        <v>8</v>
      </c>
      <c r="P119" s="21"/>
      <c r="Q119" t="s">
        <v>2194</v>
      </c>
      <c r="S119">
        <v>4</v>
      </c>
      <c r="T119" s="21" t="s">
        <v>2405</v>
      </c>
      <c r="U119" t="s">
        <v>2536</v>
      </c>
      <c r="V119">
        <v>8</v>
      </c>
      <c r="X119" s="21"/>
      <c r="Y119" t="s">
        <v>2865</v>
      </c>
      <c r="Z119">
        <v>8</v>
      </c>
      <c r="AC119" t="s">
        <v>3159</v>
      </c>
      <c r="AD119">
        <v>5</v>
      </c>
      <c r="AF119" s="21" t="s">
        <v>3329</v>
      </c>
      <c r="AG119" t="s">
        <v>3424</v>
      </c>
      <c r="AK119" t="s">
        <v>3655</v>
      </c>
      <c r="AN119" s="21"/>
      <c r="AO119" t="s">
        <v>3931</v>
      </c>
      <c r="AS119" t="s">
        <v>4222</v>
      </c>
      <c r="AW119" t="s">
        <v>4462</v>
      </c>
      <c r="BA119" t="s">
        <v>4707</v>
      </c>
      <c r="BE119" t="s">
        <v>4945</v>
      </c>
      <c r="BG119" t="s">
        <v>5005</v>
      </c>
      <c r="BH119" t="s">
        <v>5175</v>
      </c>
      <c r="BI119" t="s">
        <v>5433</v>
      </c>
      <c r="BJ119" t="s">
        <v>5687</v>
      </c>
      <c r="BK119" t="s">
        <v>5987</v>
      </c>
      <c r="BL119" t="s">
        <v>6199</v>
      </c>
      <c r="BM119" t="s">
        <v>6375</v>
      </c>
      <c r="BN119" t="s">
        <v>6529</v>
      </c>
      <c r="BO119" t="s">
        <v>6686</v>
      </c>
      <c r="BP119" t="s">
        <v>6808</v>
      </c>
      <c r="BT119" t="s">
        <v>6980</v>
      </c>
      <c r="BZ119">
        <v>1</v>
      </c>
      <c r="CA119">
        <v>0</v>
      </c>
      <c r="CD119" s="23"/>
      <c r="CE119" s="23" t="s">
        <v>7948</v>
      </c>
      <c r="CF119" s="144">
        <v>43894.881747685184</v>
      </c>
      <c r="CG119" s="144">
        <v>43894.888958333337</v>
      </c>
      <c r="CH119" t="s">
        <v>8255</v>
      </c>
    </row>
    <row r="120" spans="1:86" ht="15" hidden="1" customHeight="1" x14ac:dyDescent="0.35">
      <c r="A120" t="s">
        <v>651</v>
      </c>
      <c r="B120">
        <v>1</v>
      </c>
      <c r="C120">
        <v>1</v>
      </c>
      <c r="D120" t="s">
        <v>1000</v>
      </c>
      <c r="E120" t="s">
        <v>1207</v>
      </c>
      <c r="F120">
        <v>6</v>
      </c>
      <c r="I120" t="s">
        <v>1535</v>
      </c>
      <c r="J120">
        <v>5</v>
      </c>
      <c r="M120" t="s">
        <v>1871</v>
      </c>
      <c r="N120">
        <v>5</v>
      </c>
      <c r="Q120" t="s">
        <v>2195</v>
      </c>
      <c r="U120" t="s">
        <v>2537</v>
      </c>
      <c r="Y120" t="s">
        <v>2866</v>
      </c>
      <c r="AC120" t="s">
        <v>3159</v>
      </c>
      <c r="AD120">
        <v>6</v>
      </c>
      <c r="AG120" t="s">
        <v>3424</v>
      </c>
      <c r="AK120" t="s">
        <v>3655</v>
      </c>
      <c r="AO120" t="s">
        <v>3931</v>
      </c>
      <c r="AS120" t="s">
        <v>4222</v>
      </c>
      <c r="AW120" t="s">
        <v>4462</v>
      </c>
      <c r="BA120" t="s">
        <v>4707</v>
      </c>
      <c r="BE120" t="s">
        <v>4945</v>
      </c>
      <c r="BG120" t="s">
        <v>5005</v>
      </c>
      <c r="BH120" t="s">
        <v>5176</v>
      </c>
      <c r="BI120" t="s">
        <v>5433</v>
      </c>
      <c r="BJ120" t="s">
        <v>5688</v>
      </c>
      <c r="BK120" t="s">
        <v>5987</v>
      </c>
      <c r="BL120" t="s">
        <v>6199</v>
      </c>
      <c r="BM120" t="s">
        <v>6376</v>
      </c>
      <c r="BN120" t="s">
        <v>6530</v>
      </c>
      <c r="BO120" t="s">
        <v>6687</v>
      </c>
      <c r="BP120" t="s">
        <v>6808</v>
      </c>
      <c r="BT120" t="s">
        <v>6981</v>
      </c>
      <c r="BZ120">
        <v>1</v>
      </c>
      <c r="CA120">
        <v>0</v>
      </c>
      <c r="CD120" s="23"/>
      <c r="CE120" s="23" t="s">
        <v>7949</v>
      </c>
      <c r="CF120" s="144">
        <v>43894.774421296293</v>
      </c>
      <c r="CG120" s="144">
        <v>43894.778217592589</v>
      </c>
      <c r="CH120" t="s">
        <v>8256</v>
      </c>
    </row>
    <row r="121" spans="1:86" ht="15" hidden="1" customHeight="1" x14ac:dyDescent="0.35">
      <c r="A121" t="s">
        <v>652</v>
      </c>
      <c r="B121">
        <v>1</v>
      </c>
      <c r="C121">
        <v>1</v>
      </c>
      <c r="D121" t="s">
        <v>1000</v>
      </c>
      <c r="E121" t="s">
        <v>1207</v>
      </c>
      <c r="F121">
        <v>8</v>
      </c>
      <c r="H121" t="s">
        <v>1384</v>
      </c>
      <c r="I121" t="s">
        <v>1536</v>
      </c>
      <c r="K121">
        <v>5</v>
      </c>
      <c r="M121" t="s">
        <v>1871</v>
      </c>
      <c r="N121">
        <v>8</v>
      </c>
      <c r="Q121" t="s">
        <v>2196</v>
      </c>
      <c r="R121">
        <v>5</v>
      </c>
      <c r="U121" t="s">
        <v>2538</v>
      </c>
      <c r="V121">
        <v>8</v>
      </c>
      <c r="Y121" t="s">
        <v>2867</v>
      </c>
      <c r="Z121">
        <v>8</v>
      </c>
      <c r="AC121" t="s">
        <v>3159</v>
      </c>
      <c r="AD121">
        <v>3</v>
      </c>
      <c r="AF121" t="s">
        <v>3330</v>
      </c>
      <c r="AG121" t="s">
        <v>3425</v>
      </c>
      <c r="AH121">
        <v>5</v>
      </c>
      <c r="AK121" t="s">
        <v>3656</v>
      </c>
      <c r="AL121">
        <v>6</v>
      </c>
      <c r="AO121" t="s">
        <v>3932</v>
      </c>
      <c r="AP121">
        <v>7</v>
      </c>
      <c r="AR121" t="s">
        <v>4112</v>
      </c>
      <c r="AS121" t="s">
        <v>4223</v>
      </c>
      <c r="AT121">
        <v>6</v>
      </c>
      <c r="AW121" t="s">
        <v>4462</v>
      </c>
      <c r="BA121" t="s">
        <v>4707</v>
      </c>
      <c r="BE121" t="s">
        <v>4945</v>
      </c>
      <c r="BG121" t="s">
        <v>5005</v>
      </c>
      <c r="BH121" t="s">
        <v>5177</v>
      </c>
      <c r="BI121" t="s">
        <v>5433</v>
      </c>
      <c r="BJ121" t="s">
        <v>5689</v>
      </c>
      <c r="BK121" t="s">
        <v>5987</v>
      </c>
      <c r="BL121" t="s">
        <v>6199</v>
      </c>
      <c r="BM121" t="s">
        <v>6377</v>
      </c>
      <c r="BN121" t="s">
        <v>6530</v>
      </c>
      <c r="BO121" t="s">
        <v>6687</v>
      </c>
      <c r="BP121" t="s">
        <v>6808</v>
      </c>
      <c r="BT121" t="s">
        <v>6982</v>
      </c>
      <c r="BZ121">
        <v>1</v>
      </c>
      <c r="CA121">
        <v>0</v>
      </c>
      <c r="CD121" s="23"/>
      <c r="CE121" s="23" t="s">
        <v>7950</v>
      </c>
      <c r="CF121" s="144">
        <v>43894.618437500001</v>
      </c>
      <c r="CG121" s="144">
        <v>43894.624340277776</v>
      </c>
      <c r="CH121" t="s">
        <v>8257</v>
      </c>
    </row>
    <row r="122" spans="1:86" ht="15" hidden="1" customHeight="1" x14ac:dyDescent="0.35">
      <c r="A122" t="s">
        <v>653</v>
      </c>
      <c r="B122">
        <v>1</v>
      </c>
      <c r="C122">
        <v>1</v>
      </c>
      <c r="D122" t="s">
        <v>1000</v>
      </c>
      <c r="E122" t="s">
        <v>1208</v>
      </c>
      <c r="I122" t="s">
        <v>1537</v>
      </c>
      <c r="J122">
        <v>5</v>
      </c>
      <c r="M122" t="s">
        <v>1871</v>
      </c>
      <c r="N122">
        <v>7</v>
      </c>
      <c r="Q122" t="s">
        <v>2196</v>
      </c>
      <c r="R122">
        <v>7</v>
      </c>
      <c r="T122" t="s">
        <v>2406</v>
      </c>
      <c r="U122" t="s">
        <v>2538</v>
      </c>
      <c r="V122">
        <v>8</v>
      </c>
      <c r="Y122" t="s">
        <v>2867</v>
      </c>
      <c r="Z122">
        <v>8</v>
      </c>
      <c r="AC122" t="s">
        <v>3160</v>
      </c>
      <c r="AG122" t="s">
        <v>3426</v>
      </c>
      <c r="AK122" t="s">
        <v>3657</v>
      </c>
      <c r="AO122" t="s">
        <v>3932</v>
      </c>
      <c r="AP122">
        <v>6</v>
      </c>
      <c r="AS122" t="s">
        <v>4224</v>
      </c>
      <c r="AW122" t="s">
        <v>4463</v>
      </c>
      <c r="AY122">
        <v>8</v>
      </c>
      <c r="BA122" t="s">
        <v>4708</v>
      </c>
      <c r="BC122">
        <v>8</v>
      </c>
      <c r="BG122" t="s">
        <v>5006</v>
      </c>
      <c r="BH122" t="s">
        <v>5178</v>
      </c>
      <c r="BI122" t="s">
        <v>5434</v>
      </c>
      <c r="BJ122" t="s">
        <v>5690</v>
      </c>
      <c r="BK122" t="s">
        <v>5988</v>
      </c>
      <c r="BL122" t="s">
        <v>6199</v>
      </c>
      <c r="BM122" t="s">
        <v>6378</v>
      </c>
      <c r="BN122" t="s">
        <v>6531</v>
      </c>
      <c r="BO122" t="s">
        <v>6688</v>
      </c>
      <c r="BP122" t="s">
        <v>6808</v>
      </c>
      <c r="BT122" t="s">
        <v>6983</v>
      </c>
      <c r="BZ122">
        <v>1</v>
      </c>
      <c r="CA122">
        <v>0</v>
      </c>
      <c r="CD122" s="23"/>
      <c r="CE122" s="23" t="s">
        <v>7951</v>
      </c>
      <c r="CF122" s="144">
        <v>43894.47923611111</v>
      </c>
      <c r="CG122" s="144">
        <v>43894.485462962963</v>
      </c>
      <c r="CH122" t="s">
        <v>8258</v>
      </c>
    </row>
    <row r="123" spans="1:86" ht="15" hidden="1" customHeight="1" x14ac:dyDescent="0.35">
      <c r="A123" t="s">
        <v>654</v>
      </c>
      <c r="B123">
        <v>1</v>
      </c>
      <c r="C123">
        <v>1</v>
      </c>
      <c r="D123" t="s">
        <v>1001</v>
      </c>
      <c r="E123" t="s">
        <v>1209</v>
      </c>
      <c r="F123">
        <v>6</v>
      </c>
      <c r="H123" t="s">
        <v>1385</v>
      </c>
      <c r="I123" t="s">
        <v>1538</v>
      </c>
      <c r="M123" t="s">
        <v>1871</v>
      </c>
      <c r="N123">
        <v>6</v>
      </c>
      <c r="P123" t="s">
        <v>2038</v>
      </c>
      <c r="Q123" t="s">
        <v>2197</v>
      </c>
      <c r="U123" t="s">
        <v>2538</v>
      </c>
      <c r="V123">
        <v>7</v>
      </c>
      <c r="X123" t="s">
        <v>2729</v>
      </c>
      <c r="Y123" t="s">
        <v>2867</v>
      </c>
      <c r="Z123">
        <v>8</v>
      </c>
      <c r="AC123" t="s">
        <v>3160</v>
      </c>
      <c r="AG123" t="s">
        <v>3426</v>
      </c>
      <c r="AK123" t="s">
        <v>3657</v>
      </c>
      <c r="AO123" t="s">
        <v>3933</v>
      </c>
      <c r="AS123" t="s">
        <v>4224</v>
      </c>
      <c r="AW123" t="s">
        <v>4464</v>
      </c>
      <c r="BA123" t="s">
        <v>4709</v>
      </c>
      <c r="BE123" t="s">
        <v>4945</v>
      </c>
      <c r="BG123" t="s">
        <v>5006</v>
      </c>
      <c r="BH123" t="s">
        <v>5179</v>
      </c>
      <c r="BI123" t="s">
        <v>5435</v>
      </c>
      <c r="BJ123" t="s">
        <v>5691</v>
      </c>
      <c r="BK123" t="s">
        <v>5989</v>
      </c>
      <c r="BL123" t="s">
        <v>6199</v>
      </c>
      <c r="BM123" t="s">
        <v>6378</v>
      </c>
      <c r="BN123" t="s">
        <v>6532</v>
      </c>
      <c r="BO123" t="s">
        <v>6689</v>
      </c>
      <c r="BP123" t="s">
        <v>6809</v>
      </c>
      <c r="BQ123" t="s">
        <v>6841</v>
      </c>
      <c r="BR123" t="s">
        <v>6857</v>
      </c>
      <c r="BS123" t="s">
        <v>6874</v>
      </c>
      <c r="BT123" t="s">
        <v>6984</v>
      </c>
      <c r="BZ123">
        <v>1</v>
      </c>
      <c r="CA123">
        <v>0</v>
      </c>
      <c r="CD123" s="23"/>
      <c r="CE123" s="23" t="s">
        <v>7952</v>
      </c>
      <c r="CF123" s="144">
        <v>43894.467326388891</v>
      </c>
      <c r="CG123" s="144">
        <v>43894.473703703705</v>
      </c>
      <c r="CH123" t="s">
        <v>8259</v>
      </c>
    </row>
    <row r="124" spans="1:86" ht="15" hidden="1" customHeight="1" x14ac:dyDescent="0.35">
      <c r="A124" t="s">
        <v>655</v>
      </c>
      <c r="B124">
        <v>1</v>
      </c>
      <c r="C124">
        <v>1</v>
      </c>
      <c r="D124" t="s">
        <v>1001</v>
      </c>
      <c r="E124" t="s">
        <v>1209</v>
      </c>
      <c r="F124">
        <v>5</v>
      </c>
      <c r="H124" t="s">
        <v>1386</v>
      </c>
      <c r="I124" t="s">
        <v>1539</v>
      </c>
      <c r="J124">
        <v>5</v>
      </c>
      <c r="L124" t="s">
        <v>1734</v>
      </c>
      <c r="M124" t="s">
        <v>1871</v>
      </c>
      <c r="N124">
        <v>6</v>
      </c>
      <c r="P124" t="s">
        <v>2039</v>
      </c>
      <c r="Q124" t="s">
        <v>2198</v>
      </c>
      <c r="S124">
        <v>6</v>
      </c>
      <c r="T124" t="s">
        <v>2407</v>
      </c>
      <c r="U124" t="s">
        <v>2538</v>
      </c>
      <c r="V124">
        <v>6</v>
      </c>
      <c r="X124" t="s">
        <v>2730</v>
      </c>
      <c r="Y124" t="s">
        <v>2867</v>
      </c>
      <c r="Z124">
        <v>6</v>
      </c>
      <c r="AB124" t="s">
        <v>3043</v>
      </c>
      <c r="AC124" t="s">
        <v>3161</v>
      </c>
      <c r="AD124">
        <v>8</v>
      </c>
      <c r="AF124" t="s">
        <v>3331</v>
      </c>
      <c r="AG124" t="s">
        <v>3427</v>
      </c>
      <c r="AH124">
        <v>8</v>
      </c>
      <c r="AJ124" t="s">
        <v>3567</v>
      </c>
      <c r="AK124" t="s">
        <v>3657</v>
      </c>
      <c r="AO124" t="s">
        <v>3934</v>
      </c>
      <c r="AP124">
        <v>7</v>
      </c>
      <c r="AR124" t="s">
        <v>4113</v>
      </c>
      <c r="AS124" t="s">
        <v>4224</v>
      </c>
      <c r="AW124" t="s">
        <v>4465</v>
      </c>
      <c r="AY124">
        <v>8</v>
      </c>
      <c r="AZ124" t="s">
        <v>4613</v>
      </c>
      <c r="BA124" t="s">
        <v>4710</v>
      </c>
      <c r="BC124">
        <v>8</v>
      </c>
      <c r="BD124" t="s">
        <v>4864</v>
      </c>
      <c r="BE124" t="s">
        <v>4945</v>
      </c>
      <c r="BG124" t="s">
        <v>5006</v>
      </c>
      <c r="BH124" t="s">
        <v>5180</v>
      </c>
      <c r="BI124" t="s">
        <v>5435</v>
      </c>
      <c r="BJ124" t="s">
        <v>5692</v>
      </c>
      <c r="BK124" t="s">
        <v>5990</v>
      </c>
      <c r="BL124" t="s">
        <v>6200</v>
      </c>
      <c r="BM124" t="s">
        <v>6378</v>
      </c>
      <c r="BN124" t="s">
        <v>6532</v>
      </c>
      <c r="BO124" t="s">
        <v>6690</v>
      </c>
      <c r="BP124" t="s">
        <v>6810</v>
      </c>
      <c r="BT124" t="s">
        <v>6985</v>
      </c>
      <c r="BZ124">
        <v>1</v>
      </c>
      <c r="CA124">
        <v>0</v>
      </c>
      <c r="CD124" s="23"/>
      <c r="CE124" s="23" t="s">
        <v>7953</v>
      </c>
      <c r="CF124" s="144">
        <v>43894.377893518518</v>
      </c>
      <c r="CG124" s="144">
        <v>43894.391747685186</v>
      </c>
      <c r="CH124" t="s">
        <v>8260</v>
      </c>
    </row>
    <row r="125" spans="1:86" ht="15" hidden="1" customHeight="1" x14ac:dyDescent="0.35">
      <c r="A125" t="s">
        <v>656</v>
      </c>
      <c r="B125">
        <v>1</v>
      </c>
      <c r="C125">
        <v>1</v>
      </c>
      <c r="D125" t="s">
        <v>1002</v>
      </c>
      <c r="E125" t="s">
        <v>1209</v>
      </c>
      <c r="F125">
        <v>6</v>
      </c>
      <c r="H125" t="s">
        <v>1387</v>
      </c>
      <c r="I125" t="s">
        <v>1540</v>
      </c>
      <c r="M125" t="s">
        <v>1871</v>
      </c>
      <c r="N125">
        <v>6</v>
      </c>
      <c r="Q125" t="s">
        <v>2198</v>
      </c>
      <c r="S125">
        <v>7</v>
      </c>
      <c r="U125" t="s">
        <v>2538</v>
      </c>
      <c r="V125">
        <v>6</v>
      </c>
      <c r="Y125" t="s">
        <v>2867</v>
      </c>
      <c r="Z125">
        <v>5</v>
      </c>
      <c r="AC125" t="s">
        <v>3161</v>
      </c>
      <c r="AD125">
        <v>7</v>
      </c>
      <c r="AF125" t="s">
        <v>3332</v>
      </c>
      <c r="AG125" t="s">
        <v>3428</v>
      </c>
      <c r="AK125" t="s">
        <v>3658</v>
      </c>
      <c r="AM125">
        <v>5</v>
      </c>
      <c r="AO125" t="s">
        <v>3935</v>
      </c>
      <c r="AS125" t="s">
        <v>4225</v>
      </c>
      <c r="AU125">
        <v>6</v>
      </c>
      <c r="AW125" t="s">
        <v>4466</v>
      </c>
      <c r="BA125" t="s">
        <v>4711</v>
      </c>
      <c r="BE125" t="s">
        <v>4945</v>
      </c>
      <c r="BG125" t="s">
        <v>5007</v>
      </c>
      <c r="BH125" t="s">
        <v>5181</v>
      </c>
      <c r="BI125" t="s">
        <v>5435</v>
      </c>
      <c r="BJ125" t="s">
        <v>5693</v>
      </c>
      <c r="BK125" t="s">
        <v>5991</v>
      </c>
      <c r="BL125" t="s">
        <v>6201</v>
      </c>
      <c r="BM125" t="s">
        <v>6378</v>
      </c>
      <c r="BN125" t="s">
        <v>6532</v>
      </c>
      <c r="BO125" t="s">
        <v>6691</v>
      </c>
      <c r="BP125" t="s">
        <v>6810</v>
      </c>
      <c r="BT125" t="s">
        <v>6986</v>
      </c>
      <c r="BZ125">
        <v>0</v>
      </c>
      <c r="CA125">
        <v>0</v>
      </c>
      <c r="CD125" s="23"/>
      <c r="CE125" s="23" t="s">
        <v>7954</v>
      </c>
      <c r="CF125" s="144">
        <v>43894.346296296295</v>
      </c>
      <c r="CG125" s="144">
        <v>43894.350462962961</v>
      </c>
      <c r="CH125" t="s">
        <v>8261</v>
      </c>
    </row>
    <row r="126" spans="1:86" ht="15" hidden="1" customHeight="1" x14ac:dyDescent="0.35">
      <c r="A126" t="s">
        <v>657</v>
      </c>
      <c r="B126">
        <v>1</v>
      </c>
      <c r="C126">
        <v>1</v>
      </c>
      <c r="D126" t="s">
        <v>1002</v>
      </c>
      <c r="E126" t="s">
        <v>1209</v>
      </c>
      <c r="F126">
        <v>6</v>
      </c>
      <c r="H126" t="s">
        <v>1388</v>
      </c>
      <c r="I126" t="s">
        <v>1541</v>
      </c>
      <c r="J126">
        <v>6</v>
      </c>
      <c r="M126" t="s">
        <v>1871</v>
      </c>
      <c r="N126">
        <v>5</v>
      </c>
      <c r="Q126" t="s">
        <v>2198</v>
      </c>
      <c r="S126">
        <v>4</v>
      </c>
      <c r="U126" t="s">
        <v>2538</v>
      </c>
      <c r="Y126" t="s">
        <v>2867</v>
      </c>
      <c r="Z126">
        <v>6</v>
      </c>
      <c r="AB126" t="s">
        <v>3044</v>
      </c>
      <c r="AC126" t="s">
        <v>3161</v>
      </c>
      <c r="AD126">
        <v>8</v>
      </c>
      <c r="AF126" t="s">
        <v>3333</v>
      </c>
      <c r="AG126" t="s">
        <v>3428</v>
      </c>
      <c r="AK126" t="s">
        <v>3659</v>
      </c>
      <c r="AL126">
        <v>5</v>
      </c>
      <c r="AO126" t="s">
        <v>3936</v>
      </c>
      <c r="AQ126">
        <v>5</v>
      </c>
      <c r="AR126" t="s">
        <v>4114</v>
      </c>
      <c r="AS126" t="s">
        <v>4226</v>
      </c>
      <c r="AT126">
        <v>7</v>
      </c>
      <c r="AV126" t="s">
        <v>4375</v>
      </c>
      <c r="AW126" t="s">
        <v>4467</v>
      </c>
      <c r="AX126">
        <v>5</v>
      </c>
      <c r="BA126" t="s">
        <v>4712</v>
      </c>
      <c r="BC126">
        <v>6</v>
      </c>
      <c r="BE126" t="s">
        <v>4945</v>
      </c>
      <c r="BG126" t="s">
        <v>5007</v>
      </c>
      <c r="BH126" t="s">
        <v>5182</v>
      </c>
      <c r="BI126" t="s">
        <v>5435</v>
      </c>
      <c r="BJ126" t="s">
        <v>5694</v>
      </c>
      <c r="BK126" t="s">
        <v>5991</v>
      </c>
      <c r="BL126" t="s">
        <v>6201</v>
      </c>
      <c r="BM126" t="s">
        <v>6378</v>
      </c>
      <c r="BN126" t="s">
        <v>6533</v>
      </c>
      <c r="BO126" t="s">
        <v>6691</v>
      </c>
      <c r="BP126" t="s">
        <v>6810</v>
      </c>
      <c r="BT126" t="s">
        <v>6987</v>
      </c>
      <c r="BZ126">
        <v>0</v>
      </c>
      <c r="CA126">
        <v>0</v>
      </c>
      <c r="CD126" s="23"/>
      <c r="CE126" s="23" t="s">
        <v>7954</v>
      </c>
      <c r="CF126" s="144">
        <v>43893.881851851853</v>
      </c>
      <c r="CG126" s="144">
        <v>43893.893194444441</v>
      </c>
      <c r="CH126" t="s">
        <v>8262</v>
      </c>
    </row>
    <row r="127" spans="1:86" ht="15" hidden="1" customHeight="1" x14ac:dyDescent="0.35">
      <c r="A127" t="s">
        <v>658</v>
      </c>
      <c r="B127">
        <v>1</v>
      </c>
      <c r="C127">
        <v>1</v>
      </c>
      <c r="D127" t="s">
        <v>1002</v>
      </c>
      <c r="E127" t="s">
        <v>1210</v>
      </c>
      <c r="I127" t="s">
        <v>1542</v>
      </c>
      <c r="M127" t="s">
        <v>1872</v>
      </c>
      <c r="O127">
        <v>6</v>
      </c>
      <c r="P127" t="s">
        <v>2040</v>
      </c>
      <c r="Q127" t="s">
        <v>2198</v>
      </c>
      <c r="S127">
        <v>6</v>
      </c>
      <c r="U127" t="s">
        <v>2539</v>
      </c>
      <c r="W127">
        <v>6</v>
      </c>
      <c r="Y127" t="s">
        <v>2867</v>
      </c>
      <c r="Z127">
        <v>6</v>
      </c>
      <c r="AC127" t="s">
        <v>3161</v>
      </c>
      <c r="AD127">
        <v>6</v>
      </c>
      <c r="AF127" t="s">
        <v>3334</v>
      </c>
      <c r="AG127" t="s">
        <v>3428</v>
      </c>
      <c r="AK127" t="s">
        <v>3660</v>
      </c>
      <c r="AO127" t="s">
        <v>3936</v>
      </c>
      <c r="AQ127">
        <v>6</v>
      </c>
      <c r="AR127" t="s">
        <v>4115</v>
      </c>
      <c r="AS127" t="s">
        <v>4226</v>
      </c>
      <c r="AT127">
        <v>7</v>
      </c>
      <c r="AW127" t="s">
        <v>4467</v>
      </c>
      <c r="AX127">
        <v>7</v>
      </c>
      <c r="BA127" t="s">
        <v>4713</v>
      </c>
      <c r="BB127">
        <v>6</v>
      </c>
      <c r="BE127" t="s">
        <v>4945</v>
      </c>
      <c r="BG127" t="s">
        <v>5007</v>
      </c>
      <c r="BH127" t="s">
        <v>5183</v>
      </c>
      <c r="BI127" t="s">
        <v>5435</v>
      </c>
      <c r="BJ127" t="s">
        <v>5695</v>
      </c>
      <c r="BK127" t="s">
        <v>5991</v>
      </c>
      <c r="BL127" t="s">
        <v>6201</v>
      </c>
      <c r="BM127" t="s">
        <v>6378</v>
      </c>
      <c r="BN127" t="s">
        <v>6534</v>
      </c>
      <c r="BO127" t="s">
        <v>6691</v>
      </c>
      <c r="BP127" t="s">
        <v>6810</v>
      </c>
      <c r="BT127" t="s">
        <v>6988</v>
      </c>
      <c r="BZ127">
        <v>0</v>
      </c>
      <c r="CA127">
        <v>0</v>
      </c>
      <c r="CD127" s="23"/>
      <c r="CE127" s="23" t="s">
        <v>7954</v>
      </c>
      <c r="CF127" s="144">
        <v>43893.866053240738</v>
      </c>
      <c r="CG127" s="144">
        <v>43893.872685185182</v>
      </c>
      <c r="CH127" t="s">
        <v>8263</v>
      </c>
    </row>
    <row r="128" spans="1:86" ht="15" hidden="1" customHeight="1" x14ac:dyDescent="0.35">
      <c r="A128" t="s">
        <v>659</v>
      </c>
      <c r="B128">
        <v>1</v>
      </c>
      <c r="C128">
        <v>1</v>
      </c>
      <c r="D128" t="s">
        <v>1003</v>
      </c>
      <c r="E128" t="s">
        <v>1211</v>
      </c>
      <c r="F128">
        <v>6</v>
      </c>
      <c r="H128" t="s">
        <v>1389</v>
      </c>
      <c r="I128" t="s">
        <v>1543</v>
      </c>
      <c r="J128">
        <v>6</v>
      </c>
      <c r="L128" t="s">
        <v>1735</v>
      </c>
      <c r="M128" t="s">
        <v>1873</v>
      </c>
      <c r="Q128" t="s">
        <v>2199</v>
      </c>
      <c r="R128">
        <v>5</v>
      </c>
      <c r="U128" t="s">
        <v>2540</v>
      </c>
      <c r="Y128" t="s">
        <v>2868</v>
      </c>
      <c r="AA128">
        <v>5</v>
      </c>
      <c r="AC128" t="s">
        <v>3161</v>
      </c>
      <c r="AD128">
        <v>5</v>
      </c>
      <c r="AF128" t="s">
        <v>3335</v>
      </c>
      <c r="AG128" t="s">
        <v>3429</v>
      </c>
      <c r="AH128">
        <v>7</v>
      </c>
      <c r="AK128" t="s">
        <v>3661</v>
      </c>
      <c r="AL128">
        <v>5</v>
      </c>
      <c r="AO128" t="s">
        <v>3937</v>
      </c>
      <c r="AP128">
        <v>6</v>
      </c>
      <c r="AS128" t="s">
        <v>4226</v>
      </c>
      <c r="AT128">
        <v>6</v>
      </c>
      <c r="AW128" t="s">
        <v>4467</v>
      </c>
      <c r="AX128">
        <v>5</v>
      </c>
      <c r="BA128" t="s">
        <v>4714</v>
      </c>
      <c r="BC128">
        <v>5</v>
      </c>
      <c r="BE128" t="s">
        <v>4945</v>
      </c>
      <c r="BG128" t="s">
        <v>5007</v>
      </c>
      <c r="BH128" t="s">
        <v>5183</v>
      </c>
      <c r="BI128" t="s">
        <v>5435</v>
      </c>
      <c r="BJ128" t="s">
        <v>5696</v>
      </c>
      <c r="BK128" t="s">
        <v>5992</v>
      </c>
      <c r="BL128" t="s">
        <v>6202</v>
      </c>
      <c r="BM128" t="s">
        <v>6379</v>
      </c>
      <c r="BN128" t="s">
        <v>6534</v>
      </c>
      <c r="BO128" t="s">
        <v>6691</v>
      </c>
      <c r="BP128" t="s">
        <v>6810</v>
      </c>
      <c r="BT128" t="s">
        <v>6989</v>
      </c>
      <c r="BZ128">
        <v>0</v>
      </c>
      <c r="CA128">
        <v>1</v>
      </c>
      <c r="CB128" t="s">
        <v>7659</v>
      </c>
      <c r="CC128" t="s">
        <v>7724</v>
      </c>
      <c r="CD128" s="23" t="s">
        <v>7808</v>
      </c>
      <c r="CE128" s="23" t="s">
        <v>7955</v>
      </c>
      <c r="CF128" s="144">
        <v>43893.615949074076</v>
      </c>
      <c r="CG128" s="144">
        <v>43893.623518518521</v>
      </c>
      <c r="CH128" t="s">
        <v>8264</v>
      </c>
    </row>
    <row r="129" spans="1:86" ht="15" hidden="1" customHeight="1" x14ac:dyDescent="0.35">
      <c r="A129" t="s">
        <v>660</v>
      </c>
      <c r="B129">
        <v>1</v>
      </c>
      <c r="C129">
        <v>1</v>
      </c>
      <c r="D129" t="s">
        <v>1003</v>
      </c>
      <c r="E129" t="s">
        <v>1211</v>
      </c>
      <c r="F129">
        <v>7</v>
      </c>
      <c r="H129" t="s">
        <v>1390</v>
      </c>
      <c r="I129" t="s">
        <v>1544</v>
      </c>
      <c r="L129" s="21"/>
      <c r="M129" t="s">
        <v>1874</v>
      </c>
      <c r="N129">
        <v>7</v>
      </c>
      <c r="P129" t="s">
        <v>2041</v>
      </c>
      <c r="Q129" t="s">
        <v>2200</v>
      </c>
      <c r="S129">
        <v>7</v>
      </c>
      <c r="T129" s="21" t="s">
        <v>2408</v>
      </c>
      <c r="U129" t="s">
        <v>2540</v>
      </c>
      <c r="X129" s="21"/>
      <c r="Y129" t="s">
        <v>2869</v>
      </c>
      <c r="AC129" t="s">
        <v>3162</v>
      </c>
      <c r="AG129" t="s">
        <v>3430</v>
      </c>
      <c r="AJ129" s="21"/>
      <c r="AK129" t="s">
        <v>3662</v>
      </c>
      <c r="AO129" t="s">
        <v>3938</v>
      </c>
      <c r="AS129" t="s">
        <v>4227</v>
      </c>
      <c r="AV129" s="21"/>
      <c r="AW129" t="s">
        <v>4468</v>
      </c>
      <c r="AZ129" s="21"/>
      <c r="BA129" t="s">
        <v>4715</v>
      </c>
      <c r="BD129" s="21"/>
      <c r="BE129" t="s">
        <v>4945</v>
      </c>
      <c r="BG129" t="s">
        <v>5007</v>
      </c>
      <c r="BH129" t="s">
        <v>5184</v>
      </c>
      <c r="BI129" t="s">
        <v>5435</v>
      </c>
      <c r="BJ129" t="s">
        <v>5697</v>
      </c>
      <c r="BK129" t="s">
        <v>5993</v>
      </c>
      <c r="BL129" t="s">
        <v>6203</v>
      </c>
      <c r="BM129" t="s">
        <v>6380</v>
      </c>
      <c r="BN129" t="s">
        <v>6534</v>
      </c>
      <c r="BO129" t="s">
        <v>6691</v>
      </c>
      <c r="BP129" t="s">
        <v>6810</v>
      </c>
      <c r="BT129" t="s">
        <v>6990</v>
      </c>
      <c r="BZ129">
        <v>1</v>
      </c>
      <c r="CA129">
        <v>0</v>
      </c>
      <c r="CD129" s="23"/>
      <c r="CE129" s="23" t="s">
        <v>7956</v>
      </c>
      <c r="CF129" s="144">
        <v>43893.563090277778</v>
      </c>
      <c r="CG129" s="144">
        <v>43893.588576388887</v>
      </c>
      <c r="CH129" t="s">
        <v>8265</v>
      </c>
    </row>
    <row r="130" spans="1:86" ht="15" hidden="1" customHeight="1" x14ac:dyDescent="0.35">
      <c r="A130" t="s">
        <v>661</v>
      </c>
      <c r="B130">
        <v>1</v>
      </c>
      <c r="C130">
        <v>1</v>
      </c>
      <c r="D130" t="s">
        <v>1004</v>
      </c>
      <c r="E130" t="s">
        <v>1211</v>
      </c>
      <c r="F130">
        <v>8</v>
      </c>
      <c r="H130" t="s">
        <v>1391</v>
      </c>
      <c r="I130" t="s">
        <v>1545</v>
      </c>
      <c r="K130">
        <v>6</v>
      </c>
      <c r="L130" t="s">
        <v>1736</v>
      </c>
      <c r="M130" t="s">
        <v>1874</v>
      </c>
      <c r="N130">
        <v>1</v>
      </c>
      <c r="Q130" t="s">
        <v>2200</v>
      </c>
      <c r="S130">
        <v>6</v>
      </c>
      <c r="U130" t="s">
        <v>2541</v>
      </c>
      <c r="W130">
        <v>3</v>
      </c>
      <c r="Y130" t="s">
        <v>2870</v>
      </c>
      <c r="Z130">
        <v>4</v>
      </c>
      <c r="AC130" t="s">
        <v>3163</v>
      </c>
      <c r="AD130">
        <v>8</v>
      </c>
      <c r="AG130" t="s">
        <v>3430</v>
      </c>
      <c r="AK130" t="s">
        <v>3663</v>
      </c>
      <c r="AM130">
        <v>6</v>
      </c>
      <c r="AO130" t="s">
        <v>3939</v>
      </c>
      <c r="AP130">
        <v>7</v>
      </c>
      <c r="AS130" t="s">
        <v>4227</v>
      </c>
      <c r="AW130" t="s">
        <v>4469</v>
      </c>
      <c r="AX130">
        <v>3</v>
      </c>
      <c r="BA130" t="s">
        <v>4715</v>
      </c>
      <c r="BG130" t="s">
        <v>5007</v>
      </c>
      <c r="BH130" t="s">
        <v>5185</v>
      </c>
      <c r="BI130" t="s">
        <v>5436</v>
      </c>
      <c r="BJ130" t="s">
        <v>5698</v>
      </c>
      <c r="BK130" t="s">
        <v>5994</v>
      </c>
      <c r="BL130" t="s">
        <v>6203</v>
      </c>
      <c r="BM130" t="s">
        <v>6380</v>
      </c>
      <c r="BN130" t="s">
        <v>6534</v>
      </c>
      <c r="BO130" t="s">
        <v>6692</v>
      </c>
      <c r="BP130" t="s">
        <v>6810</v>
      </c>
      <c r="BT130" t="s">
        <v>6991</v>
      </c>
      <c r="BZ130">
        <v>0</v>
      </c>
      <c r="CA130">
        <v>0</v>
      </c>
      <c r="CD130" s="23"/>
      <c r="CE130" s="23" t="s">
        <v>7957</v>
      </c>
      <c r="CF130" s="144">
        <v>43893.558541666665</v>
      </c>
      <c r="CG130" s="144">
        <v>43893.56690972222</v>
      </c>
      <c r="CH130" t="s">
        <v>8266</v>
      </c>
    </row>
    <row r="131" spans="1:86" ht="15" hidden="1" customHeight="1" x14ac:dyDescent="0.35">
      <c r="A131" t="s">
        <v>662</v>
      </c>
      <c r="B131">
        <v>1</v>
      </c>
      <c r="C131">
        <v>1</v>
      </c>
      <c r="D131" t="s">
        <v>1005</v>
      </c>
      <c r="E131" t="s">
        <v>1211</v>
      </c>
      <c r="F131">
        <v>7</v>
      </c>
      <c r="I131" t="s">
        <v>1546</v>
      </c>
      <c r="M131" t="s">
        <v>1874</v>
      </c>
      <c r="N131">
        <v>8</v>
      </c>
      <c r="P131" t="s">
        <v>2042</v>
      </c>
      <c r="Q131" t="s">
        <v>2200</v>
      </c>
      <c r="S131">
        <v>8</v>
      </c>
      <c r="T131" t="s">
        <v>2409</v>
      </c>
      <c r="U131" t="s">
        <v>2542</v>
      </c>
      <c r="V131">
        <v>8</v>
      </c>
      <c r="Y131" t="s">
        <v>2870</v>
      </c>
      <c r="Z131">
        <v>8</v>
      </c>
      <c r="AC131" t="s">
        <v>3163</v>
      </c>
      <c r="AD131">
        <v>7</v>
      </c>
      <c r="AG131" t="s">
        <v>3431</v>
      </c>
      <c r="AH131">
        <v>1</v>
      </c>
      <c r="AK131" t="s">
        <v>3663</v>
      </c>
      <c r="AM131">
        <v>6</v>
      </c>
      <c r="AO131" t="s">
        <v>3940</v>
      </c>
      <c r="AQ131">
        <v>3</v>
      </c>
      <c r="AR131" t="s">
        <v>4116</v>
      </c>
      <c r="AS131" t="s">
        <v>4228</v>
      </c>
      <c r="AT131">
        <v>7</v>
      </c>
      <c r="AW131" t="s">
        <v>4469</v>
      </c>
      <c r="AX131">
        <v>6</v>
      </c>
      <c r="BA131" t="s">
        <v>4715</v>
      </c>
      <c r="BE131" t="s">
        <v>4945</v>
      </c>
      <c r="BG131" t="s">
        <v>5007</v>
      </c>
      <c r="BH131" t="s">
        <v>5186</v>
      </c>
      <c r="BI131" t="s">
        <v>5437</v>
      </c>
      <c r="BJ131" t="s">
        <v>5699</v>
      </c>
      <c r="BK131" t="s">
        <v>5994</v>
      </c>
      <c r="BL131" t="s">
        <v>6203</v>
      </c>
      <c r="BM131" t="s">
        <v>6380</v>
      </c>
      <c r="BN131" t="s">
        <v>6534</v>
      </c>
      <c r="BO131" t="s">
        <v>6693</v>
      </c>
      <c r="BP131" t="s">
        <v>6810</v>
      </c>
      <c r="BT131" t="s">
        <v>6992</v>
      </c>
      <c r="BZ131">
        <v>0</v>
      </c>
      <c r="CA131">
        <v>0</v>
      </c>
      <c r="CD131" s="23"/>
      <c r="CE131" s="23" t="s">
        <v>7958</v>
      </c>
      <c r="CF131" s="144">
        <v>43893.537199074075</v>
      </c>
      <c r="CG131" s="144">
        <v>43893.549791666665</v>
      </c>
      <c r="CH131" t="s">
        <v>8267</v>
      </c>
    </row>
    <row r="132" spans="1:86" ht="15" hidden="1" customHeight="1" x14ac:dyDescent="0.35">
      <c r="A132" t="s">
        <v>663</v>
      </c>
      <c r="B132">
        <v>1</v>
      </c>
      <c r="C132">
        <v>1</v>
      </c>
      <c r="D132" t="s">
        <v>1006</v>
      </c>
      <c r="E132" t="s">
        <v>1211</v>
      </c>
      <c r="F132">
        <v>5</v>
      </c>
      <c r="I132" t="s">
        <v>1547</v>
      </c>
      <c r="K132">
        <v>7</v>
      </c>
      <c r="L132" t="s">
        <v>1737</v>
      </c>
      <c r="M132" t="s">
        <v>1874</v>
      </c>
      <c r="N132">
        <v>6</v>
      </c>
      <c r="P132" t="s">
        <v>2043</v>
      </c>
      <c r="Q132" t="s">
        <v>2200</v>
      </c>
      <c r="S132">
        <v>8</v>
      </c>
      <c r="T132" t="s">
        <v>2410</v>
      </c>
      <c r="U132" t="s">
        <v>2543</v>
      </c>
      <c r="Y132" t="s">
        <v>2870</v>
      </c>
      <c r="Z132">
        <v>8</v>
      </c>
      <c r="AC132" t="s">
        <v>3163</v>
      </c>
      <c r="AD132">
        <v>8</v>
      </c>
      <c r="AF132" t="s">
        <v>3336</v>
      </c>
      <c r="AG132" t="s">
        <v>3432</v>
      </c>
      <c r="AK132" t="s">
        <v>3663</v>
      </c>
      <c r="AM132">
        <v>7</v>
      </c>
      <c r="AO132" t="s">
        <v>3941</v>
      </c>
      <c r="AP132">
        <v>6</v>
      </c>
      <c r="AS132" t="s">
        <v>4228</v>
      </c>
      <c r="AT132">
        <v>6</v>
      </c>
      <c r="AW132" t="s">
        <v>4469</v>
      </c>
      <c r="AX132">
        <v>7</v>
      </c>
      <c r="BA132" t="s">
        <v>4715</v>
      </c>
      <c r="BE132" t="s">
        <v>4945</v>
      </c>
      <c r="BG132" t="s">
        <v>5007</v>
      </c>
      <c r="BH132" t="s">
        <v>5186</v>
      </c>
      <c r="BI132" t="s">
        <v>5437</v>
      </c>
      <c r="BJ132" t="s">
        <v>5699</v>
      </c>
      <c r="BK132" t="s">
        <v>5995</v>
      </c>
      <c r="BL132" t="s">
        <v>6203</v>
      </c>
      <c r="BM132" t="s">
        <v>6380</v>
      </c>
      <c r="BN132" t="s">
        <v>6534</v>
      </c>
      <c r="BO132" t="s">
        <v>6693</v>
      </c>
      <c r="BP132" t="s">
        <v>6810</v>
      </c>
      <c r="BT132" t="s">
        <v>6993</v>
      </c>
      <c r="BZ132">
        <v>0</v>
      </c>
      <c r="CA132">
        <v>0</v>
      </c>
      <c r="CD132" s="23"/>
      <c r="CE132" s="23" t="s">
        <v>7958</v>
      </c>
      <c r="CF132" s="144">
        <v>43893.540254629632</v>
      </c>
      <c r="CG132" s="144">
        <v>43893.548148148147</v>
      </c>
      <c r="CH132" s="24" t="s">
        <v>8268</v>
      </c>
    </row>
    <row r="133" spans="1:86" ht="15" hidden="1" customHeight="1" x14ac:dyDescent="0.35">
      <c r="A133" t="s">
        <v>664</v>
      </c>
      <c r="B133">
        <v>1</v>
      </c>
      <c r="C133">
        <v>1</v>
      </c>
      <c r="D133" t="s">
        <v>1007</v>
      </c>
      <c r="E133" t="s">
        <v>1211</v>
      </c>
      <c r="F133">
        <v>6</v>
      </c>
      <c r="H133" t="s">
        <v>1392</v>
      </c>
      <c r="I133" t="s">
        <v>1548</v>
      </c>
      <c r="J133">
        <v>5</v>
      </c>
      <c r="L133" s="21" t="s">
        <v>1738</v>
      </c>
      <c r="M133" t="s">
        <v>1874</v>
      </c>
      <c r="N133">
        <v>5</v>
      </c>
      <c r="P133" s="21" t="s">
        <v>2044</v>
      </c>
      <c r="Q133" t="s">
        <v>2201</v>
      </c>
      <c r="R133">
        <v>5</v>
      </c>
      <c r="T133" s="21" t="s">
        <v>2411</v>
      </c>
      <c r="U133" t="s">
        <v>2544</v>
      </c>
      <c r="V133">
        <v>5</v>
      </c>
      <c r="X133" s="21" t="s">
        <v>2731</v>
      </c>
      <c r="Y133" t="s">
        <v>2870</v>
      </c>
      <c r="Z133">
        <v>5</v>
      </c>
      <c r="AC133" t="s">
        <v>3163</v>
      </c>
      <c r="AD133">
        <v>3</v>
      </c>
      <c r="AF133" s="21" t="s">
        <v>3337</v>
      </c>
      <c r="AG133" t="s">
        <v>3433</v>
      </c>
      <c r="AH133">
        <v>1</v>
      </c>
      <c r="AK133" t="s">
        <v>3664</v>
      </c>
      <c r="AL133">
        <v>6</v>
      </c>
      <c r="AN133" s="21" t="s">
        <v>3811</v>
      </c>
      <c r="AO133" t="s">
        <v>3942</v>
      </c>
      <c r="AQ133">
        <v>3</v>
      </c>
      <c r="AS133" t="s">
        <v>4228</v>
      </c>
      <c r="AT133">
        <v>1</v>
      </c>
      <c r="AW133" t="s">
        <v>4470</v>
      </c>
      <c r="AY133">
        <v>4</v>
      </c>
      <c r="BA133" t="s">
        <v>4716</v>
      </c>
      <c r="BC133">
        <v>4</v>
      </c>
      <c r="BE133" t="s">
        <v>4945</v>
      </c>
      <c r="BG133" t="s">
        <v>5007</v>
      </c>
      <c r="BH133" t="s">
        <v>5187</v>
      </c>
      <c r="BI133" t="s">
        <v>5437</v>
      </c>
      <c r="BJ133" t="s">
        <v>5700</v>
      </c>
      <c r="BK133" t="s">
        <v>5996</v>
      </c>
      <c r="BL133" t="s">
        <v>6204</v>
      </c>
      <c r="BM133" t="s">
        <v>6381</v>
      </c>
      <c r="BN133" t="s">
        <v>6534</v>
      </c>
      <c r="BO133" t="s">
        <v>6693</v>
      </c>
      <c r="BP133" t="s">
        <v>6810</v>
      </c>
      <c r="BT133" t="s">
        <v>6993</v>
      </c>
      <c r="BZ133">
        <v>0</v>
      </c>
      <c r="CA133">
        <v>1</v>
      </c>
      <c r="CB133" t="s">
        <v>7660</v>
      </c>
      <c r="CC133" t="s">
        <v>7725</v>
      </c>
      <c r="CD133" s="23" t="s">
        <v>7808</v>
      </c>
      <c r="CE133" s="23" t="s">
        <v>7959</v>
      </c>
      <c r="CF133" s="144">
        <v>43893.513807870368</v>
      </c>
      <c r="CG133" s="144">
        <v>43893.519861111112</v>
      </c>
      <c r="CH133" t="s">
        <v>8269</v>
      </c>
    </row>
    <row r="134" spans="1:86" ht="15" hidden="1" customHeight="1" x14ac:dyDescent="0.35">
      <c r="A134" t="s">
        <v>665</v>
      </c>
      <c r="B134">
        <v>1</v>
      </c>
      <c r="C134">
        <v>1</v>
      </c>
      <c r="D134" t="s">
        <v>1008</v>
      </c>
      <c r="E134" t="s">
        <v>1212</v>
      </c>
      <c r="I134" t="s">
        <v>1548</v>
      </c>
      <c r="J134">
        <v>7</v>
      </c>
      <c r="L134" t="s">
        <v>1739</v>
      </c>
      <c r="M134" t="s">
        <v>1874</v>
      </c>
      <c r="N134">
        <v>6</v>
      </c>
      <c r="P134" t="s">
        <v>2045</v>
      </c>
      <c r="Q134" t="s">
        <v>2201</v>
      </c>
      <c r="T134" t="s">
        <v>2412</v>
      </c>
      <c r="U134" t="s">
        <v>2544</v>
      </c>
      <c r="V134">
        <v>7</v>
      </c>
      <c r="X134" t="s">
        <v>2732</v>
      </c>
      <c r="Y134" t="s">
        <v>2870</v>
      </c>
      <c r="Z134">
        <v>7</v>
      </c>
      <c r="AB134" t="s">
        <v>3045</v>
      </c>
      <c r="AC134" t="s">
        <v>3163</v>
      </c>
      <c r="AD134">
        <v>6</v>
      </c>
      <c r="AF134" t="s">
        <v>3338</v>
      </c>
      <c r="AG134" t="s">
        <v>3434</v>
      </c>
      <c r="AK134" t="s">
        <v>3665</v>
      </c>
      <c r="AO134" t="s">
        <v>3943</v>
      </c>
      <c r="AP134">
        <v>5</v>
      </c>
      <c r="AR134" t="s">
        <v>4117</v>
      </c>
      <c r="AS134" t="s">
        <v>4229</v>
      </c>
      <c r="AW134" t="s">
        <v>4471</v>
      </c>
      <c r="AX134">
        <v>6</v>
      </c>
      <c r="AZ134" t="s">
        <v>4614</v>
      </c>
      <c r="BA134" t="s">
        <v>4717</v>
      </c>
      <c r="BB134">
        <v>6</v>
      </c>
      <c r="BD134" t="s">
        <v>4865</v>
      </c>
      <c r="BE134" t="s">
        <v>4945</v>
      </c>
      <c r="BG134" t="s">
        <v>5007</v>
      </c>
      <c r="BH134" t="s">
        <v>5188</v>
      </c>
      <c r="BI134" t="s">
        <v>5437</v>
      </c>
      <c r="BJ134" t="s">
        <v>5701</v>
      </c>
      <c r="BK134" t="s">
        <v>5997</v>
      </c>
      <c r="BL134" t="s">
        <v>6205</v>
      </c>
      <c r="BM134" t="s">
        <v>6382</v>
      </c>
      <c r="BN134" t="s">
        <v>6534</v>
      </c>
      <c r="BO134" t="s">
        <v>6693</v>
      </c>
      <c r="BP134" t="s">
        <v>6810</v>
      </c>
      <c r="BT134" t="s">
        <v>6994</v>
      </c>
      <c r="BZ134">
        <v>0</v>
      </c>
      <c r="CA134">
        <v>0</v>
      </c>
      <c r="CD134" s="23"/>
      <c r="CE134" s="23" t="s">
        <v>7960</v>
      </c>
      <c r="CF134" s="144">
        <v>43893.45826388889</v>
      </c>
      <c r="CG134" s="144">
        <v>43893.469178240739</v>
      </c>
      <c r="CH134" t="s">
        <v>8270</v>
      </c>
    </row>
    <row r="135" spans="1:86" ht="15" hidden="1" customHeight="1" x14ac:dyDescent="0.35">
      <c r="A135" t="s">
        <v>666</v>
      </c>
      <c r="B135">
        <v>1</v>
      </c>
      <c r="C135">
        <v>1</v>
      </c>
      <c r="D135" t="s">
        <v>1009</v>
      </c>
      <c r="E135" t="s">
        <v>1213</v>
      </c>
      <c r="F135">
        <v>6</v>
      </c>
      <c r="H135" t="s">
        <v>1393</v>
      </c>
      <c r="I135" t="s">
        <v>1548</v>
      </c>
      <c r="J135">
        <v>7</v>
      </c>
      <c r="L135" t="s">
        <v>1740</v>
      </c>
      <c r="M135" t="s">
        <v>1874</v>
      </c>
      <c r="N135">
        <v>7</v>
      </c>
      <c r="P135" t="s">
        <v>2046</v>
      </c>
      <c r="Q135" t="s">
        <v>2201</v>
      </c>
      <c r="R135">
        <v>7</v>
      </c>
      <c r="T135" t="s">
        <v>2413</v>
      </c>
      <c r="U135" t="s">
        <v>2545</v>
      </c>
      <c r="Y135" t="s">
        <v>2871</v>
      </c>
      <c r="AC135" t="s">
        <v>3164</v>
      </c>
      <c r="AG135" t="s">
        <v>3434</v>
      </c>
      <c r="AK135" t="s">
        <v>3665</v>
      </c>
      <c r="AO135" t="s">
        <v>3943</v>
      </c>
      <c r="AP135">
        <v>5</v>
      </c>
      <c r="AR135" t="s">
        <v>4118</v>
      </c>
      <c r="AS135" t="s">
        <v>4229</v>
      </c>
      <c r="AW135" t="s">
        <v>4472</v>
      </c>
      <c r="AY135">
        <v>5</v>
      </c>
      <c r="BA135" t="s">
        <v>4718</v>
      </c>
      <c r="BC135">
        <v>6</v>
      </c>
      <c r="BE135" t="s">
        <v>4945</v>
      </c>
      <c r="BG135" t="s">
        <v>5008</v>
      </c>
      <c r="BH135" t="s">
        <v>5188</v>
      </c>
      <c r="BI135" t="s">
        <v>5438</v>
      </c>
      <c r="BJ135" t="s">
        <v>5702</v>
      </c>
      <c r="BK135" t="s">
        <v>5998</v>
      </c>
      <c r="BL135" t="s">
        <v>6206</v>
      </c>
      <c r="BM135" t="s">
        <v>6383</v>
      </c>
      <c r="BN135" t="s">
        <v>6534</v>
      </c>
      <c r="BO135" t="s">
        <v>6693</v>
      </c>
      <c r="BP135" t="s">
        <v>6810</v>
      </c>
      <c r="BT135" t="s">
        <v>6995</v>
      </c>
      <c r="BZ135">
        <v>0</v>
      </c>
      <c r="CA135">
        <v>0</v>
      </c>
      <c r="CD135" s="23"/>
      <c r="CE135" s="23" t="s">
        <v>7961</v>
      </c>
      <c r="CF135" s="144">
        <v>43893.415011574078</v>
      </c>
      <c r="CG135" s="144">
        <v>43893.443761574075</v>
      </c>
      <c r="CH135" t="s">
        <v>8271</v>
      </c>
    </row>
    <row r="136" spans="1:86" ht="15" hidden="1" customHeight="1" x14ac:dyDescent="0.35">
      <c r="A136" t="s">
        <v>667</v>
      </c>
      <c r="B136">
        <v>1</v>
      </c>
      <c r="C136">
        <v>1</v>
      </c>
      <c r="D136" t="s">
        <v>1010</v>
      </c>
      <c r="E136" t="s">
        <v>1213</v>
      </c>
      <c r="F136">
        <v>7</v>
      </c>
      <c r="H136" t="s">
        <v>1394</v>
      </c>
      <c r="I136" t="s">
        <v>1548</v>
      </c>
      <c r="J136">
        <v>7</v>
      </c>
      <c r="L136" t="s">
        <v>1741</v>
      </c>
      <c r="M136" t="s">
        <v>1875</v>
      </c>
      <c r="O136">
        <v>7</v>
      </c>
      <c r="P136" t="s">
        <v>2047</v>
      </c>
      <c r="Q136" t="s">
        <v>2202</v>
      </c>
      <c r="U136" t="s">
        <v>2545</v>
      </c>
      <c r="Y136" t="s">
        <v>2871</v>
      </c>
      <c r="AC136" t="s">
        <v>3164</v>
      </c>
      <c r="AG136" t="s">
        <v>3434</v>
      </c>
      <c r="AK136" t="s">
        <v>3665</v>
      </c>
      <c r="AO136" t="s">
        <v>3943</v>
      </c>
      <c r="AP136">
        <v>6</v>
      </c>
      <c r="AR136" t="s">
        <v>4119</v>
      </c>
      <c r="AS136" t="s">
        <v>4229</v>
      </c>
      <c r="AW136" t="s">
        <v>4472</v>
      </c>
      <c r="AY136">
        <v>6</v>
      </c>
      <c r="AZ136" t="s">
        <v>4615</v>
      </c>
      <c r="BA136" t="s">
        <v>4719</v>
      </c>
      <c r="BE136" t="s">
        <v>4945</v>
      </c>
      <c r="BG136" t="s">
        <v>5009</v>
      </c>
      <c r="BH136" t="s">
        <v>5189</v>
      </c>
      <c r="BI136" t="s">
        <v>5439</v>
      </c>
      <c r="BJ136" t="s">
        <v>5703</v>
      </c>
      <c r="BK136" t="s">
        <v>5999</v>
      </c>
      <c r="BL136" t="s">
        <v>6207</v>
      </c>
      <c r="BM136" t="s">
        <v>6384</v>
      </c>
      <c r="BN136" t="s">
        <v>6535</v>
      </c>
      <c r="BO136" t="s">
        <v>6693</v>
      </c>
      <c r="BP136" t="s">
        <v>6810</v>
      </c>
      <c r="BT136" t="s">
        <v>6995</v>
      </c>
      <c r="BZ136">
        <v>0</v>
      </c>
      <c r="CA136">
        <v>1</v>
      </c>
      <c r="CB136" t="s">
        <v>7661</v>
      </c>
      <c r="CC136" t="s">
        <v>7726</v>
      </c>
      <c r="CD136" s="23" t="s">
        <v>7808</v>
      </c>
      <c r="CE136" s="23" t="s">
        <v>7962</v>
      </c>
      <c r="CF136" s="144">
        <v>43892.604108796295</v>
      </c>
      <c r="CG136" s="144">
        <v>43892.633796296293</v>
      </c>
      <c r="CH136" t="s">
        <v>8272</v>
      </c>
    </row>
    <row r="137" spans="1:86" ht="15" hidden="1" customHeight="1" x14ac:dyDescent="0.35">
      <c r="A137" t="s">
        <v>668</v>
      </c>
      <c r="B137">
        <v>1</v>
      </c>
      <c r="C137">
        <v>1</v>
      </c>
      <c r="D137" t="s">
        <v>1010</v>
      </c>
      <c r="E137" t="s">
        <v>1214</v>
      </c>
      <c r="I137" t="s">
        <v>1549</v>
      </c>
      <c r="K137">
        <v>6</v>
      </c>
      <c r="M137" t="s">
        <v>1875</v>
      </c>
      <c r="O137">
        <v>6</v>
      </c>
      <c r="Q137" t="s">
        <v>2203</v>
      </c>
      <c r="R137">
        <v>5</v>
      </c>
      <c r="U137" t="s">
        <v>2546</v>
      </c>
      <c r="V137">
        <v>6</v>
      </c>
      <c r="Y137" t="s">
        <v>2871</v>
      </c>
      <c r="AC137" t="s">
        <v>3165</v>
      </c>
      <c r="AE137">
        <v>7</v>
      </c>
      <c r="AG137" t="s">
        <v>3435</v>
      </c>
      <c r="AI137">
        <v>6</v>
      </c>
      <c r="AK137" t="s">
        <v>3666</v>
      </c>
      <c r="AL137">
        <v>6</v>
      </c>
      <c r="AO137" t="s">
        <v>3943</v>
      </c>
      <c r="AP137">
        <v>7</v>
      </c>
      <c r="AS137" t="s">
        <v>4229</v>
      </c>
      <c r="AW137" t="s">
        <v>4473</v>
      </c>
      <c r="BA137" t="s">
        <v>4719</v>
      </c>
      <c r="BE137" t="s">
        <v>4945</v>
      </c>
      <c r="BG137" t="s">
        <v>5009</v>
      </c>
      <c r="BH137" t="s">
        <v>5190</v>
      </c>
      <c r="BI137" t="s">
        <v>5440</v>
      </c>
      <c r="BJ137" t="s">
        <v>5704</v>
      </c>
      <c r="BK137" t="s">
        <v>6000</v>
      </c>
      <c r="BL137" t="s">
        <v>6207</v>
      </c>
      <c r="BM137" t="s">
        <v>6384</v>
      </c>
      <c r="BN137" t="s">
        <v>6536</v>
      </c>
      <c r="BO137" t="s">
        <v>6694</v>
      </c>
      <c r="BP137" t="s">
        <v>6810</v>
      </c>
      <c r="BT137" t="s">
        <v>6996</v>
      </c>
      <c r="BZ137">
        <v>0</v>
      </c>
      <c r="CA137">
        <v>0</v>
      </c>
      <c r="CD137" s="23"/>
      <c r="CE137" s="23" t="s">
        <v>7963</v>
      </c>
      <c r="CF137" s="144">
        <v>43882.689710648148</v>
      </c>
      <c r="CG137" s="144">
        <v>43882.713958333334</v>
      </c>
      <c r="CH137" t="s">
        <v>8273</v>
      </c>
    </row>
    <row r="138" spans="1:86" ht="15" hidden="1" customHeight="1" x14ac:dyDescent="0.35">
      <c r="A138" t="s">
        <v>669</v>
      </c>
      <c r="B138">
        <v>1</v>
      </c>
      <c r="C138">
        <v>1</v>
      </c>
      <c r="D138" t="s">
        <v>1010</v>
      </c>
      <c r="E138" t="s">
        <v>1215</v>
      </c>
      <c r="F138">
        <v>8</v>
      </c>
      <c r="H138" t="s">
        <v>1395</v>
      </c>
      <c r="I138" t="s">
        <v>1550</v>
      </c>
      <c r="J138">
        <v>8</v>
      </c>
      <c r="L138" t="s">
        <v>1742</v>
      </c>
      <c r="M138" t="s">
        <v>1876</v>
      </c>
      <c r="N138">
        <v>8</v>
      </c>
      <c r="P138" t="s">
        <v>2048</v>
      </c>
      <c r="Q138" t="s">
        <v>2203</v>
      </c>
      <c r="R138">
        <v>5</v>
      </c>
      <c r="T138" t="s">
        <v>2414</v>
      </c>
      <c r="U138" t="s">
        <v>2546</v>
      </c>
      <c r="V138">
        <v>8</v>
      </c>
      <c r="X138" t="s">
        <v>2733</v>
      </c>
      <c r="Y138" t="s">
        <v>2872</v>
      </c>
      <c r="AA138">
        <v>8</v>
      </c>
      <c r="AB138" t="s">
        <v>3046</v>
      </c>
      <c r="AC138" t="s">
        <v>3166</v>
      </c>
      <c r="AD138">
        <v>8</v>
      </c>
      <c r="AF138" t="s">
        <v>3339</v>
      </c>
      <c r="AG138" t="s">
        <v>3436</v>
      </c>
      <c r="AH138">
        <v>8</v>
      </c>
      <c r="AJ138" t="s">
        <v>3568</v>
      </c>
      <c r="AK138" t="s">
        <v>3666</v>
      </c>
      <c r="AL138">
        <v>7</v>
      </c>
      <c r="AN138" t="s">
        <v>3812</v>
      </c>
      <c r="AO138" t="s">
        <v>3943</v>
      </c>
      <c r="AP138">
        <v>6</v>
      </c>
      <c r="AS138" t="s">
        <v>4230</v>
      </c>
      <c r="AU138">
        <v>5</v>
      </c>
      <c r="AW138" t="s">
        <v>4474</v>
      </c>
      <c r="AX138">
        <v>5</v>
      </c>
      <c r="BA138" t="s">
        <v>4720</v>
      </c>
      <c r="BB138">
        <v>5</v>
      </c>
      <c r="BE138" t="s">
        <v>4945</v>
      </c>
      <c r="BG138" t="s">
        <v>5009</v>
      </c>
      <c r="BH138" t="s">
        <v>5191</v>
      </c>
      <c r="BI138" t="s">
        <v>5441</v>
      </c>
      <c r="BJ138" t="s">
        <v>5705</v>
      </c>
      <c r="BK138" t="s">
        <v>6000</v>
      </c>
      <c r="BL138" t="s">
        <v>6207</v>
      </c>
      <c r="BM138" t="s">
        <v>6384</v>
      </c>
      <c r="BN138" t="s">
        <v>6537</v>
      </c>
      <c r="BO138" t="s">
        <v>6694</v>
      </c>
      <c r="BP138" t="s">
        <v>6810</v>
      </c>
      <c r="BT138" t="s">
        <v>6997</v>
      </c>
      <c r="BZ138">
        <v>0</v>
      </c>
      <c r="CA138">
        <v>0</v>
      </c>
      <c r="CD138" s="23"/>
      <c r="CE138" s="23" t="s">
        <v>7964</v>
      </c>
      <c r="CF138" s="144">
        <v>43880.673738425925</v>
      </c>
      <c r="CG138" s="144">
        <v>43880.684224537035</v>
      </c>
      <c r="CH138" t="s">
        <v>8274</v>
      </c>
    </row>
    <row r="139" spans="1:86" ht="15" hidden="1" customHeight="1" x14ac:dyDescent="0.35">
      <c r="A139" t="s">
        <v>670</v>
      </c>
      <c r="B139">
        <v>1</v>
      </c>
      <c r="C139">
        <v>1</v>
      </c>
      <c r="D139" t="s">
        <v>1010</v>
      </c>
      <c r="E139" t="s">
        <v>1216</v>
      </c>
      <c r="I139" t="s">
        <v>1550</v>
      </c>
      <c r="J139">
        <v>6</v>
      </c>
      <c r="M139" t="s">
        <v>1876</v>
      </c>
      <c r="N139">
        <v>7</v>
      </c>
      <c r="Q139" t="s">
        <v>2203</v>
      </c>
      <c r="R139">
        <v>5</v>
      </c>
      <c r="U139" t="s">
        <v>2547</v>
      </c>
      <c r="Y139" t="s">
        <v>2873</v>
      </c>
      <c r="AC139" t="s">
        <v>3166</v>
      </c>
      <c r="AD139">
        <v>8</v>
      </c>
      <c r="AG139" t="s">
        <v>3437</v>
      </c>
      <c r="AK139" t="s">
        <v>3667</v>
      </c>
      <c r="AM139">
        <v>8</v>
      </c>
      <c r="AO139" t="s">
        <v>3944</v>
      </c>
      <c r="AQ139">
        <v>7</v>
      </c>
      <c r="AS139" t="s">
        <v>4231</v>
      </c>
      <c r="AW139" t="s">
        <v>4475</v>
      </c>
      <c r="BA139" t="s">
        <v>4721</v>
      </c>
      <c r="BE139" t="s">
        <v>4945</v>
      </c>
      <c r="BG139" t="s">
        <v>5009</v>
      </c>
      <c r="BH139" t="s">
        <v>5192</v>
      </c>
      <c r="BI139" t="s">
        <v>5442</v>
      </c>
      <c r="BJ139" t="s">
        <v>5706</v>
      </c>
      <c r="BK139" t="s">
        <v>6000</v>
      </c>
      <c r="BL139" t="s">
        <v>6208</v>
      </c>
      <c r="BM139" t="s">
        <v>6384</v>
      </c>
      <c r="BN139" t="s">
        <v>6538</v>
      </c>
      <c r="BO139" t="s">
        <v>6695</v>
      </c>
      <c r="BP139" t="s">
        <v>6810</v>
      </c>
      <c r="BT139" t="s">
        <v>6998</v>
      </c>
      <c r="BZ139">
        <v>0</v>
      </c>
      <c r="CA139">
        <v>0</v>
      </c>
      <c r="CD139" s="23"/>
      <c r="CE139" s="23" t="s">
        <v>7965</v>
      </c>
      <c r="CF139" s="144">
        <v>43880.587025462963</v>
      </c>
      <c r="CG139" s="144">
        <v>43880.591504629629</v>
      </c>
      <c r="CH139" t="s">
        <v>8275</v>
      </c>
    </row>
    <row r="140" spans="1:86" ht="15" hidden="1" customHeight="1" x14ac:dyDescent="0.35">
      <c r="A140" t="s">
        <v>671</v>
      </c>
      <c r="B140">
        <v>1</v>
      </c>
      <c r="C140">
        <v>1</v>
      </c>
      <c r="D140" t="s">
        <v>1011</v>
      </c>
      <c r="E140" t="s">
        <v>1216</v>
      </c>
      <c r="I140" t="s">
        <v>1551</v>
      </c>
      <c r="M140" t="s">
        <v>1877</v>
      </c>
      <c r="Q140" t="s">
        <v>2204</v>
      </c>
      <c r="U140" t="s">
        <v>2547</v>
      </c>
      <c r="Y140" t="s">
        <v>2873</v>
      </c>
      <c r="AC140" t="s">
        <v>3166</v>
      </c>
      <c r="AD140">
        <v>7</v>
      </c>
      <c r="AF140" t="s">
        <v>3340</v>
      </c>
      <c r="AG140" t="s">
        <v>3437</v>
      </c>
      <c r="AK140" t="s">
        <v>3667</v>
      </c>
      <c r="AM140">
        <v>7</v>
      </c>
      <c r="AO140" t="s">
        <v>3945</v>
      </c>
      <c r="AS140" t="s">
        <v>4232</v>
      </c>
      <c r="AU140">
        <v>6</v>
      </c>
      <c r="AW140" t="s">
        <v>4476</v>
      </c>
      <c r="AX140">
        <v>7</v>
      </c>
      <c r="BA140" t="s">
        <v>4721</v>
      </c>
      <c r="BE140" t="s">
        <v>4945</v>
      </c>
      <c r="BG140" t="s">
        <v>5010</v>
      </c>
      <c r="BH140" t="s">
        <v>5192</v>
      </c>
      <c r="BI140" t="s">
        <v>5443</v>
      </c>
      <c r="BJ140" t="s">
        <v>5706</v>
      </c>
      <c r="BK140" t="s">
        <v>6000</v>
      </c>
      <c r="BL140" t="s">
        <v>6208</v>
      </c>
      <c r="BM140" t="s">
        <v>6385</v>
      </c>
      <c r="BN140" t="s">
        <v>6538</v>
      </c>
      <c r="BO140" t="s">
        <v>6695</v>
      </c>
      <c r="BP140" t="s">
        <v>6810</v>
      </c>
      <c r="BT140" t="s">
        <v>6999</v>
      </c>
      <c r="BZ140">
        <v>0</v>
      </c>
      <c r="CA140">
        <v>0</v>
      </c>
      <c r="CD140" s="23"/>
      <c r="CE140" s="23" t="s">
        <v>7965</v>
      </c>
      <c r="CF140" s="144">
        <v>43880.557685185187</v>
      </c>
      <c r="CG140" s="144">
        <v>43880.564236111109</v>
      </c>
      <c r="CH140" t="s">
        <v>8276</v>
      </c>
    </row>
    <row r="141" spans="1:86" ht="15" hidden="1" customHeight="1" x14ac:dyDescent="0.35">
      <c r="A141" t="s">
        <v>672</v>
      </c>
      <c r="B141">
        <v>1</v>
      </c>
      <c r="C141">
        <v>1</v>
      </c>
      <c r="D141" t="s">
        <v>1011</v>
      </c>
      <c r="E141" t="s">
        <v>1217</v>
      </c>
      <c r="F141">
        <v>6</v>
      </c>
      <c r="H141" t="s">
        <v>1396</v>
      </c>
      <c r="I141" t="s">
        <v>1552</v>
      </c>
      <c r="K141">
        <v>5</v>
      </c>
      <c r="L141" t="s">
        <v>1743</v>
      </c>
      <c r="M141" t="s">
        <v>1878</v>
      </c>
      <c r="N141">
        <v>8</v>
      </c>
      <c r="P141" t="s">
        <v>2049</v>
      </c>
      <c r="Q141" t="s">
        <v>2205</v>
      </c>
      <c r="S141">
        <v>6</v>
      </c>
      <c r="T141" t="s">
        <v>2415</v>
      </c>
      <c r="U141" t="s">
        <v>2548</v>
      </c>
      <c r="V141">
        <v>7</v>
      </c>
      <c r="X141" t="s">
        <v>2734</v>
      </c>
      <c r="Y141" t="s">
        <v>2874</v>
      </c>
      <c r="Z141">
        <v>8</v>
      </c>
      <c r="AB141" t="s">
        <v>3047</v>
      </c>
      <c r="AC141" t="s">
        <v>3167</v>
      </c>
      <c r="AG141" t="s">
        <v>3438</v>
      </c>
      <c r="AH141">
        <v>5</v>
      </c>
      <c r="AJ141" t="s">
        <v>3569</v>
      </c>
      <c r="AK141" t="s">
        <v>3668</v>
      </c>
      <c r="AL141">
        <v>8</v>
      </c>
      <c r="AN141" t="s">
        <v>3813</v>
      </c>
      <c r="AO141" t="s">
        <v>3945</v>
      </c>
      <c r="AS141" t="s">
        <v>4233</v>
      </c>
      <c r="AW141" t="s">
        <v>4477</v>
      </c>
      <c r="AY141">
        <v>7</v>
      </c>
      <c r="AZ141" t="s">
        <v>4616</v>
      </c>
      <c r="BA141" t="s">
        <v>4722</v>
      </c>
      <c r="BC141">
        <v>8</v>
      </c>
      <c r="BD141" t="s">
        <v>4866</v>
      </c>
      <c r="BE141" t="s">
        <v>4945</v>
      </c>
      <c r="BG141" t="s">
        <v>5011</v>
      </c>
      <c r="BH141" t="s">
        <v>5192</v>
      </c>
      <c r="BI141" t="s">
        <v>5444</v>
      </c>
      <c r="BJ141" t="s">
        <v>5707</v>
      </c>
      <c r="BK141" t="s">
        <v>6001</v>
      </c>
      <c r="BL141" t="s">
        <v>6209</v>
      </c>
      <c r="BM141" t="s">
        <v>6386</v>
      </c>
      <c r="BN141" t="s">
        <v>6538</v>
      </c>
      <c r="BO141" t="s">
        <v>6695</v>
      </c>
      <c r="BP141" t="s">
        <v>6810</v>
      </c>
      <c r="BT141" t="s">
        <v>7000</v>
      </c>
      <c r="BZ141">
        <v>0</v>
      </c>
      <c r="CA141">
        <v>1</v>
      </c>
      <c r="CB141" t="s">
        <v>7661</v>
      </c>
      <c r="CC141" t="s">
        <v>7727</v>
      </c>
      <c r="CD141" s="23" t="s">
        <v>7809</v>
      </c>
      <c r="CE141" s="23" t="s">
        <v>7966</v>
      </c>
      <c r="CF141" s="144">
        <v>43880.414837962962</v>
      </c>
      <c r="CG141" s="144">
        <v>43880.421493055554</v>
      </c>
      <c r="CH141" t="s">
        <v>8277</v>
      </c>
    </row>
    <row r="142" spans="1:86" ht="15" hidden="1" customHeight="1" x14ac:dyDescent="0.35">
      <c r="A142" t="s">
        <v>673</v>
      </c>
      <c r="B142">
        <v>1</v>
      </c>
      <c r="C142">
        <v>1</v>
      </c>
      <c r="D142" t="s">
        <v>1012</v>
      </c>
      <c r="E142" t="s">
        <v>1217</v>
      </c>
      <c r="F142">
        <v>6</v>
      </c>
      <c r="I142" t="s">
        <v>1553</v>
      </c>
      <c r="J142">
        <v>6</v>
      </c>
      <c r="M142" t="s">
        <v>1878</v>
      </c>
      <c r="N142">
        <v>5</v>
      </c>
      <c r="Q142" t="s">
        <v>2205</v>
      </c>
      <c r="S142">
        <v>6</v>
      </c>
      <c r="U142" t="s">
        <v>2549</v>
      </c>
      <c r="W142">
        <v>7</v>
      </c>
      <c r="Y142" t="s">
        <v>2874</v>
      </c>
      <c r="Z142">
        <v>6</v>
      </c>
      <c r="AC142" t="s">
        <v>3168</v>
      </c>
      <c r="AD142">
        <v>5</v>
      </c>
      <c r="AG142" t="s">
        <v>3438</v>
      </c>
      <c r="AH142">
        <v>5</v>
      </c>
      <c r="AK142" t="s">
        <v>3668</v>
      </c>
      <c r="AL142">
        <v>5</v>
      </c>
      <c r="AO142" t="s">
        <v>3946</v>
      </c>
      <c r="AQ142">
        <v>6</v>
      </c>
      <c r="AS142" t="s">
        <v>4234</v>
      </c>
      <c r="AT142">
        <v>6</v>
      </c>
      <c r="AW142" t="s">
        <v>4477</v>
      </c>
      <c r="AY142">
        <v>7</v>
      </c>
      <c r="BA142" t="s">
        <v>4722</v>
      </c>
      <c r="BC142">
        <v>7</v>
      </c>
      <c r="BE142" t="s">
        <v>4945</v>
      </c>
      <c r="BG142" t="s">
        <v>5011</v>
      </c>
      <c r="BH142" t="s">
        <v>5193</v>
      </c>
      <c r="BI142" t="s">
        <v>5444</v>
      </c>
      <c r="BJ142" t="s">
        <v>5708</v>
      </c>
      <c r="BK142" t="s">
        <v>6002</v>
      </c>
      <c r="BL142" t="s">
        <v>6209</v>
      </c>
      <c r="BM142" t="s">
        <v>6386</v>
      </c>
      <c r="BN142" t="s">
        <v>6539</v>
      </c>
      <c r="BO142" t="s">
        <v>6696</v>
      </c>
      <c r="BP142" t="s">
        <v>6810</v>
      </c>
      <c r="BT142" t="s">
        <v>7000</v>
      </c>
      <c r="BZ142">
        <v>0</v>
      </c>
      <c r="CA142">
        <v>0</v>
      </c>
      <c r="CD142" s="23"/>
      <c r="CE142" s="23" t="s">
        <v>7966</v>
      </c>
      <c r="CF142" s="144">
        <v>43879.749976851854</v>
      </c>
      <c r="CG142" s="144">
        <v>43879.760208333333</v>
      </c>
      <c r="CH142" t="s">
        <v>8278</v>
      </c>
    </row>
    <row r="143" spans="1:86" ht="15" hidden="1" customHeight="1" x14ac:dyDescent="0.35">
      <c r="A143" t="s">
        <v>674</v>
      </c>
      <c r="B143">
        <v>1</v>
      </c>
      <c r="C143">
        <v>1</v>
      </c>
      <c r="D143" t="s">
        <v>1013</v>
      </c>
      <c r="E143" t="s">
        <v>1217</v>
      </c>
      <c r="F143">
        <v>7</v>
      </c>
      <c r="H143" t="s">
        <v>1397</v>
      </c>
      <c r="I143" t="s">
        <v>1553</v>
      </c>
      <c r="J143">
        <v>7</v>
      </c>
      <c r="L143" t="s">
        <v>1744</v>
      </c>
      <c r="M143" t="s">
        <v>1879</v>
      </c>
      <c r="O143">
        <v>5</v>
      </c>
      <c r="P143" t="s">
        <v>2050</v>
      </c>
      <c r="Q143" t="s">
        <v>2206</v>
      </c>
      <c r="R143">
        <v>6</v>
      </c>
      <c r="T143" t="s">
        <v>2416</v>
      </c>
      <c r="U143" t="s">
        <v>2549</v>
      </c>
      <c r="W143">
        <v>6</v>
      </c>
      <c r="X143" t="s">
        <v>2735</v>
      </c>
      <c r="Y143" t="s">
        <v>2875</v>
      </c>
      <c r="AA143">
        <v>6</v>
      </c>
      <c r="AC143" t="s">
        <v>3168</v>
      </c>
      <c r="AD143">
        <v>8</v>
      </c>
      <c r="AF143" t="s">
        <v>3341</v>
      </c>
      <c r="AG143" t="s">
        <v>3438</v>
      </c>
      <c r="AH143">
        <v>8</v>
      </c>
      <c r="AJ143" t="s">
        <v>3570</v>
      </c>
      <c r="AK143" t="s">
        <v>3668</v>
      </c>
      <c r="AL143">
        <v>6</v>
      </c>
      <c r="AO143" t="s">
        <v>3947</v>
      </c>
      <c r="AP143">
        <v>7</v>
      </c>
      <c r="AR143" t="s">
        <v>4120</v>
      </c>
      <c r="AS143" t="s">
        <v>4234</v>
      </c>
      <c r="AT143">
        <v>7</v>
      </c>
      <c r="AW143" t="s">
        <v>4477</v>
      </c>
      <c r="AY143">
        <v>6</v>
      </c>
      <c r="AZ143" t="s">
        <v>4617</v>
      </c>
      <c r="BA143" t="s">
        <v>4722</v>
      </c>
      <c r="BC143">
        <v>7</v>
      </c>
      <c r="BD143" t="s">
        <v>4867</v>
      </c>
      <c r="BE143" t="s">
        <v>4945</v>
      </c>
      <c r="BG143" t="s">
        <v>5011</v>
      </c>
      <c r="BH143" t="s">
        <v>5194</v>
      </c>
      <c r="BI143" t="s">
        <v>5445</v>
      </c>
      <c r="BJ143" t="s">
        <v>5709</v>
      </c>
      <c r="BK143" t="s">
        <v>6002</v>
      </c>
      <c r="BL143" t="s">
        <v>6209</v>
      </c>
      <c r="BM143" t="s">
        <v>6386</v>
      </c>
      <c r="BN143" t="s">
        <v>6540</v>
      </c>
      <c r="BO143" t="s">
        <v>6697</v>
      </c>
      <c r="BP143" t="s">
        <v>6810</v>
      </c>
      <c r="BT143" t="s">
        <v>7000</v>
      </c>
      <c r="BZ143">
        <v>0</v>
      </c>
      <c r="CA143">
        <v>0</v>
      </c>
      <c r="CD143" s="23"/>
      <c r="CE143" s="23" t="s">
        <v>7967</v>
      </c>
      <c r="CF143" s="144">
        <v>43878.406435185185</v>
      </c>
      <c r="CG143" s="144">
        <v>43878.416087962964</v>
      </c>
      <c r="CH143" t="s">
        <v>8279</v>
      </c>
    </row>
    <row r="144" spans="1:86" ht="15" hidden="1" customHeight="1" x14ac:dyDescent="0.35">
      <c r="A144" t="s">
        <v>675</v>
      </c>
      <c r="B144">
        <v>1</v>
      </c>
      <c r="C144">
        <v>1</v>
      </c>
      <c r="D144" t="s">
        <v>1013</v>
      </c>
      <c r="E144" t="s">
        <v>1218</v>
      </c>
      <c r="I144" t="s">
        <v>1554</v>
      </c>
      <c r="M144" t="s">
        <v>1880</v>
      </c>
      <c r="Q144" t="s">
        <v>2207</v>
      </c>
      <c r="S144">
        <v>5</v>
      </c>
      <c r="U144" t="s">
        <v>2550</v>
      </c>
      <c r="Y144" t="s">
        <v>2876</v>
      </c>
      <c r="AC144" t="s">
        <v>3169</v>
      </c>
      <c r="AG144" t="s">
        <v>3439</v>
      </c>
      <c r="AK144" t="s">
        <v>3669</v>
      </c>
      <c r="AO144" t="s">
        <v>3948</v>
      </c>
      <c r="BE144" t="s">
        <v>4945</v>
      </c>
      <c r="BG144" t="s">
        <v>5011</v>
      </c>
      <c r="BH144" t="s">
        <v>5195</v>
      </c>
      <c r="BI144" t="s">
        <v>5446</v>
      </c>
      <c r="BJ144" t="s">
        <v>5710</v>
      </c>
      <c r="BK144" t="s">
        <v>6003</v>
      </c>
      <c r="BL144" t="s">
        <v>6209</v>
      </c>
      <c r="BM144" t="s">
        <v>6386</v>
      </c>
      <c r="BN144" t="s">
        <v>6540</v>
      </c>
      <c r="BO144" t="s">
        <v>6697</v>
      </c>
      <c r="BP144" t="s">
        <v>6810</v>
      </c>
      <c r="BT144" t="s">
        <v>7001</v>
      </c>
      <c r="BZ144">
        <v>0</v>
      </c>
      <c r="CA144">
        <v>0</v>
      </c>
      <c r="CD144" s="23"/>
      <c r="CE144" s="23" t="s">
        <v>7968</v>
      </c>
      <c r="CF144" s="144">
        <v>43878.408819444441</v>
      </c>
      <c r="CG144" s="144">
        <v>43878.415995370371</v>
      </c>
      <c r="CH144" t="s">
        <v>8279</v>
      </c>
    </row>
    <row r="145" spans="1:86" ht="15" hidden="1" customHeight="1" x14ac:dyDescent="0.35">
      <c r="A145" t="s">
        <v>676</v>
      </c>
      <c r="B145">
        <v>1</v>
      </c>
      <c r="C145">
        <v>1</v>
      </c>
      <c r="D145" t="s">
        <v>1014</v>
      </c>
      <c r="E145" t="s">
        <v>1218</v>
      </c>
      <c r="I145" t="s">
        <v>1555</v>
      </c>
      <c r="J145">
        <v>8</v>
      </c>
      <c r="L145" t="s">
        <v>1745</v>
      </c>
      <c r="M145" t="s">
        <v>1881</v>
      </c>
      <c r="N145">
        <v>8</v>
      </c>
      <c r="P145" t="s">
        <v>2051</v>
      </c>
      <c r="Q145" t="s">
        <v>2207</v>
      </c>
      <c r="S145">
        <v>8</v>
      </c>
      <c r="T145" t="s">
        <v>2417</v>
      </c>
      <c r="U145" t="s">
        <v>2551</v>
      </c>
      <c r="W145">
        <v>8</v>
      </c>
      <c r="Y145" t="s">
        <v>2877</v>
      </c>
      <c r="Z145">
        <v>8</v>
      </c>
      <c r="AC145" t="s">
        <v>3169</v>
      </c>
      <c r="AG145" t="s">
        <v>3440</v>
      </c>
      <c r="AH145">
        <v>8</v>
      </c>
      <c r="AK145" t="s">
        <v>3670</v>
      </c>
      <c r="AL145">
        <v>8</v>
      </c>
      <c r="AO145" t="s">
        <v>3948</v>
      </c>
      <c r="AS145" t="s">
        <v>4235</v>
      </c>
      <c r="AW145" t="s">
        <v>4478</v>
      </c>
      <c r="BA145" t="s">
        <v>4722</v>
      </c>
      <c r="BC145">
        <v>8</v>
      </c>
      <c r="BE145" t="s">
        <v>4945</v>
      </c>
      <c r="BG145" t="s">
        <v>5011</v>
      </c>
      <c r="BH145" t="s">
        <v>5196</v>
      </c>
      <c r="BI145" t="s">
        <v>5447</v>
      </c>
      <c r="BJ145" t="s">
        <v>5711</v>
      </c>
      <c r="BK145" t="s">
        <v>6004</v>
      </c>
      <c r="BL145" t="s">
        <v>6210</v>
      </c>
      <c r="BM145" t="s">
        <v>6386</v>
      </c>
      <c r="BN145" t="s">
        <v>6541</v>
      </c>
      <c r="BO145" t="s">
        <v>6698</v>
      </c>
      <c r="BP145" t="s">
        <v>6810</v>
      </c>
      <c r="BT145" t="s">
        <v>7002</v>
      </c>
      <c r="BZ145">
        <v>0</v>
      </c>
      <c r="CA145">
        <v>0</v>
      </c>
      <c r="CD145" s="23"/>
      <c r="CE145" s="23" t="s">
        <v>7969</v>
      </c>
      <c r="CF145" s="144">
        <v>43874.835821759261</v>
      </c>
      <c r="CG145" s="144">
        <v>43874.844259259262</v>
      </c>
      <c r="CH145" t="s">
        <v>8280</v>
      </c>
    </row>
    <row r="146" spans="1:86" ht="15" hidden="1" customHeight="1" x14ac:dyDescent="0.35">
      <c r="A146" t="s">
        <v>677</v>
      </c>
      <c r="B146">
        <v>1</v>
      </c>
      <c r="C146">
        <v>1</v>
      </c>
      <c r="D146" t="s">
        <v>1015</v>
      </c>
      <c r="E146" t="s">
        <v>1219</v>
      </c>
      <c r="F146">
        <v>6</v>
      </c>
      <c r="H146" t="s">
        <v>1398</v>
      </c>
      <c r="I146" t="s">
        <v>1556</v>
      </c>
      <c r="K146">
        <v>7</v>
      </c>
      <c r="L146" t="s">
        <v>1746</v>
      </c>
      <c r="M146" t="s">
        <v>1881</v>
      </c>
      <c r="N146">
        <v>6</v>
      </c>
      <c r="P146" t="s">
        <v>2052</v>
      </c>
      <c r="Q146" t="s">
        <v>2207</v>
      </c>
      <c r="S146">
        <v>8</v>
      </c>
      <c r="T146" t="s">
        <v>2418</v>
      </c>
      <c r="U146" t="s">
        <v>2552</v>
      </c>
      <c r="V146">
        <v>6</v>
      </c>
      <c r="X146" t="s">
        <v>2736</v>
      </c>
      <c r="Y146" t="s">
        <v>2877</v>
      </c>
      <c r="Z146">
        <v>8</v>
      </c>
      <c r="AB146" t="s">
        <v>3048</v>
      </c>
      <c r="AC146" t="s">
        <v>3169</v>
      </c>
      <c r="AG146" t="s">
        <v>3441</v>
      </c>
      <c r="AK146" t="s">
        <v>3670</v>
      </c>
      <c r="AL146">
        <v>8</v>
      </c>
      <c r="AN146" t="s">
        <v>3814</v>
      </c>
      <c r="AO146" t="s">
        <v>3948</v>
      </c>
      <c r="AS146" t="s">
        <v>4235</v>
      </c>
      <c r="AW146" t="s">
        <v>4478</v>
      </c>
      <c r="BA146" t="s">
        <v>4723</v>
      </c>
      <c r="BE146" t="s">
        <v>4945</v>
      </c>
      <c r="BG146" t="s">
        <v>5012</v>
      </c>
      <c r="BH146" t="s">
        <v>5197</v>
      </c>
      <c r="BI146" t="s">
        <v>5448</v>
      </c>
      <c r="BJ146" t="s">
        <v>5712</v>
      </c>
      <c r="BK146" t="s">
        <v>6004</v>
      </c>
      <c r="BL146" t="s">
        <v>6210</v>
      </c>
      <c r="BM146" t="s">
        <v>6387</v>
      </c>
      <c r="BN146" t="s">
        <v>6542</v>
      </c>
      <c r="BO146" t="s">
        <v>6699</v>
      </c>
      <c r="BP146" t="s">
        <v>6810</v>
      </c>
      <c r="BT146" t="s">
        <v>7002</v>
      </c>
      <c r="BZ146">
        <v>0</v>
      </c>
      <c r="CA146">
        <v>0</v>
      </c>
      <c r="CD146" s="23"/>
      <c r="CE146" s="23" t="s">
        <v>7969</v>
      </c>
      <c r="CF146" s="144">
        <v>43873.563993055555</v>
      </c>
      <c r="CG146" s="144">
        <v>43873.567708333336</v>
      </c>
      <c r="CH146" t="s">
        <v>8281</v>
      </c>
    </row>
    <row r="147" spans="1:86" ht="15" hidden="1" customHeight="1" x14ac:dyDescent="0.35">
      <c r="A147" t="s">
        <v>678</v>
      </c>
      <c r="B147">
        <v>1</v>
      </c>
      <c r="C147">
        <v>1</v>
      </c>
      <c r="D147" t="s">
        <v>1016</v>
      </c>
      <c r="E147" t="s">
        <v>1219</v>
      </c>
      <c r="F147">
        <v>7</v>
      </c>
      <c r="H147" t="s">
        <v>1399</v>
      </c>
      <c r="I147" t="s">
        <v>1557</v>
      </c>
      <c r="J147">
        <v>7</v>
      </c>
      <c r="L147" t="s">
        <v>1747</v>
      </c>
      <c r="M147" t="s">
        <v>1882</v>
      </c>
      <c r="Q147" t="s">
        <v>2208</v>
      </c>
      <c r="U147" t="s">
        <v>2553</v>
      </c>
      <c r="Y147" t="s">
        <v>2878</v>
      </c>
      <c r="AA147">
        <v>6</v>
      </c>
      <c r="AB147" t="s">
        <v>3049</v>
      </c>
      <c r="AC147" t="s">
        <v>3170</v>
      </c>
      <c r="AD147">
        <v>7</v>
      </c>
      <c r="AF147" t="s">
        <v>3342</v>
      </c>
      <c r="AG147" t="s">
        <v>3441</v>
      </c>
      <c r="AK147" t="s">
        <v>3671</v>
      </c>
      <c r="AO147" t="s">
        <v>3948</v>
      </c>
      <c r="AS147" t="s">
        <v>4235</v>
      </c>
      <c r="AW147" t="s">
        <v>4478</v>
      </c>
      <c r="BA147" t="s">
        <v>4723</v>
      </c>
      <c r="BE147" t="s">
        <v>4945</v>
      </c>
      <c r="BG147" t="s">
        <v>5012</v>
      </c>
      <c r="BH147" t="s">
        <v>5198</v>
      </c>
      <c r="BI147" t="s">
        <v>5449</v>
      </c>
      <c r="BJ147" t="s">
        <v>5712</v>
      </c>
      <c r="BK147" t="s">
        <v>6004</v>
      </c>
      <c r="BL147" t="s">
        <v>6210</v>
      </c>
      <c r="BM147" t="s">
        <v>6387</v>
      </c>
      <c r="BN147" t="s">
        <v>6543</v>
      </c>
      <c r="BO147" t="s">
        <v>6700</v>
      </c>
      <c r="BP147" t="s">
        <v>6810</v>
      </c>
      <c r="BT147" t="s">
        <v>7003</v>
      </c>
      <c r="BZ147">
        <v>0</v>
      </c>
      <c r="CA147">
        <v>0</v>
      </c>
      <c r="CD147" s="23"/>
      <c r="CE147" s="23" t="s">
        <v>7969</v>
      </c>
      <c r="CF147" s="144">
        <v>43872.985289351855</v>
      </c>
      <c r="CG147" s="144">
        <v>43872.998726851853</v>
      </c>
      <c r="CH147" t="s">
        <v>8282</v>
      </c>
    </row>
    <row r="148" spans="1:86" ht="15" hidden="1" customHeight="1" x14ac:dyDescent="0.35">
      <c r="A148" t="s">
        <v>679</v>
      </c>
      <c r="B148">
        <v>1</v>
      </c>
      <c r="C148">
        <v>1</v>
      </c>
      <c r="D148" t="s">
        <v>1017</v>
      </c>
      <c r="E148" t="s">
        <v>1219</v>
      </c>
      <c r="F148">
        <v>7</v>
      </c>
      <c r="I148" t="s">
        <v>1558</v>
      </c>
      <c r="K148">
        <v>6</v>
      </c>
      <c r="M148" t="s">
        <v>1883</v>
      </c>
      <c r="N148">
        <v>7</v>
      </c>
      <c r="Q148" t="s">
        <v>2209</v>
      </c>
      <c r="R148">
        <v>7</v>
      </c>
      <c r="U148" t="s">
        <v>2554</v>
      </c>
      <c r="V148">
        <v>7</v>
      </c>
      <c r="Y148" t="s">
        <v>2879</v>
      </c>
      <c r="Z148">
        <v>7</v>
      </c>
      <c r="AC148" t="s">
        <v>3170</v>
      </c>
      <c r="AD148">
        <v>7</v>
      </c>
      <c r="AG148" t="s">
        <v>3441</v>
      </c>
      <c r="AK148" t="s">
        <v>3671</v>
      </c>
      <c r="AO148" t="s">
        <v>3948</v>
      </c>
      <c r="AS148" t="s">
        <v>4236</v>
      </c>
      <c r="AT148">
        <v>7</v>
      </c>
      <c r="AW148" t="s">
        <v>4478</v>
      </c>
      <c r="BA148" t="s">
        <v>4723</v>
      </c>
      <c r="BE148" t="s">
        <v>4945</v>
      </c>
      <c r="BG148" t="s">
        <v>5013</v>
      </c>
      <c r="BH148" t="s">
        <v>5199</v>
      </c>
      <c r="BI148" t="s">
        <v>5449</v>
      </c>
      <c r="BJ148" t="s">
        <v>5713</v>
      </c>
      <c r="BK148" t="s">
        <v>6004</v>
      </c>
      <c r="BL148" t="s">
        <v>6211</v>
      </c>
      <c r="BM148" t="s">
        <v>6388</v>
      </c>
      <c r="BN148" t="s">
        <v>6544</v>
      </c>
      <c r="BO148" t="s">
        <v>6700</v>
      </c>
      <c r="BP148" t="s">
        <v>6810</v>
      </c>
      <c r="BT148" t="s">
        <v>7004</v>
      </c>
      <c r="BZ148">
        <v>0</v>
      </c>
      <c r="CA148">
        <v>0</v>
      </c>
      <c r="CD148" s="23"/>
      <c r="CE148" s="23" t="s">
        <v>7969</v>
      </c>
      <c r="CF148" s="144">
        <v>43872.569016203706</v>
      </c>
      <c r="CG148" s="144">
        <v>43872.574386574073</v>
      </c>
      <c r="CH148" t="s">
        <v>8283</v>
      </c>
    </row>
    <row r="149" spans="1:86" ht="15" hidden="1" customHeight="1" x14ac:dyDescent="0.35">
      <c r="A149" t="s">
        <v>680</v>
      </c>
      <c r="B149">
        <v>1</v>
      </c>
      <c r="C149">
        <v>1</v>
      </c>
      <c r="D149" t="s">
        <v>1018</v>
      </c>
      <c r="E149" t="s">
        <v>1219</v>
      </c>
      <c r="F149">
        <v>7</v>
      </c>
      <c r="H149" t="s">
        <v>1400</v>
      </c>
      <c r="I149" t="s">
        <v>1559</v>
      </c>
      <c r="J149">
        <v>8</v>
      </c>
      <c r="L149" t="s">
        <v>1748</v>
      </c>
      <c r="M149" t="s">
        <v>1883</v>
      </c>
      <c r="N149">
        <v>7</v>
      </c>
      <c r="P149" t="s">
        <v>2053</v>
      </c>
      <c r="Q149" t="s">
        <v>2210</v>
      </c>
      <c r="U149" t="s">
        <v>2555</v>
      </c>
      <c r="Y149" t="s">
        <v>2880</v>
      </c>
      <c r="AC149" t="s">
        <v>3171</v>
      </c>
      <c r="AG149" t="s">
        <v>3441</v>
      </c>
      <c r="AK149" t="s">
        <v>3672</v>
      </c>
      <c r="AL149">
        <v>7</v>
      </c>
      <c r="AN149" t="s">
        <v>3815</v>
      </c>
      <c r="AO149" t="s">
        <v>3948</v>
      </c>
      <c r="AS149" t="s">
        <v>4237</v>
      </c>
      <c r="AW149" t="s">
        <v>4479</v>
      </c>
      <c r="AX149">
        <v>7</v>
      </c>
      <c r="AZ149" t="s">
        <v>4618</v>
      </c>
      <c r="BA149" t="s">
        <v>4723</v>
      </c>
      <c r="BE149" t="s">
        <v>4945</v>
      </c>
      <c r="BG149" t="s">
        <v>5014</v>
      </c>
      <c r="BH149" t="s">
        <v>5200</v>
      </c>
      <c r="BI149" t="s">
        <v>5449</v>
      </c>
      <c r="BJ149" t="s">
        <v>5714</v>
      </c>
      <c r="BK149" t="s">
        <v>6004</v>
      </c>
      <c r="BL149" t="s">
        <v>6211</v>
      </c>
      <c r="BM149" t="s">
        <v>6388</v>
      </c>
      <c r="BN149" t="s">
        <v>6544</v>
      </c>
      <c r="BO149" t="s">
        <v>6701</v>
      </c>
      <c r="BP149" t="s">
        <v>6810</v>
      </c>
      <c r="BT149" t="s">
        <v>7005</v>
      </c>
      <c r="BZ149">
        <v>0</v>
      </c>
      <c r="CA149">
        <v>0</v>
      </c>
      <c r="CD149" s="23"/>
      <c r="CE149" s="23" t="s">
        <v>7970</v>
      </c>
      <c r="CF149" s="144">
        <v>43870.580289351848</v>
      </c>
      <c r="CG149" s="144">
        <v>43870.59579861111</v>
      </c>
      <c r="CH149" t="s">
        <v>8284</v>
      </c>
    </row>
    <row r="150" spans="1:86" ht="15" hidden="1" customHeight="1" x14ac:dyDescent="0.35">
      <c r="A150" t="s">
        <v>681</v>
      </c>
      <c r="B150">
        <v>1</v>
      </c>
      <c r="C150">
        <v>1</v>
      </c>
      <c r="D150" t="s">
        <v>1018</v>
      </c>
      <c r="E150" t="s">
        <v>1219</v>
      </c>
      <c r="F150">
        <v>7</v>
      </c>
      <c r="I150" t="s">
        <v>1559</v>
      </c>
      <c r="J150">
        <v>5</v>
      </c>
      <c r="M150" t="s">
        <v>1883</v>
      </c>
      <c r="N150">
        <v>8</v>
      </c>
      <c r="Q150" t="s">
        <v>2211</v>
      </c>
      <c r="S150">
        <v>5</v>
      </c>
      <c r="U150" t="s">
        <v>2556</v>
      </c>
      <c r="W150">
        <v>5</v>
      </c>
      <c r="Y150" t="s">
        <v>2881</v>
      </c>
      <c r="AA150">
        <v>5</v>
      </c>
      <c r="AC150" t="s">
        <v>3171</v>
      </c>
      <c r="AG150" t="s">
        <v>3441</v>
      </c>
      <c r="AK150" t="s">
        <v>3673</v>
      </c>
      <c r="AO150" t="s">
        <v>3949</v>
      </c>
      <c r="AP150">
        <v>8</v>
      </c>
      <c r="AS150" t="s">
        <v>4238</v>
      </c>
      <c r="AU150">
        <v>5</v>
      </c>
      <c r="AW150" t="s">
        <v>4480</v>
      </c>
      <c r="AY150">
        <v>6</v>
      </c>
      <c r="BA150" t="s">
        <v>4723</v>
      </c>
      <c r="BE150" t="s">
        <v>4945</v>
      </c>
      <c r="BG150" t="s">
        <v>5014</v>
      </c>
      <c r="BH150" t="s">
        <v>5201</v>
      </c>
      <c r="BI150" t="s">
        <v>5449</v>
      </c>
      <c r="BJ150" t="s">
        <v>5714</v>
      </c>
      <c r="BK150" t="s">
        <v>6005</v>
      </c>
      <c r="BL150" t="s">
        <v>6211</v>
      </c>
      <c r="BM150" t="s">
        <v>6388</v>
      </c>
      <c r="BN150" t="s">
        <v>6545</v>
      </c>
      <c r="BO150" t="s">
        <v>6702</v>
      </c>
      <c r="BP150" t="s">
        <v>6810</v>
      </c>
      <c r="BT150" t="s">
        <v>7005</v>
      </c>
      <c r="BZ150">
        <v>0</v>
      </c>
      <c r="CA150">
        <v>0</v>
      </c>
      <c r="CD150" s="23"/>
      <c r="CE150" s="23" t="s">
        <v>7971</v>
      </c>
      <c r="CF150" s="144">
        <v>43869.690671296295</v>
      </c>
      <c r="CG150" s="144">
        <v>43869.698530092595</v>
      </c>
      <c r="CH150" t="s">
        <v>8285</v>
      </c>
    </row>
    <row r="151" spans="1:86" ht="15" hidden="1" customHeight="1" x14ac:dyDescent="0.35">
      <c r="A151" t="s">
        <v>682</v>
      </c>
      <c r="B151">
        <v>1</v>
      </c>
      <c r="C151">
        <v>1</v>
      </c>
      <c r="D151" t="s">
        <v>1018</v>
      </c>
      <c r="E151" t="s">
        <v>1220</v>
      </c>
      <c r="G151">
        <v>6</v>
      </c>
      <c r="I151" t="s">
        <v>1559</v>
      </c>
      <c r="J151">
        <v>7</v>
      </c>
      <c r="M151" t="s">
        <v>1883</v>
      </c>
      <c r="N151">
        <v>8</v>
      </c>
      <c r="Q151" t="s">
        <v>2212</v>
      </c>
      <c r="R151">
        <v>8</v>
      </c>
      <c r="U151" t="s">
        <v>2557</v>
      </c>
      <c r="V151">
        <v>8</v>
      </c>
      <c r="Y151" t="s">
        <v>2881</v>
      </c>
      <c r="AA151">
        <v>8</v>
      </c>
      <c r="AC151" t="s">
        <v>3172</v>
      </c>
      <c r="AD151">
        <v>8</v>
      </c>
      <c r="AG151" t="s">
        <v>3441</v>
      </c>
      <c r="AK151" t="s">
        <v>3674</v>
      </c>
      <c r="AL151">
        <v>7</v>
      </c>
      <c r="AO151" t="s">
        <v>3949</v>
      </c>
      <c r="AP151">
        <v>8</v>
      </c>
      <c r="AS151" t="s">
        <v>4239</v>
      </c>
      <c r="AT151">
        <v>8</v>
      </c>
      <c r="AW151" t="s">
        <v>4480</v>
      </c>
      <c r="AY151">
        <v>8</v>
      </c>
      <c r="BA151" t="s">
        <v>4724</v>
      </c>
      <c r="BC151">
        <v>8</v>
      </c>
      <c r="BG151" t="s">
        <v>5015</v>
      </c>
      <c r="BH151" t="s">
        <v>5202</v>
      </c>
      <c r="BI151" t="s">
        <v>5450</v>
      </c>
      <c r="BJ151" t="s">
        <v>5715</v>
      </c>
      <c r="BK151" t="s">
        <v>6006</v>
      </c>
      <c r="BL151" t="s">
        <v>6211</v>
      </c>
      <c r="BM151" t="s">
        <v>6388</v>
      </c>
      <c r="BN151" t="s">
        <v>6546</v>
      </c>
      <c r="BO151" t="s">
        <v>6703</v>
      </c>
      <c r="BP151" t="s">
        <v>6810</v>
      </c>
      <c r="BT151" t="s">
        <v>7006</v>
      </c>
      <c r="BZ151">
        <v>1</v>
      </c>
      <c r="CA151">
        <v>0</v>
      </c>
      <c r="CD151" s="23"/>
      <c r="CE151" s="23" t="s">
        <v>7972</v>
      </c>
      <c r="CF151" s="144">
        <v>43869.656747685185</v>
      </c>
      <c r="CG151" s="144">
        <v>43869.660312499997</v>
      </c>
      <c r="CH151" s="24" t="s">
        <v>8285</v>
      </c>
    </row>
    <row r="152" spans="1:86" ht="15" hidden="1" customHeight="1" x14ac:dyDescent="0.35">
      <c r="A152" t="s">
        <v>683</v>
      </c>
      <c r="B152">
        <v>1</v>
      </c>
      <c r="C152">
        <v>1</v>
      </c>
      <c r="D152" t="s">
        <v>1018</v>
      </c>
      <c r="E152" t="s">
        <v>1221</v>
      </c>
      <c r="F152">
        <v>7</v>
      </c>
      <c r="I152" t="s">
        <v>1560</v>
      </c>
      <c r="M152" t="s">
        <v>1883</v>
      </c>
      <c r="N152">
        <v>7</v>
      </c>
      <c r="Q152" t="s">
        <v>2213</v>
      </c>
      <c r="S152">
        <v>7</v>
      </c>
      <c r="T152" t="s">
        <v>2419</v>
      </c>
      <c r="U152" t="s">
        <v>2558</v>
      </c>
      <c r="W152">
        <v>7</v>
      </c>
      <c r="Y152" t="s">
        <v>2882</v>
      </c>
      <c r="Z152">
        <v>7</v>
      </c>
      <c r="AC152" t="s">
        <v>3173</v>
      </c>
      <c r="AG152" t="s">
        <v>3441</v>
      </c>
      <c r="AK152" t="s">
        <v>3675</v>
      </c>
      <c r="AO152" t="s">
        <v>3950</v>
      </c>
      <c r="AS152" t="s">
        <v>4240</v>
      </c>
      <c r="AU152">
        <v>5</v>
      </c>
      <c r="AW152" t="s">
        <v>4480</v>
      </c>
      <c r="AY152">
        <v>8</v>
      </c>
      <c r="BA152" t="s">
        <v>4725</v>
      </c>
      <c r="BE152" t="s">
        <v>4945</v>
      </c>
      <c r="BG152" t="s">
        <v>5015</v>
      </c>
      <c r="BH152" t="s">
        <v>5203</v>
      </c>
      <c r="BI152" t="s">
        <v>5450</v>
      </c>
      <c r="BJ152" t="s">
        <v>5716</v>
      </c>
      <c r="BK152" t="s">
        <v>6007</v>
      </c>
      <c r="BL152" t="s">
        <v>6211</v>
      </c>
      <c r="BM152" t="s">
        <v>6388</v>
      </c>
      <c r="BN152" t="s">
        <v>6546</v>
      </c>
      <c r="BO152" t="s">
        <v>6703</v>
      </c>
      <c r="BP152" t="s">
        <v>6810</v>
      </c>
      <c r="BT152" t="s">
        <v>7007</v>
      </c>
      <c r="BZ152">
        <v>0</v>
      </c>
      <c r="CA152">
        <v>0</v>
      </c>
      <c r="CD152" s="23"/>
      <c r="CE152" s="23" t="s">
        <v>7973</v>
      </c>
      <c r="CF152" s="144">
        <v>43868.835347222222</v>
      </c>
      <c r="CG152" s="144">
        <v>43868.842152777775</v>
      </c>
      <c r="CH152" t="s">
        <v>8286</v>
      </c>
    </row>
    <row r="153" spans="1:86" ht="15" hidden="1" customHeight="1" x14ac:dyDescent="0.35">
      <c r="A153" t="s">
        <v>684</v>
      </c>
      <c r="B153">
        <v>1</v>
      </c>
      <c r="C153">
        <v>1</v>
      </c>
      <c r="D153" t="s">
        <v>1018</v>
      </c>
      <c r="E153" t="s">
        <v>1222</v>
      </c>
      <c r="I153" t="s">
        <v>1561</v>
      </c>
      <c r="J153">
        <v>7</v>
      </c>
      <c r="M153" t="s">
        <v>1883</v>
      </c>
      <c r="N153">
        <v>8</v>
      </c>
      <c r="Q153" t="s">
        <v>2214</v>
      </c>
      <c r="R153">
        <v>6</v>
      </c>
      <c r="U153" t="s">
        <v>2559</v>
      </c>
      <c r="V153">
        <v>8</v>
      </c>
      <c r="Y153" t="s">
        <v>2882</v>
      </c>
      <c r="Z153">
        <v>6</v>
      </c>
      <c r="AC153" t="s">
        <v>3173</v>
      </c>
      <c r="AG153" t="s">
        <v>3441</v>
      </c>
      <c r="AK153" t="s">
        <v>3675</v>
      </c>
      <c r="AO153" t="s">
        <v>3951</v>
      </c>
      <c r="AP153">
        <v>7</v>
      </c>
      <c r="AS153" t="s">
        <v>4241</v>
      </c>
      <c r="AT153">
        <v>7</v>
      </c>
      <c r="AW153" t="s">
        <v>4481</v>
      </c>
      <c r="BA153" t="s">
        <v>4726</v>
      </c>
      <c r="BC153">
        <v>7</v>
      </c>
      <c r="BE153" t="s">
        <v>4945</v>
      </c>
      <c r="BG153" t="s">
        <v>5015</v>
      </c>
      <c r="BH153" t="s">
        <v>5203</v>
      </c>
      <c r="BI153" t="s">
        <v>5451</v>
      </c>
      <c r="BJ153" t="s">
        <v>5717</v>
      </c>
      <c r="BK153" t="s">
        <v>6007</v>
      </c>
      <c r="BL153" t="s">
        <v>6211</v>
      </c>
      <c r="BM153" t="s">
        <v>6388</v>
      </c>
      <c r="BN153" t="s">
        <v>6547</v>
      </c>
      <c r="BO153" t="s">
        <v>6704</v>
      </c>
      <c r="BP153" t="s">
        <v>6810</v>
      </c>
      <c r="BT153" t="s">
        <v>7008</v>
      </c>
      <c r="BZ153">
        <v>0</v>
      </c>
      <c r="CA153">
        <v>0</v>
      </c>
      <c r="CD153" s="23"/>
      <c r="CE153" s="23" t="s">
        <v>7974</v>
      </c>
      <c r="CF153" s="144">
        <v>43866.658414351848</v>
      </c>
      <c r="CG153" s="144">
        <v>43866.663923611108</v>
      </c>
      <c r="CH153" t="s">
        <v>8287</v>
      </c>
    </row>
    <row r="154" spans="1:86" ht="15" hidden="1" customHeight="1" x14ac:dyDescent="0.35">
      <c r="A154" t="s">
        <v>685</v>
      </c>
      <c r="B154">
        <v>1</v>
      </c>
      <c r="C154">
        <v>1</v>
      </c>
      <c r="D154" t="s">
        <v>1018</v>
      </c>
      <c r="E154" t="s">
        <v>1223</v>
      </c>
      <c r="F154">
        <v>8</v>
      </c>
      <c r="H154" t="s">
        <v>1401</v>
      </c>
      <c r="I154" t="s">
        <v>1562</v>
      </c>
      <c r="L154" s="21"/>
      <c r="M154" t="s">
        <v>1883</v>
      </c>
      <c r="N154">
        <v>8</v>
      </c>
      <c r="P154" t="s">
        <v>2054</v>
      </c>
      <c r="Q154" t="s">
        <v>2215</v>
      </c>
      <c r="S154">
        <v>8</v>
      </c>
      <c r="T154" s="21" t="s">
        <v>2420</v>
      </c>
      <c r="U154" t="s">
        <v>2560</v>
      </c>
      <c r="X154" s="21"/>
      <c r="Y154" t="s">
        <v>2883</v>
      </c>
      <c r="AC154" t="s">
        <v>3173</v>
      </c>
      <c r="AG154" t="s">
        <v>3441</v>
      </c>
      <c r="AJ154" s="21"/>
      <c r="AK154" t="s">
        <v>3675</v>
      </c>
      <c r="AO154" t="s">
        <v>3952</v>
      </c>
      <c r="AS154" t="s">
        <v>4242</v>
      </c>
      <c r="AV154" s="21"/>
      <c r="AW154" t="s">
        <v>4481</v>
      </c>
      <c r="AZ154" s="21"/>
      <c r="BA154" t="s">
        <v>4727</v>
      </c>
      <c r="BD154" s="21"/>
      <c r="BE154" t="s">
        <v>4945</v>
      </c>
      <c r="BG154" t="s">
        <v>5015</v>
      </c>
      <c r="BH154" t="s">
        <v>5204</v>
      </c>
      <c r="BI154" t="s">
        <v>5452</v>
      </c>
      <c r="BJ154" t="s">
        <v>5718</v>
      </c>
      <c r="BK154" t="s">
        <v>6008</v>
      </c>
      <c r="BL154" t="s">
        <v>6212</v>
      </c>
      <c r="BM154" t="s">
        <v>6388</v>
      </c>
      <c r="BN154" t="s">
        <v>6548</v>
      </c>
      <c r="BO154" t="s">
        <v>6705</v>
      </c>
      <c r="BP154" t="s">
        <v>6810</v>
      </c>
      <c r="BT154" t="s">
        <v>7009</v>
      </c>
      <c r="BZ154">
        <v>0</v>
      </c>
      <c r="CA154">
        <v>0</v>
      </c>
      <c r="CD154" s="23"/>
      <c r="CE154" s="23" t="s">
        <v>7975</v>
      </c>
      <c r="CF154" s="144">
        <v>43864.449224537035</v>
      </c>
      <c r="CG154" s="144">
        <v>43864.453668981485</v>
      </c>
      <c r="CH154" t="s">
        <v>8288</v>
      </c>
    </row>
    <row r="155" spans="1:86" ht="15" hidden="1" customHeight="1" x14ac:dyDescent="0.35">
      <c r="A155" t="s">
        <v>686</v>
      </c>
      <c r="B155">
        <v>1</v>
      </c>
      <c r="C155">
        <v>1</v>
      </c>
      <c r="D155" t="s">
        <v>1018</v>
      </c>
      <c r="E155" t="s">
        <v>1224</v>
      </c>
      <c r="I155" t="s">
        <v>1563</v>
      </c>
      <c r="K155">
        <v>8</v>
      </c>
      <c r="M155" t="s">
        <v>1883</v>
      </c>
      <c r="N155">
        <v>6</v>
      </c>
      <c r="Q155" t="s">
        <v>2216</v>
      </c>
      <c r="U155" t="s">
        <v>2560</v>
      </c>
      <c r="Y155" t="s">
        <v>2883</v>
      </c>
      <c r="AC155" t="s">
        <v>3173</v>
      </c>
      <c r="AG155" t="s">
        <v>3441</v>
      </c>
      <c r="AK155" t="s">
        <v>3676</v>
      </c>
      <c r="AM155">
        <v>6</v>
      </c>
      <c r="AO155" t="s">
        <v>3952</v>
      </c>
      <c r="AS155" t="s">
        <v>4242</v>
      </c>
      <c r="AW155" t="s">
        <v>4481</v>
      </c>
      <c r="BA155" t="s">
        <v>4727</v>
      </c>
      <c r="BE155" t="s">
        <v>4945</v>
      </c>
      <c r="BG155" t="s">
        <v>5015</v>
      </c>
      <c r="BH155" t="s">
        <v>5205</v>
      </c>
      <c r="BI155" t="s">
        <v>5452</v>
      </c>
      <c r="BJ155" t="s">
        <v>5718</v>
      </c>
      <c r="BK155" t="s">
        <v>6009</v>
      </c>
      <c r="BL155" t="s">
        <v>6212</v>
      </c>
      <c r="BM155" t="s">
        <v>6388</v>
      </c>
      <c r="BN155" t="s">
        <v>6549</v>
      </c>
      <c r="BO155" t="s">
        <v>6706</v>
      </c>
      <c r="BP155" t="s">
        <v>6810</v>
      </c>
      <c r="BT155" t="s">
        <v>7010</v>
      </c>
      <c r="BZ155">
        <v>0</v>
      </c>
      <c r="CA155">
        <v>0</v>
      </c>
      <c r="CD155" s="23"/>
      <c r="CE155" s="23" t="s">
        <v>7976</v>
      </c>
      <c r="CF155" s="144">
        <v>43864.399201388886</v>
      </c>
      <c r="CG155" s="144">
        <v>43864.403298611112</v>
      </c>
      <c r="CH155" t="s">
        <v>8289</v>
      </c>
    </row>
    <row r="156" spans="1:86" ht="15" hidden="1" customHeight="1" x14ac:dyDescent="0.35">
      <c r="A156" t="s">
        <v>687</v>
      </c>
      <c r="B156">
        <v>1</v>
      </c>
      <c r="C156">
        <v>1</v>
      </c>
      <c r="D156" t="s">
        <v>1018</v>
      </c>
      <c r="E156" t="s">
        <v>1225</v>
      </c>
      <c r="F156">
        <v>8</v>
      </c>
      <c r="H156" t="s">
        <v>1402</v>
      </c>
      <c r="I156" t="s">
        <v>1564</v>
      </c>
      <c r="J156">
        <v>8</v>
      </c>
      <c r="M156" t="s">
        <v>1884</v>
      </c>
      <c r="O156">
        <v>6</v>
      </c>
      <c r="Q156" t="s">
        <v>2216</v>
      </c>
      <c r="U156" t="s">
        <v>2561</v>
      </c>
      <c r="W156">
        <v>7</v>
      </c>
      <c r="Y156" t="s">
        <v>2884</v>
      </c>
      <c r="AA156">
        <v>6</v>
      </c>
      <c r="AC156" t="s">
        <v>3174</v>
      </c>
      <c r="AE156">
        <v>5</v>
      </c>
      <c r="AG156" t="s">
        <v>3441</v>
      </c>
      <c r="AK156" t="s">
        <v>3677</v>
      </c>
      <c r="AL156">
        <v>6</v>
      </c>
      <c r="AO156" t="s">
        <v>3953</v>
      </c>
      <c r="AP156">
        <v>5</v>
      </c>
      <c r="AS156" t="s">
        <v>4243</v>
      </c>
      <c r="AT156">
        <v>5</v>
      </c>
      <c r="AW156" t="s">
        <v>4482</v>
      </c>
      <c r="AY156">
        <v>7</v>
      </c>
      <c r="BA156" t="s">
        <v>4728</v>
      </c>
      <c r="BC156">
        <v>7</v>
      </c>
      <c r="BE156" t="s">
        <v>4945</v>
      </c>
      <c r="BG156" t="s">
        <v>5015</v>
      </c>
      <c r="BH156" t="s">
        <v>5205</v>
      </c>
      <c r="BI156" t="s">
        <v>5453</v>
      </c>
      <c r="BJ156" t="s">
        <v>5718</v>
      </c>
      <c r="BK156" t="s">
        <v>6009</v>
      </c>
      <c r="BL156" t="s">
        <v>6213</v>
      </c>
      <c r="BM156" t="s">
        <v>6388</v>
      </c>
      <c r="BN156" t="s">
        <v>6549</v>
      </c>
      <c r="BO156" t="s">
        <v>6706</v>
      </c>
      <c r="BP156" t="s">
        <v>6810</v>
      </c>
      <c r="BT156" t="s">
        <v>7011</v>
      </c>
      <c r="BZ156">
        <v>0</v>
      </c>
      <c r="CA156">
        <v>0</v>
      </c>
      <c r="CD156" s="23"/>
      <c r="CE156" s="23" t="s">
        <v>7977</v>
      </c>
      <c r="CF156" s="144">
        <v>43863.814849537041</v>
      </c>
      <c r="CG156" s="144">
        <v>43863.828958333332</v>
      </c>
      <c r="CH156" t="s">
        <v>8290</v>
      </c>
    </row>
    <row r="157" spans="1:86" ht="15" customHeight="1" x14ac:dyDescent="0.35">
      <c r="A157" t="s">
        <v>688</v>
      </c>
      <c r="D157" t="s">
        <v>1019</v>
      </c>
      <c r="E157" t="s">
        <v>1226</v>
      </c>
      <c r="F157">
        <v>5</v>
      </c>
      <c r="I157" t="s">
        <v>1565</v>
      </c>
      <c r="M157" t="s">
        <v>1885</v>
      </c>
      <c r="N157">
        <v>8</v>
      </c>
      <c r="Q157" t="s">
        <v>2217</v>
      </c>
      <c r="U157" t="s">
        <v>2562</v>
      </c>
      <c r="Y157" t="s">
        <v>2885</v>
      </c>
      <c r="AC157" t="s">
        <v>3175</v>
      </c>
      <c r="AG157" t="s">
        <v>3442</v>
      </c>
      <c r="AK157" t="s">
        <v>3678</v>
      </c>
      <c r="AO157" t="s">
        <v>3954</v>
      </c>
      <c r="BE157" t="s">
        <v>4946</v>
      </c>
      <c r="BG157" t="s">
        <v>5015</v>
      </c>
      <c r="BH157" t="s">
        <v>5206</v>
      </c>
      <c r="BI157" t="s">
        <v>5454</v>
      </c>
      <c r="BJ157" t="s">
        <v>5719</v>
      </c>
      <c r="BK157" t="s">
        <v>6010</v>
      </c>
      <c r="BL157" t="s">
        <v>6213</v>
      </c>
      <c r="BM157" t="s">
        <v>6388</v>
      </c>
      <c r="BN157" t="s">
        <v>6550</v>
      </c>
      <c r="BO157" t="s">
        <v>6707</v>
      </c>
      <c r="BP157" t="s">
        <v>6810</v>
      </c>
      <c r="BT157" t="s">
        <v>7012</v>
      </c>
      <c r="BU157" t="s">
        <v>7172</v>
      </c>
      <c r="BV157" t="s">
        <v>7243</v>
      </c>
      <c r="BW157" t="s">
        <v>7410</v>
      </c>
      <c r="BX157" t="s">
        <v>7562</v>
      </c>
      <c r="BZ157">
        <v>0</v>
      </c>
      <c r="CA157">
        <v>0</v>
      </c>
      <c r="CE157" t="s">
        <v>7978</v>
      </c>
      <c r="CF157" s="144">
        <v>43922.87462962963</v>
      </c>
      <c r="CG157" s="144">
        <v>43922.885185185187</v>
      </c>
      <c r="CH157" t="s">
        <v>8291</v>
      </c>
    </row>
    <row r="158" spans="1:86" ht="15" hidden="1" customHeight="1" x14ac:dyDescent="0.35">
      <c r="A158" t="s">
        <v>689</v>
      </c>
      <c r="D158" t="s">
        <v>1019</v>
      </c>
      <c r="E158" t="s">
        <v>1226</v>
      </c>
      <c r="F158">
        <v>7</v>
      </c>
      <c r="H158" t="s">
        <v>1403</v>
      </c>
      <c r="I158" t="s">
        <v>1566</v>
      </c>
      <c r="J158">
        <v>5</v>
      </c>
      <c r="L158" t="s">
        <v>1749</v>
      </c>
      <c r="M158" t="s">
        <v>1886</v>
      </c>
      <c r="Q158" t="s">
        <v>2218</v>
      </c>
      <c r="R158">
        <v>5</v>
      </c>
      <c r="T158" t="s">
        <v>2421</v>
      </c>
      <c r="U158" t="s">
        <v>2562</v>
      </c>
      <c r="Y158" t="s">
        <v>2885</v>
      </c>
      <c r="AC158" t="s">
        <v>3176</v>
      </c>
      <c r="AE158">
        <v>8</v>
      </c>
      <c r="AF158" t="s">
        <v>3343</v>
      </c>
      <c r="AG158" t="s">
        <v>3443</v>
      </c>
      <c r="AI158">
        <v>6</v>
      </c>
      <c r="AK158" t="s">
        <v>3679</v>
      </c>
      <c r="AL158">
        <v>6</v>
      </c>
      <c r="AO158" t="s">
        <v>3954</v>
      </c>
      <c r="AS158" t="s">
        <v>4244</v>
      </c>
      <c r="AW158" t="s">
        <v>4483</v>
      </c>
      <c r="BA158" t="s">
        <v>4729</v>
      </c>
      <c r="BE158" t="s">
        <v>4946</v>
      </c>
      <c r="BG158" t="s">
        <v>5015</v>
      </c>
      <c r="BH158" t="s">
        <v>5206</v>
      </c>
      <c r="BI158" t="s">
        <v>5454</v>
      </c>
      <c r="BJ158" t="s">
        <v>5720</v>
      </c>
      <c r="BK158" t="s">
        <v>6010</v>
      </c>
      <c r="BL158" t="s">
        <v>6213</v>
      </c>
      <c r="BM158" t="s">
        <v>6388</v>
      </c>
      <c r="BN158" t="s">
        <v>6550</v>
      </c>
      <c r="BO158" t="s">
        <v>6708</v>
      </c>
      <c r="BP158" t="s">
        <v>6810</v>
      </c>
      <c r="BT158" t="s">
        <v>7012</v>
      </c>
      <c r="BU158" t="s">
        <v>7172</v>
      </c>
      <c r="BV158" t="s">
        <v>7243</v>
      </c>
      <c r="BW158" t="s">
        <v>7411</v>
      </c>
      <c r="BX158" t="s">
        <v>7562</v>
      </c>
      <c r="BZ158">
        <v>0</v>
      </c>
      <c r="CA158">
        <v>0</v>
      </c>
      <c r="CE158" t="s">
        <v>7979</v>
      </c>
      <c r="CF158" s="144">
        <v>43918.926215277781</v>
      </c>
      <c r="CG158" s="144">
        <v>43918.932118055556</v>
      </c>
      <c r="CH158" t="s">
        <v>8292</v>
      </c>
    </row>
    <row r="159" spans="1:86" ht="15" hidden="1" customHeight="1" x14ac:dyDescent="0.35">
      <c r="A159" t="s">
        <v>690</v>
      </c>
      <c r="D159" t="s">
        <v>1019</v>
      </c>
      <c r="E159" t="s">
        <v>1226</v>
      </c>
      <c r="F159">
        <v>5</v>
      </c>
      <c r="I159" t="s">
        <v>1567</v>
      </c>
      <c r="M159" t="s">
        <v>1886</v>
      </c>
      <c r="Q159" t="s">
        <v>2219</v>
      </c>
      <c r="S159">
        <v>5</v>
      </c>
      <c r="U159" t="s">
        <v>2563</v>
      </c>
      <c r="W159">
        <v>4</v>
      </c>
      <c r="Y159" t="s">
        <v>2885</v>
      </c>
      <c r="AC159" t="s">
        <v>3177</v>
      </c>
      <c r="AG159" t="s">
        <v>3444</v>
      </c>
      <c r="AK159" t="s">
        <v>3680</v>
      </c>
      <c r="AO159" t="s">
        <v>3954</v>
      </c>
      <c r="AS159" t="s">
        <v>4245</v>
      </c>
      <c r="AT159">
        <v>6</v>
      </c>
      <c r="AW159" t="s">
        <v>4484</v>
      </c>
      <c r="AY159">
        <v>8</v>
      </c>
      <c r="BA159" t="s">
        <v>4730</v>
      </c>
      <c r="BC159">
        <v>8</v>
      </c>
      <c r="BE159" t="s">
        <v>4946</v>
      </c>
      <c r="BG159" t="s">
        <v>5016</v>
      </c>
      <c r="BH159" t="s">
        <v>5206</v>
      </c>
      <c r="BI159" t="s">
        <v>5455</v>
      </c>
      <c r="BJ159" t="s">
        <v>5721</v>
      </c>
      <c r="BK159" t="s">
        <v>6010</v>
      </c>
      <c r="BL159" t="s">
        <v>6214</v>
      </c>
      <c r="BM159" t="s">
        <v>6388</v>
      </c>
      <c r="BN159" t="s">
        <v>6550</v>
      </c>
      <c r="BO159" t="s">
        <v>6709</v>
      </c>
      <c r="BP159" t="s">
        <v>6810</v>
      </c>
      <c r="BT159" t="s">
        <v>7012</v>
      </c>
      <c r="BU159" t="s">
        <v>7172</v>
      </c>
      <c r="BV159" t="s">
        <v>7243</v>
      </c>
      <c r="BW159" t="s">
        <v>7411</v>
      </c>
      <c r="BX159" t="s">
        <v>7562</v>
      </c>
      <c r="BZ159">
        <v>0</v>
      </c>
      <c r="CA159">
        <v>0</v>
      </c>
      <c r="CE159" t="s">
        <v>7980</v>
      </c>
      <c r="CF159" s="144">
        <v>43916.830659722225</v>
      </c>
      <c r="CG159" s="144">
        <v>43916.835358796299</v>
      </c>
      <c r="CH159" t="s">
        <v>8293</v>
      </c>
    </row>
    <row r="160" spans="1:86" ht="15" hidden="1" customHeight="1" x14ac:dyDescent="0.35">
      <c r="A160" t="s">
        <v>691</v>
      </c>
      <c r="D160" t="s">
        <v>1019</v>
      </c>
      <c r="E160" t="s">
        <v>1226</v>
      </c>
      <c r="F160">
        <v>6</v>
      </c>
      <c r="H160" t="s">
        <v>1404</v>
      </c>
      <c r="I160" t="s">
        <v>1567</v>
      </c>
      <c r="M160" t="s">
        <v>1886</v>
      </c>
      <c r="Q160" t="s">
        <v>2220</v>
      </c>
      <c r="U160" t="s">
        <v>2564</v>
      </c>
      <c r="Y160" t="s">
        <v>2885</v>
      </c>
      <c r="AC160" t="s">
        <v>3177</v>
      </c>
      <c r="AG160" t="s">
        <v>3444</v>
      </c>
      <c r="AK160" t="s">
        <v>3680</v>
      </c>
      <c r="AO160" t="s">
        <v>3954</v>
      </c>
      <c r="AS160" t="s">
        <v>4246</v>
      </c>
      <c r="AW160" t="s">
        <v>4485</v>
      </c>
      <c r="BA160" t="s">
        <v>4731</v>
      </c>
      <c r="BE160" t="s">
        <v>4946</v>
      </c>
      <c r="BG160" t="s">
        <v>5017</v>
      </c>
      <c r="BH160" t="s">
        <v>5206</v>
      </c>
      <c r="BI160" t="s">
        <v>5456</v>
      </c>
      <c r="BJ160" t="s">
        <v>5721</v>
      </c>
      <c r="BK160" t="s">
        <v>6011</v>
      </c>
      <c r="BL160" t="s">
        <v>6215</v>
      </c>
      <c r="BM160" t="s">
        <v>6388</v>
      </c>
      <c r="BN160" t="s">
        <v>6550</v>
      </c>
      <c r="BO160" t="s">
        <v>6710</v>
      </c>
      <c r="BP160" t="s">
        <v>6810</v>
      </c>
      <c r="BT160" t="s">
        <v>7012</v>
      </c>
      <c r="BU160" t="s">
        <v>7172</v>
      </c>
      <c r="BV160" t="s">
        <v>7243</v>
      </c>
      <c r="BW160" t="s">
        <v>7411</v>
      </c>
      <c r="BX160" t="s">
        <v>7563</v>
      </c>
      <c r="BZ160">
        <v>0</v>
      </c>
      <c r="CA160">
        <v>0</v>
      </c>
      <c r="CE160" t="s">
        <v>7981</v>
      </c>
      <c r="CF160" s="144">
        <v>43916.424814814818</v>
      </c>
      <c r="CG160" s="144">
        <v>43916.43409722222</v>
      </c>
      <c r="CH160" t="s">
        <v>8294</v>
      </c>
    </row>
    <row r="161" spans="1:86" ht="15" customHeight="1" x14ac:dyDescent="0.35">
      <c r="A161" t="s">
        <v>692</v>
      </c>
      <c r="D161" t="s">
        <v>1020</v>
      </c>
      <c r="E161" t="s">
        <v>1227</v>
      </c>
      <c r="I161" t="s">
        <v>1568</v>
      </c>
      <c r="J161">
        <v>3</v>
      </c>
      <c r="M161" t="s">
        <v>1887</v>
      </c>
      <c r="Q161" t="s">
        <v>2221</v>
      </c>
      <c r="S161">
        <v>4</v>
      </c>
      <c r="U161" t="s">
        <v>2565</v>
      </c>
      <c r="W161">
        <v>3</v>
      </c>
      <c r="Y161" t="s">
        <v>2886</v>
      </c>
      <c r="Z161">
        <v>4</v>
      </c>
      <c r="AC161" t="s">
        <v>3178</v>
      </c>
      <c r="AD161">
        <v>4</v>
      </c>
      <c r="AG161" t="s">
        <v>3444</v>
      </c>
      <c r="AK161" t="s">
        <v>3680</v>
      </c>
      <c r="AO161" t="s">
        <v>3955</v>
      </c>
      <c r="AQ161">
        <v>2</v>
      </c>
      <c r="BE161" t="s">
        <v>4946</v>
      </c>
      <c r="BG161" t="s">
        <v>5017</v>
      </c>
      <c r="BH161" t="s">
        <v>5207</v>
      </c>
      <c r="BI161" t="s">
        <v>5457</v>
      </c>
      <c r="BJ161" t="s">
        <v>5722</v>
      </c>
      <c r="BK161" t="s">
        <v>6011</v>
      </c>
      <c r="BL161" t="s">
        <v>6215</v>
      </c>
      <c r="BM161" t="s">
        <v>6388</v>
      </c>
      <c r="BN161" t="s">
        <v>6551</v>
      </c>
      <c r="BO161" t="s">
        <v>6711</v>
      </c>
      <c r="BP161" t="s">
        <v>6810</v>
      </c>
      <c r="BT161" t="s">
        <v>7013</v>
      </c>
      <c r="BU161" t="s">
        <v>7172</v>
      </c>
      <c r="BV161" t="s">
        <v>7243</v>
      </c>
      <c r="BW161" t="s">
        <v>7412</v>
      </c>
      <c r="BX161" t="s">
        <v>7564</v>
      </c>
      <c r="BZ161">
        <v>0</v>
      </c>
      <c r="CA161">
        <v>1</v>
      </c>
      <c r="CB161" t="s">
        <v>7662</v>
      </c>
      <c r="CD161" t="s">
        <v>7810</v>
      </c>
      <c r="CE161" t="s">
        <v>7981</v>
      </c>
      <c r="CF161" s="144">
        <v>43911.343888888892</v>
      </c>
      <c r="CG161" s="144">
        <v>43911.350266203706</v>
      </c>
      <c r="CH161" s="24" t="s">
        <v>8295</v>
      </c>
    </row>
    <row r="162" spans="1:86" ht="15" hidden="1" customHeight="1" x14ac:dyDescent="0.35">
      <c r="A162" t="s">
        <v>693</v>
      </c>
      <c r="D162" t="s">
        <v>1021</v>
      </c>
      <c r="E162" t="s">
        <v>1228</v>
      </c>
      <c r="F162">
        <v>4</v>
      </c>
      <c r="I162" t="s">
        <v>1568</v>
      </c>
      <c r="J162">
        <v>4</v>
      </c>
      <c r="M162" t="s">
        <v>1887</v>
      </c>
      <c r="N162">
        <v>6</v>
      </c>
      <c r="Q162" t="s">
        <v>2221</v>
      </c>
      <c r="S162">
        <v>1</v>
      </c>
      <c r="U162" t="s">
        <v>2566</v>
      </c>
      <c r="V162">
        <v>3</v>
      </c>
      <c r="Y162" t="s">
        <v>2886</v>
      </c>
      <c r="Z162">
        <v>1</v>
      </c>
      <c r="AC162" t="s">
        <v>3179</v>
      </c>
      <c r="AE162">
        <v>3</v>
      </c>
      <c r="AG162" t="s">
        <v>3445</v>
      </c>
      <c r="AI162">
        <v>2</v>
      </c>
      <c r="AK162" t="s">
        <v>3681</v>
      </c>
      <c r="AL162">
        <v>2</v>
      </c>
      <c r="AO162" t="s">
        <v>3956</v>
      </c>
      <c r="BE162" t="s">
        <v>4946</v>
      </c>
      <c r="BG162" t="s">
        <v>5018</v>
      </c>
      <c r="BH162" t="s">
        <v>5208</v>
      </c>
      <c r="BI162" t="s">
        <v>5458</v>
      </c>
      <c r="BJ162" t="s">
        <v>5723</v>
      </c>
      <c r="BK162" t="s">
        <v>6012</v>
      </c>
      <c r="BL162" t="s">
        <v>6215</v>
      </c>
      <c r="BM162" t="s">
        <v>6388</v>
      </c>
      <c r="BN162" t="s">
        <v>6551</v>
      </c>
      <c r="BO162" t="s">
        <v>6711</v>
      </c>
      <c r="BP162" t="s">
        <v>6810</v>
      </c>
      <c r="BT162" t="s">
        <v>7014</v>
      </c>
      <c r="BU162" t="s">
        <v>7172</v>
      </c>
      <c r="BV162" t="s">
        <v>7243</v>
      </c>
      <c r="BW162" t="s">
        <v>7413</v>
      </c>
      <c r="BX162" t="s">
        <v>7564</v>
      </c>
      <c r="BZ162">
        <v>0</v>
      </c>
      <c r="CA162">
        <v>0</v>
      </c>
      <c r="CE162" t="s">
        <v>7982</v>
      </c>
      <c r="CF162" s="144">
        <v>43906.295405092591</v>
      </c>
      <c r="CG162" s="144">
        <v>43906.301655092589</v>
      </c>
      <c r="CH162" t="s">
        <v>8296</v>
      </c>
    </row>
    <row r="163" spans="1:86" ht="15" hidden="1" customHeight="1" x14ac:dyDescent="0.35">
      <c r="A163" t="s">
        <v>694</v>
      </c>
      <c r="D163" t="s">
        <v>1022</v>
      </c>
      <c r="E163" t="s">
        <v>1229</v>
      </c>
      <c r="I163" t="s">
        <v>1568</v>
      </c>
      <c r="J163">
        <v>7</v>
      </c>
      <c r="M163" t="s">
        <v>1887</v>
      </c>
      <c r="N163">
        <v>6</v>
      </c>
      <c r="Q163" t="s">
        <v>2222</v>
      </c>
      <c r="U163" t="s">
        <v>2566</v>
      </c>
      <c r="V163">
        <v>5</v>
      </c>
      <c r="Y163" t="s">
        <v>2887</v>
      </c>
      <c r="AC163" t="s">
        <v>3179</v>
      </c>
      <c r="AE163">
        <v>7</v>
      </c>
      <c r="AG163" t="s">
        <v>3445</v>
      </c>
      <c r="AI163">
        <v>6</v>
      </c>
      <c r="AK163" t="s">
        <v>3681</v>
      </c>
      <c r="AL163">
        <v>7</v>
      </c>
      <c r="AO163" t="s">
        <v>3957</v>
      </c>
      <c r="AQ163">
        <v>6</v>
      </c>
      <c r="AS163" t="s">
        <v>4247</v>
      </c>
      <c r="AT163">
        <v>6</v>
      </c>
      <c r="AW163" t="s">
        <v>4486</v>
      </c>
      <c r="AY163">
        <v>7</v>
      </c>
      <c r="BA163" t="s">
        <v>4732</v>
      </c>
      <c r="BC163">
        <v>6</v>
      </c>
      <c r="BE163" t="s">
        <v>4946</v>
      </c>
      <c r="BG163" t="s">
        <v>5018</v>
      </c>
      <c r="BH163" t="s">
        <v>5209</v>
      </c>
      <c r="BI163" t="s">
        <v>5459</v>
      </c>
      <c r="BJ163" t="s">
        <v>5724</v>
      </c>
      <c r="BK163" t="s">
        <v>6012</v>
      </c>
      <c r="BL163" t="s">
        <v>6215</v>
      </c>
      <c r="BM163" t="s">
        <v>6388</v>
      </c>
      <c r="BN163" t="s">
        <v>6551</v>
      </c>
      <c r="BO163" t="s">
        <v>6711</v>
      </c>
      <c r="BP163" t="s">
        <v>6810</v>
      </c>
      <c r="BT163" t="s">
        <v>7014</v>
      </c>
      <c r="BU163" t="s">
        <v>7172</v>
      </c>
      <c r="BV163" t="s">
        <v>7243</v>
      </c>
      <c r="BW163" t="s">
        <v>7413</v>
      </c>
      <c r="BX163" t="s">
        <v>7564</v>
      </c>
      <c r="BZ163">
        <v>0</v>
      </c>
      <c r="CA163">
        <v>0</v>
      </c>
      <c r="CE163" t="s">
        <v>7983</v>
      </c>
      <c r="CF163" s="144">
        <v>43905.785162037035</v>
      </c>
      <c r="CG163" s="144">
        <v>43905.792511574073</v>
      </c>
      <c r="CH163" t="s">
        <v>8297</v>
      </c>
    </row>
    <row r="164" spans="1:86" ht="15" hidden="1" customHeight="1" x14ac:dyDescent="0.35">
      <c r="A164" t="s">
        <v>695</v>
      </c>
      <c r="D164" t="s">
        <v>1022</v>
      </c>
      <c r="E164" t="s">
        <v>1230</v>
      </c>
      <c r="F164">
        <v>7</v>
      </c>
      <c r="H164" t="s">
        <v>1405</v>
      </c>
      <c r="I164" t="s">
        <v>1568</v>
      </c>
      <c r="J164">
        <v>7</v>
      </c>
      <c r="M164" t="s">
        <v>1887</v>
      </c>
      <c r="N164">
        <v>6</v>
      </c>
      <c r="Q164" t="s">
        <v>2223</v>
      </c>
      <c r="S164">
        <v>7</v>
      </c>
      <c r="U164" t="s">
        <v>2567</v>
      </c>
      <c r="W164">
        <v>7</v>
      </c>
      <c r="Y164" t="s">
        <v>2888</v>
      </c>
      <c r="AA164">
        <v>7</v>
      </c>
      <c r="AC164" t="s">
        <v>3180</v>
      </c>
      <c r="AD164">
        <v>7</v>
      </c>
      <c r="AG164" t="s">
        <v>3446</v>
      </c>
      <c r="AH164">
        <v>5</v>
      </c>
      <c r="AK164" t="s">
        <v>3681</v>
      </c>
      <c r="AL164">
        <v>5</v>
      </c>
      <c r="AO164" t="s">
        <v>3958</v>
      </c>
      <c r="AP164">
        <v>7</v>
      </c>
      <c r="AS164" t="s">
        <v>4247</v>
      </c>
      <c r="AT164">
        <v>6</v>
      </c>
      <c r="AW164" t="s">
        <v>4486</v>
      </c>
      <c r="AY164">
        <v>6</v>
      </c>
      <c r="BA164" t="s">
        <v>4732</v>
      </c>
      <c r="BC164">
        <v>7</v>
      </c>
      <c r="BE164" t="s">
        <v>4946</v>
      </c>
      <c r="BG164" t="s">
        <v>5019</v>
      </c>
      <c r="BH164" t="s">
        <v>5210</v>
      </c>
      <c r="BI164" t="s">
        <v>5459</v>
      </c>
      <c r="BJ164" t="s">
        <v>5725</v>
      </c>
      <c r="BK164" t="s">
        <v>6013</v>
      </c>
      <c r="BL164" t="s">
        <v>6216</v>
      </c>
      <c r="BM164" t="s">
        <v>6389</v>
      </c>
      <c r="BN164" t="s">
        <v>6551</v>
      </c>
      <c r="BO164" t="s">
        <v>6711</v>
      </c>
      <c r="BP164" t="s">
        <v>6810</v>
      </c>
      <c r="BT164" t="s">
        <v>7015</v>
      </c>
      <c r="BU164" t="s">
        <v>7172</v>
      </c>
      <c r="BV164" t="s">
        <v>7243</v>
      </c>
      <c r="BW164" t="s">
        <v>7413</v>
      </c>
      <c r="BX164" t="s">
        <v>7564</v>
      </c>
      <c r="BZ164">
        <v>0</v>
      </c>
      <c r="CA164">
        <v>1</v>
      </c>
      <c r="CB164" t="s">
        <v>7662</v>
      </c>
      <c r="CD164" t="s">
        <v>7810</v>
      </c>
      <c r="CE164" t="s">
        <v>7983</v>
      </c>
      <c r="CF164" s="144">
        <v>43902.934374999997</v>
      </c>
      <c r="CG164" s="144">
        <v>43902.950636574074</v>
      </c>
      <c r="CH164" t="s">
        <v>8298</v>
      </c>
    </row>
    <row r="165" spans="1:86" ht="15" customHeight="1" x14ac:dyDescent="0.35">
      <c r="A165" t="s">
        <v>696</v>
      </c>
      <c r="D165" t="s">
        <v>1022</v>
      </c>
      <c r="E165" t="s">
        <v>1230</v>
      </c>
      <c r="F165">
        <v>6</v>
      </c>
      <c r="I165" t="s">
        <v>1568</v>
      </c>
      <c r="J165">
        <v>2</v>
      </c>
      <c r="M165" t="s">
        <v>1887</v>
      </c>
      <c r="N165">
        <v>4</v>
      </c>
      <c r="Q165" t="s">
        <v>2223</v>
      </c>
      <c r="S165">
        <v>6</v>
      </c>
      <c r="U165" t="s">
        <v>2568</v>
      </c>
      <c r="V165">
        <v>7</v>
      </c>
      <c r="Y165" t="s">
        <v>2889</v>
      </c>
      <c r="Z165">
        <v>7</v>
      </c>
      <c r="AC165" t="s">
        <v>3180</v>
      </c>
      <c r="AD165">
        <v>5</v>
      </c>
      <c r="AG165" t="s">
        <v>3447</v>
      </c>
      <c r="AK165" t="s">
        <v>3682</v>
      </c>
      <c r="AO165" t="s">
        <v>3959</v>
      </c>
      <c r="AQ165">
        <v>6</v>
      </c>
      <c r="AS165" t="s">
        <v>4247</v>
      </c>
      <c r="AT165">
        <v>6</v>
      </c>
      <c r="AW165" t="s">
        <v>4487</v>
      </c>
      <c r="AX165">
        <v>5</v>
      </c>
      <c r="BA165" t="s">
        <v>4732</v>
      </c>
      <c r="BC165">
        <v>6</v>
      </c>
      <c r="BE165" t="s">
        <v>4946</v>
      </c>
      <c r="BG165" t="s">
        <v>5019</v>
      </c>
      <c r="BH165" t="s">
        <v>5211</v>
      </c>
      <c r="BI165" t="s">
        <v>5460</v>
      </c>
      <c r="BJ165" t="s">
        <v>5725</v>
      </c>
      <c r="BK165" t="s">
        <v>6014</v>
      </c>
      <c r="BL165" t="s">
        <v>6217</v>
      </c>
      <c r="BM165" t="s">
        <v>6390</v>
      </c>
      <c r="BN165" t="s">
        <v>6551</v>
      </c>
      <c r="BO165" t="s">
        <v>6711</v>
      </c>
      <c r="BP165" t="s">
        <v>6810</v>
      </c>
      <c r="BT165" t="s">
        <v>7016</v>
      </c>
      <c r="BU165" t="s">
        <v>7172</v>
      </c>
      <c r="BV165" t="s">
        <v>7244</v>
      </c>
      <c r="BW165" t="s">
        <v>7414</v>
      </c>
      <c r="BX165" t="s">
        <v>7564</v>
      </c>
      <c r="BZ165">
        <v>1</v>
      </c>
      <c r="CA165">
        <v>1</v>
      </c>
      <c r="CB165" t="s">
        <v>7663</v>
      </c>
      <c r="CD165" t="s">
        <v>7811</v>
      </c>
      <c r="CE165" t="s">
        <v>7984</v>
      </c>
      <c r="CF165" s="144">
        <v>43901.885821759257</v>
      </c>
      <c r="CG165" s="144">
        <v>43901.896273148152</v>
      </c>
      <c r="CH165" t="s">
        <v>8299</v>
      </c>
    </row>
    <row r="166" spans="1:86" ht="15" customHeight="1" x14ac:dyDescent="0.35">
      <c r="A166" t="s">
        <v>697</v>
      </c>
      <c r="D166" t="s">
        <v>1022</v>
      </c>
      <c r="E166" t="s">
        <v>1230</v>
      </c>
      <c r="F166">
        <v>3</v>
      </c>
      <c r="I166" t="s">
        <v>1568</v>
      </c>
      <c r="J166">
        <v>3</v>
      </c>
      <c r="M166" t="s">
        <v>1887</v>
      </c>
      <c r="N166">
        <v>4</v>
      </c>
      <c r="Q166" t="s">
        <v>2224</v>
      </c>
      <c r="R166">
        <v>3</v>
      </c>
      <c r="U166" t="s">
        <v>2568</v>
      </c>
      <c r="V166">
        <v>3</v>
      </c>
      <c r="Y166" t="s">
        <v>2889</v>
      </c>
      <c r="Z166">
        <v>5</v>
      </c>
      <c r="AC166" t="s">
        <v>3180</v>
      </c>
      <c r="AD166">
        <v>3</v>
      </c>
      <c r="AG166" t="s">
        <v>3447</v>
      </c>
      <c r="AK166" t="s">
        <v>3683</v>
      </c>
      <c r="AM166">
        <v>3</v>
      </c>
      <c r="AO166" t="s">
        <v>3959</v>
      </c>
      <c r="AQ166">
        <v>4</v>
      </c>
      <c r="AS166" t="s">
        <v>4247</v>
      </c>
      <c r="AT166">
        <v>3</v>
      </c>
      <c r="AW166" t="s">
        <v>4488</v>
      </c>
      <c r="BA166" t="s">
        <v>4732</v>
      </c>
      <c r="BC166">
        <v>2</v>
      </c>
      <c r="BE166" t="s">
        <v>4946</v>
      </c>
      <c r="BG166" t="s">
        <v>5019</v>
      </c>
      <c r="BH166" t="s">
        <v>5212</v>
      </c>
      <c r="BI166" t="s">
        <v>5461</v>
      </c>
      <c r="BJ166" t="s">
        <v>5726</v>
      </c>
      <c r="BK166" t="s">
        <v>6014</v>
      </c>
      <c r="BL166" t="s">
        <v>6218</v>
      </c>
      <c r="BM166" t="s">
        <v>6391</v>
      </c>
      <c r="BN166" t="s">
        <v>6551</v>
      </c>
      <c r="BO166" t="s">
        <v>6711</v>
      </c>
      <c r="BP166" t="s">
        <v>6811</v>
      </c>
      <c r="BT166" t="s">
        <v>7016</v>
      </c>
      <c r="BU166" t="s">
        <v>7172</v>
      </c>
      <c r="BV166" t="s">
        <v>7245</v>
      </c>
      <c r="BW166" t="s">
        <v>7414</v>
      </c>
      <c r="BX166" t="s">
        <v>7564</v>
      </c>
      <c r="BZ166">
        <v>0</v>
      </c>
      <c r="CA166">
        <v>1</v>
      </c>
      <c r="CD166" t="s">
        <v>7812</v>
      </c>
      <c r="CE166" t="s">
        <v>7985</v>
      </c>
      <c r="CF166" s="144">
        <v>43901.623611111114</v>
      </c>
      <c r="CG166" s="144">
        <v>43901.631122685183</v>
      </c>
      <c r="CH166" t="s">
        <v>8300</v>
      </c>
    </row>
    <row r="167" spans="1:86" ht="15" hidden="1" customHeight="1" x14ac:dyDescent="0.35">
      <c r="A167" t="s">
        <v>698</v>
      </c>
      <c r="D167" t="s">
        <v>1022</v>
      </c>
      <c r="E167" t="s">
        <v>1230</v>
      </c>
      <c r="F167">
        <v>7</v>
      </c>
      <c r="I167" t="s">
        <v>1568</v>
      </c>
      <c r="J167">
        <v>6</v>
      </c>
      <c r="M167" t="s">
        <v>1887</v>
      </c>
      <c r="N167">
        <v>6</v>
      </c>
      <c r="Q167" t="s">
        <v>2224</v>
      </c>
      <c r="R167">
        <v>6</v>
      </c>
      <c r="U167" t="s">
        <v>2568</v>
      </c>
      <c r="V167">
        <v>5</v>
      </c>
      <c r="Y167" t="s">
        <v>2889</v>
      </c>
      <c r="Z167">
        <v>8</v>
      </c>
      <c r="AC167" t="s">
        <v>3180</v>
      </c>
      <c r="AD167">
        <v>8</v>
      </c>
      <c r="AG167" t="s">
        <v>3448</v>
      </c>
      <c r="AH167">
        <v>6</v>
      </c>
      <c r="AK167" t="s">
        <v>3684</v>
      </c>
      <c r="AL167">
        <v>6</v>
      </c>
      <c r="AO167" t="s">
        <v>3959</v>
      </c>
      <c r="AQ167">
        <v>8</v>
      </c>
      <c r="AS167" t="s">
        <v>4247</v>
      </c>
      <c r="AT167">
        <v>8</v>
      </c>
      <c r="AW167" t="s">
        <v>4489</v>
      </c>
      <c r="AX167">
        <v>6</v>
      </c>
      <c r="BA167" t="s">
        <v>4733</v>
      </c>
      <c r="BB167">
        <v>6</v>
      </c>
      <c r="BE167" t="s">
        <v>4946</v>
      </c>
      <c r="BG167" t="s">
        <v>5019</v>
      </c>
      <c r="BH167" t="s">
        <v>5213</v>
      </c>
      <c r="BI167" t="s">
        <v>5462</v>
      </c>
      <c r="BJ167" t="s">
        <v>5727</v>
      </c>
      <c r="BK167" t="s">
        <v>6015</v>
      </c>
      <c r="BL167" t="s">
        <v>6219</v>
      </c>
      <c r="BM167" t="s">
        <v>6391</v>
      </c>
      <c r="BN167" t="s">
        <v>6551</v>
      </c>
      <c r="BO167" t="s">
        <v>6711</v>
      </c>
      <c r="BP167" t="s">
        <v>6812</v>
      </c>
      <c r="BT167" t="s">
        <v>7016</v>
      </c>
      <c r="BU167" t="s">
        <v>7172</v>
      </c>
      <c r="BV167" t="s">
        <v>7245</v>
      </c>
      <c r="BW167" t="s">
        <v>7415</v>
      </c>
      <c r="BX167" t="s">
        <v>7564</v>
      </c>
      <c r="BZ167">
        <v>0</v>
      </c>
      <c r="CA167">
        <v>1</v>
      </c>
      <c r="CB167" t="s">
        <v>7663</v>
      </c>
      <c r="CD167" t="s">
        <v>7813</v>
      </c>
      <c r="CE167" t="s">
        <v>7985</v>
      </c>
      <c r="CF167" s="144">
        <v>43901.615324074075</v>
      </c>
      <c r="CG167" s="144">
        <v>43901.619421296295</v>
      </c>
      <c r="CH167" t="s">
        <v>8301</v>
      </c>
    </row>
    <row r="168" spans="1:86" ht="15" hidden="1" customHeight="1" x14ac:dyDescent="0.35">
      <c r="A168" t="s">
        <v>699</v>
      </c>
      <c r="D168" t="s">
        <v>1022</v>
      </c>
      <c r="E168" t="s">
        <v>1231</v>
      </c>
      <c r="G168">
        <v>3</v>
      </c>
      <c r="H168" t="s">
        <v>1406</v>
      </c>
      <c r="I168" t="s">
        <v>1568</v>
      </c>
      <c r="J168">
        <v>5</v>
      </c>
      <c r="L168" s="21" t="s">
        <v>1750</v>
      </c>
      <c r="M168" t="s">
        <v>1888</v>
      </c>
      <c r="Q168" t="s">
        <v>2224</v>
      </c>
      <c r="R168">
        <v>5</v>
      </c>
      <c r="T168" s="21" t="s">
        <v>2422</v>
      </c>
      <c r="U168" t="s">
        <v>2568</v>
      </c>
      <c r="V168">
        <v>6</v>
      </c>
      <c r="X168" s="21" t="s">
        <v>2737</v>
      </c>
      <c r="Y168" t="s">
        <v>2890</v>
      </c>
      <c r="AC168" t="s">
        <v>3181</v>
      </c>
      <c r="AG168" t="s">
        <v>3448</v>
      </c>
      <c r="AH168">
        <v>2</v>
      </c>
      <c r="AJ168" s="21" t="s">
        <v>3571</v>
      </c>
      <c r="AK168" t="s">
        <v>3685</v>
      </c>
      <c r="AO168" t="s">
        <v>3959</v>
      </c>
      <c r="AQ168">
        <v>7</v>
      </c>
      <c r="AR168" t="s">
        <v>4121</v>
      </c>
      <c r="AS168" t="s">
        <v>4247</v>
      </c>
      <c r="AT168">
        <v>6</v>
      </c>
      <c r="AV168" s="21" t="s">
        <v>4376</v>
      </c>
      <c r="AW168" t="s">
        <v>4489</v>
      </c>
      <c r="AX168">
        <v>7</v>
      </c>
      <c r="AZ168" s="21" t="s">
        <v>4619</v>
      </c>
      <c r="BA168" t="s">
        <v>4734</v>
      </c>
      <c r="BC168">
        <v>2</v>
      </c>
      <c r="BD168" s="21" t="s">
        <v>4868</v>
      </c>
      <c r="BE168" t="s">
        <v>4946</v>
      </c>
      <c r="BG168" t="s">
        <v>5019</v>
      </c>
      <c r="BH168" t="s">
        <v>5213</v>
      </c>
      <c r="BI168" t="s">
        <v>5462</v>
      </c>
      <c r="BJ168" t="s">
        <v>5728</v>
      </c>
      <c r="BK168" t="s">
        <v>6016</v>
      </c>
      <c r="BL168" t="s">
        <v>6220</v>
      </c>
      <c r="BM168" t="s">
        <v>6391</v>
      </c>
      <c r="BN168" t="s">
        <v>6551</v>
      </c>
      <c r="BO168" t="s">
        <v>6711</v>
      </c>
      <c r="BP168" t="s">
        <v>6812</v>
      </c>
      <c r="BT168" t="s">
        <v>7016</v>
      </c>
      <c r="BU168" t="s">
        <v>7172</v>
      </c>
      <c r="BV168" t="s">
        <v>7245</v>
      </c>
      <c r="BW168" t="s">
        <v>7415</v>
      </c>
      <c r="BX168" t="s">
        <v>7564</v>
      </c>
      <c r="BZ168">
        <v>0</v>
      </c>
      <c r="CA168">
        <v>1</v>
      </c>
      <c r="CB168" t="s">
        <v>7663</v>
      </c>
      <c r="CD168" t="s">
        <v>7814</v>
      </c>
      <c r="CE168" t="s">
        <v>7985</v>
      </c>
      <c r="CF168" s="144">
        <v>43901.573240740741</v>
      </c>
      <c r="CG168" s="144">
        <v>43901.582731481481</v>
      </c>
      <c r="CH168" t="s">
        <v>8302</v>
      </c>
    </row>
    <row r="169" spans="1:86" ht="15" hidden="1" customHeight="1" x14ac:dyDescent="0.35">
      <c r="A169" t="s">
        <v>700</v>
      </c>
      <c r="D169" t="s">
        <v>1022</v>
      </c>
      <c r="E169" t="s">
        <v>1232</v>
      </c>
      <c r="I169" t="s">
        <v>1569</v>
      </c>
      <c r="M169" t="s">
        <v>1888</v>
      </c>
      <c r="Q169" t="s">
        <v>2225</v>
      </c>
      <c r="U169" t="s">
        <v>2569</v>
      </c>
      <c r="Y169" t="s">
        <v>2890</v>
      </c>
      <c r="AC169" t="s">
        <v>3181</v>
      </c>
      <c r="AG169" t="s">
        <v>3449</v>
      </c>
      <c r="AK169" t="s">
        <v>3685</v>
      </c>
      <c r="AO169" t="s">
        <v>3960</v>
      </c>
      <c r="AS169" t="s">
        <v>4248</v>
      </c>
      <c r="AW169" t="s">
        <v>4490</v>
      </c>
      <c r="BA169" t="s">
        <v>4735</v>
      </c>
      <c r="BE169" t="s">
        <v>4946</v>
      </c>
      <c r="BG169" t="s">
        <v>5019</v>
      </c>
      <c r="BH169" t="s">
        <v>5213</v>
      </c>
      <c r="BI169" t="s">
        <v>5462</v>
      </c>
      <c r="BJ169" t="s">
        <v>5729</v>
      </c>
      <c r="BK169" t="s">
        <v>6016</v>
      </c>
      <c r="BL169" t="s">
        <v>6221</v>
      </c>
      <c r="BM169" t="s">
        <v>6392</v>
      </c>
      <c r="BN169" t="s">
        <v>6551</v>
      </c>
      <c r="BO169" t="s">
        <v>6711</v>
      </c>
      <c r="BP169" t="s">
        <v>6812</v>
      </c>
      <c r="BT169" t="s">
        <v>7017</v>
      </c>
      <c r="BU169" t="s">
        <v>7173</v>
      </c>
      <c r="BV169" t="s">
        <v>7246</v>
      </c>
      <c r="BW169" t="s">
        <v>7416</v>
      </c>
      <c r="BX169" t="s">
        <v>7565</v>
      </c>
      <c r="BZ169">
        <v>0</v>
      </c>
      <c r="CA169">
        <v>0</v>
      </c>
      <c r="CE169" t="s">
        <v>7986</v>
      </c>
      <c r="CF169" s="144">
        <v>43901.526122685187</v>
      </c>
      <c r="CG169" s="144">
        <v>43901.528703703705</v>
      </c>
      <c r="CH169" t="s">
        <v>8303</v>
      </c>
    </row>
    <row r="170" spans="1:86" ht="15" customHeight="1" x14ac:dyDescent="0.35">
      <c r="A170" t="s">
        <v>701</v>
      </c>
      <c r="D170" t="s">
        <v>1023</v>
      </c>
      <c r="E170" t="s">
        <v>1232</v>
      </c>
      <c r="I170" t="s">
        <v>1569</v>
      </c>
      <c r="M170" t="s">
        <v>1888</v>
      </c>
      <c r="Q170" t="s">
        <v>2225</v>
      </c>
      <c r="U170" t="s">
        <v>2569</v>
      </c>
      <c r="Y170" t="s">
        <v>2891</v>
      </c>
      <c r="Z170">
        <v>6</v>
      </c>
      <c r="AC170" t="s">
        <v>3182</v>
      </c>
      <c r="AE170">
        <v>4</v>
      </c>
      <c r="AG170" t="s">
        <v>3450</v>
      </c>
      <c r="AI170">
        <v>6</v>
      </c>
      <c r="AK170" t="s">
        <v>3685</v>
      </c>
      <c r="AO170" t="s">
        <v>3961</v>
      </c>
      <c r="AP170">
        <v>8</v>
      </c>
      <c r="AS170" t="s">
        <v>4248</v>
      </c>
      <c r="AW170" t="s">
        <v>4490</v>
      </c>
      <c r="BA170" t="s">
        <v>4735</v>
      </c>
      <c r="BE170" t="s">
        <v>4946</v>
      </c>
      <c r="BG170" t="s">
        <v>5019</v>
      </c>
      <c r="BH170" t="s">
        <v>5214</v>
      </c>
      <c r="BI170" t="s">
        <v>5463</v>
      </c>
      <c r="BJ170" t="s">
        <v>5730</v>
      </c>
      <c r="BK170" t="s">
        <v>6017</v>
      </c>
      <c r="BL170" t="s">
        <v>6221</v>
      </c>
      <c r="BM170" t="s">
        <v>6392</v>
      </c>
      <c r="BN170" t="s">
        <v>6552</v>
      </c>
      <c r="BO170" t="s">
        <v>6712</v>
      </c>
      <c r="BP170" t="s">
        <v>6812</v>
      </c>
      <c r="BT170" t="s">
        <v>7018</v>
      </c>
      <c r="BU170" t="s">
        <v>7174</v>
      </c>
      <c r="BV170" t="s">
        <v>7247</v>
      </c>
      <c r="BW170" t="s">
        <v>7417</v>
      </c>
      <c r="BX170" t="s">
        <v>7566</v>
      </c>
      <c r="BZ170">
        <v>0</v>
      </c>
      <c r="CA170">
        <v>0</v>
      </c>
      <c r="CE170" t="s">
        <v>7987</v>
      </c>
      <c r="CF170" s="144">
        <v>43899.814351851855</v>
      </c>
      <c r="CG170" s="144">
        <v>43899.821284722224</v>
      </c>
      <c r="CH170" t="s">
        <v>8304</v>
      </c>
    </row>
    <row r="171" spans="1:86" ht="15" hidden="1" customHeight="1" x14ac:dyDescent="0.35">
      <c r="A171" t="s">
        <v>702</v>
      </c>
      <c r="D171" t="s">
        <v>1024</v>
      </c>
      <c r="E171" t="s">
        <v>1232</v>
      </c>
      <c r="I171" t="s">
        <v>1570</v>
      </c>
      <c r="J171">
        <v>6</v>
      </c>
      <c r="L171" t="s">
        <v>1751</v>
      </c>
      <c r="M171" t="s">
        <v>1888</v>
      </c>
      <c r="Q171" t="s">
        <v>2226</v>
      </c>
      <c r="S171">
        <v>8</v>
      </c>
      <c r="U171" t="s">
        <v>2570</v>
      </c>
      <c r="V171">
        <v>8</v>
      </c>
      <c r="X171" t="s">
        <v>2738</v>
      </c>
      <c r="Y171" t="s">
        <v>2891</v>
      </c>
      <c r="Z171">
        <v>8</v>
      </c>
      <c r="AB171" t="s">
        <v>3050</v>
      </c>
      <c r="AC171" t="s">
        <v>3183</v>
      </c>
      <c r="AG171" t="s">
        <v>3451</v>
      </c>
      <c r="AK171" t="s">
        <v>3685</v>
      </c>
      <c r="AO171" t="s">
        <v>3962</v>
      </c>
      <c r="AS171" t="s">
        <v>4249</v>
      </c>
      <c r="AT171">
        <v>4</v>
      </c>
      <c r="AW171" t="s">
        <v>4490</v>
      </c>
      <c r="BA171" t="s">
        <v>4735</v>
      </c>
      <c r="BE171" t="s">
        <v>4946</v>
      </c>
      <c r="BG171" t="s">
        <v>5019</v>
      </c>
      <c r="BH171" t="s">
        <v>5215</v>
      </c>
      <c r="BI171" t="s">
        <v>5464</v>
      </c>
      <c r="BJ171" t="s">
        <v>5731</v>
      </c>
      <c r="BK171" t="s">
        <v>6018</v>
      </c>
      <c r="BL171" t="s">
        <v>6221</v>
      </c>
      <c r="BM171" t="s">
        <v>6392</v>
      </c>
      <c r="BN171" t="s">
        <v>6552</v>
      </c>
      <c r="BO171" t="s">
        <v>6713</v>
      </c>
      <c r="BP171" t="s">
        <v>6812</v>
      </c>
      <c r="BT171" t="s">
        <v>7018</v>
      </c>
      <c r="BU171" t="s">
        <v>7174</v>
      </c>
      <c r="BV171" t="s">
        <v>7248</v>
      </c>
      <c r="BW171" t="s">
        <v>7418</v>
      </c>
      <c r="BX171" t="s">
        <v>7566</v>
      </c>
      <c r="BZ171">
        <v>0</v>
      </c>
      <c r="CA171">
        <v>0</v>
      </c>
      <c r="CE171" t="s">
        <v>7987</v>
      </c>
      <c r="CF171" s="144">
        <v>43899.791481481479</v>
      </c>
      <c r="CG171" s="144">
        <v>43899.798495370371</v>
      </c>
      <c r="CH171" t="s">
        <v>8305</v>
      </c>
    </row>
    <row r="172" spans="1:86" ht="15" customHeight="1" x14ac:dyDescent="0.35">
      <c r="A172" t="s">
        <v>703</v>
      </c>
      <c r="D172" t="s">
        <v>1025</v>
      </c>
      <c r="E172" t="s">
        <v>1232</v>
      </c>
      <c r="I172" t="s">
        <v>1571</v>
      </c>
      <c r="K172">
        <v>6</v>
      </c>
      <c r="M172" t="s">
        <v>1888</v>
      </c>
      <c r="Q172" t="s">
        <v>2226</v>
      </c>
      <c r="S172">
        <v>6</v>
      </c>
      <c r="U172" t="s">
        <v>2571</v>
      </c>
      <c r="Y172" t="s">
        <v>2892</v>
      </c>
      <c r="AC172" t="s">
        <v>3184</v>
      </c>
      <c r="AE172">
        <v>6</v>
      </c>
      <c r="AG172" t="s">
        <v>3451</v>
      </c>
      <c r="AK172" t="s">
        <v>3686</v>
      </c>
      <c r="AL172">
        <v>8</v>
      </c>
      <c r="AO172" t="s">
        <v>3962</v>
      </c>
      <c r="AS172" t="s">
        <v>4249</v>
      </c>
      <c r="AT172">
        <v>7</v>
      </c>
      <c r="AW172" t="s">
        <v>4490</v>
      </c>
      <c r="BA172" t="s">
        <v>4735</v>
      </c>
      <c r="BE172" t="s">
        <v>4946</v>
      </c>
      <c r="BG172" t="s">
        <v>5019</v>
      </c>
      <c r="BH172" t="s">
        <v>5215</v>
      </c>
      <c r="BI172" t="s">
        <v>5464</v>
      </c>
      <c r="BJ172" t="s">
        <v>5731</v>
      </c>
      <c r="BK172" t="s">
        <v>6019</v>
      </c>
      <c r="BL172" t="s">
        <v>6221</v>
      </c>
      <c r="BM172" t="s">
        <v>6392</v>
      </c>
      <c r="BN172" t="s">
        <v>6552</v>
      </c>
      <c r="BO172" t="s">
        <v>6713</v>
      </c>
      <c r="BP172" t="s">
        <v>6812</v>
      </c>
      <c r="BT172" t="s">
        <v>7019</v>
      </c>
      <c r="BU172" t="s">
        <v>7174</v>
      </c>
      <c r="BV172" t="s">
        <v>7249</v>
      </c>
      <c r="BW172" t="s">
        <v>7419</v>
      </c>
      <c r="BX172" t="s">
        <v>7566</v>
      </c>
      <c r="BZ172">
        <v>0</v>
      </c>
      <c r="CA172">
        <v>0</v>
      </c>
      <c r="CE172" t="s">
        <v>7987</v>
      </c>
      <c r="CF172" s="144">
        <v>43899.677731481483</v>
      </c>
      <c r="CG172" s="144">
        <v>43899.682060185187</v>
      </c>
      <c r="CH172" t="s">
        <v>8306</v>
      </c>
    </row>
    <row r="173" spans="1:86" ht="15" hidden="1" customHeight="1" x14ac:dyDescent="0.35">
      <c r="A173" t="s">
        <v>704</v>
      </c>
      <c r="D173" t="s">
        <v>1026</v>
      </c>
      <c r="E173" t="s">
        <v>1232</v>
      </c>
      <c r="I173" t="s">
        <v>1572</v>
      </c>
      <c r="J173">
        <v>4</v>
      </c>
      <c r="L173" t="s">
        <v>1752</v>
      </c>
      <c r="M173" t="s">
        <v>1889</v>
      </c>
      <c r="N173">
        <v>4</v>
      </c>
      <c r="P173" t="s">
        <v>2055</v>
      </c>
      <c r="Q173" t="s">
        <v>2227</v>
      </c>
      <c r="U173" t="s">
        <v>2572</v>
      </c>
      <c r="V173">
        <v>5</v>
      </c>
      <c r="X173" t="s">
        <v>2739</v>
      </c>
      <c r="Y173" t="s">
        <v>2893</v>
      </c>
      <c r="Z173">
        <v>5</v>
      </c>
      <c r="AB173" t="s">
        <v>3051</v>
      </c>
      <c r="AC173" t="s">
        <v>3185</v>
      </c>
      <c r="AG173" t="s">
        <v>3451</v>
      </c>
      <c r="AK173" t="s">
        <v>3687</v>
      </c>
      <c r="AO173" t="s">
        <v>3963</v>
      </c>
      <c r="AQ173">
        <v>5</v>
      </c>
      <c r="AR173" t="s">
        <v>4122</v>
      </c>
      <c r="AS173" t="s">
        <v>4249</v>
      </c>
      <c r="AT173">
        <v>4</v>
      </c>
      <c r="AW173" t="s">
        <v>4490</v>
      </c>
      <c r="BA173" t="s">
        <v>4736</v>
      </c>
      <c r="BC173">
        <v>5</v>
      </c>
      <c r="BE173" t="s">
        <v>4946</v>
      </c>
      <c r="BG173" t="s">
        <v>5019</v>
      </c>
      <c r="BH173" t="s">
        <v>5215</v>
      </c>
      <c r="BI173" t="s">
        <v>5465</v>
      </c>
      <c r="BJ173" t="s">
        <v>5732</v>
      </c>
      <c r="BK173" t="s">
        <v>6019</v>
      </c>
      <c r="BL173" t="s">
        <v>6221</v>
      </c>
      <c r="BM173" t="s">
        <v>6392</v>
      </c>
      <c r="BN173" t="s">
        <v>6553</v>
      </c>
      <c r="BO173" t="s">
        <v>6714</v>
      </c>
      <c r="BP173" t="s">
        <v>6812</v>
      </c>
      <c r="BT173" t="s">
        <v>7020</v>
      </c>
      <c r="BU173" t="s">
        <v>7174</v>
      </c>
      <c r="BV173" t="s">
        <v>7249</v>
      </c>
      <c r="BW173" t="s">
        <v>7420</v>
      </c>
      <c r="BX173" t="s">
        <v>7566</v>
      </c>
      <c r="BZ173">
        <v>0</v>
      </c>
      <c r="CA173">
        <v>1</v>
      </c>
      <c r="CB173" t="s">
        <v>7664</v>
      </c>
      <c r="CC173" t="s">
        <v>7728</v>
      </c>
      <c r="CD173" t="s">
        <v>7815</v>
      </c>
      <c r="CE173" t="s">
        <v>7987</v>
      </c>
      <c r="CF173" s="144">
        <v>43899.348703703705</v>
      </c>
      <c r="CG173" s="144">
        <v>43899.354884259257</v>
      </c>
      <c r="CH173" s="24" t="s">
        <v>8307</v>
      </c>
    </row>
    <row r="174" spans="1:86" ht="15" customHeight="1" x14ac:dyDescent="0.35">
      <c r="A174" t="s">
        <v>705</v>
      </c>
      <c r="D174" t="s">
        <v>1026</v>
      </c>
      <c r="E174" t="s">
        <v>1232</v>
      </c>
      <c r="I174" t="s">
        <v>1573</v>
      </c>
      <c r="M174" t="s">
        <v>1890</v>
      </c>
      <c r="Q174" t="s">
        <v>2228</v>
      </c>
      <c r="S174">
        <v>7</v>
      </c>
      <c r="T174" t="s">
        <v>2423</v>
      </c>
      <c r="U174" t="s">
        <v>2573</v>
      </c>
      <c r="W174">
        <v>5</v>
      </c>
      <c r="X174" t="s">
        <v>2740</v>
      </c>
      <c r="Y174" t="s">
        <v>2894</v>
      </c>
      <c r="AC174" t="s">
        <v>3185</v>
      </c>
      <c r="AG174" t="s">
        <v>3451</v>
      </c>
      <c r="AK174" t="s">
        <v>3687</v>
      </c>
      <c r="AO174" t="s">
        <v>3964</v>
      </c>
      <c r="AS174" t="s">
        <v>4249</v>
      </c>
      <c r="AT174">
        <v>7</v>
      </c>
      <c r="AV174" t="s">
        <v>4377</v>
      </c>
      <c r="AW174" t="s">
        <v>4490</v>
      </c>
      <c r="BA174" t="s">
        <v>4737</v>
      </c>
      <c r="BE174" t="s">
        <v>4946</v>
      </c>
      <c r="BG174" t="s">
        <v>5019</v>
      </c>
      <c r="BH174" t="s">
        <v>5216</v>
      </c>
      <c r="BI174" t="s">
        <v>5466</v>
      </c>
      <c r="BJ174" t="s">
        <v>5732</v>
      </c>
      <c r="BK174" t="s">
        <v>6020</v>
      </c>
      <c r="BL174" t="s">
        <v>6221</v>
      </c>
      <c r="BM174" t="s">
        <v>6392</v>
      </c>
      <c r="BN174" t="s">
        <v>6553</v>
      </c>
      <c r="BO174" t="s">
        <v>6714</v>
      </c>
      <c r="BP174" t="s">
        <v>6812</v>
      </c>
      <c r="BT174" t="s">
        <v>7020</v>
      </c>
      <c r="BU174" t="s">
        <v>7174</v>
      </c>
      <c r="BV174" t="s">
        <v>7249</v>
      </c>
      <c r="BW174" t="s">
        <v>7421</v>
      </c>
      <c r="BX174" t="s">
        <v>7566</v>
      </c>
      <c r="BZ174">
        <v>0</v>
      </c>
      <c r="CA174">
        <v>1</v>
      </c>
      <c r="CB174" t="s">
        <v>7665</v>
      </c>
      <c r="CD174" t="s">
        <v>7816</v>
      </c>
      <c r="CE174" t="s">
        <v>7988</v>
      </c>
      <c r="CF174" s="144">
        <v>43896.838599537034</v>
      </c>
      <c r="CG174" s="144">
        <v>43896.844166666669</v>
      </c>
      <c r="CH174" t="s">
        <v>8308</v>
      </c>
    </row>
    <row r="175" spans="1:86" ht="15" hidden="1" customHeight="1" x14ac:dyDescent="0.35">
      <c r="A175" t="s">
        <v>706</v>
      </c>
      <c r="D175" t="s">
        <v>1026</v>
      </c>
      <c r="E175" t="s">
        <v>1233</v>
      </c>
      <c r="F175">
        <v>7</v>
      </c>
      <c r="I175" t="s">
        <v>1574</v>
      </c>
      <c r="J175">
        <v>5</v>
      </c>
      <c r="M175" t="s">
        <v>1891</v>
      </c>
      <c r="N175">
        <v>6</v>
      </c>
      <c r="Q175" t="s">
        <v>2228</v>
      </c>
      <c r="S175">
        <v>7</v>
      </c>
      <c r="U175" t="s">
        <v>2574</v>
      </c>
      <c r="Y175" t="s">
        <v>2894</v>
      </c>
      <c r="AC175" t="s">
        <v>3186</v>
      </c>
      <c r="AD175">
        <v>6</v>
      </c>
      <c r="AG175" t="s">
        <v>3451</v>
      </c>
      <c r="AK175" t="s">
        <v>3687</v>
      </c>
      <c r="AO175" t="s">
        <v>3964</v>
      </c>
      <c r="AS175" t="s">
        <v>4250</v>
      </c>
      <c r="AW175" t="s">
        <v>4490</v>
      </c>
      <c r="BA175" t="s">
        <v>4738</v>
      </c>
      <c r="BC175">
        <v>6</v>
      </c>
      <c r="BE175" t="s">
        <v>4946</v>
      </c>
      <c r="BG175" t="s">
        <v>5019</v>
      </c>
      <c r="BH175" t="s">
        <v>5217</v>
      </c>
      <c r="BI175" t="s">
        <v>5467</v>
      </c>
      <c r="BJ175" t="s">
        <v>5732</v>
      </c>
      <c r="BK175" t="s">
        <v>6021</v>
      </c>
      <c r="BL175" t="s">
        <v>6221</v>
      </c>
      <c r="BM175" t="s">
        <v>6392</v>
      </c>
      <c r="BN175" t="s">
        <v>6553</v>
      </c>
      <c r="BO175" t="s">
        <v>6714</v>
      </c>
      <c r="BP175" t="s">
        <v>6812</v>
      </c>
      <c r="BT175" t="s">
        <v>7020</v>
      </c>
      <c r="BU175" t="s">
        <v>7174</v>
      </c>
      <c r="BV175" t="s">
        <v>7249</v>
      </c>
      <c r="BW175" t="s">
        <v>7422</v>
      </c>
      <c r="BX175" t="s">
        <v>7566</v>
      </c>
      <c r="BZ175">
        <v>0</v>
      </c>
      <c r="CA175">
        <v>1</v>
      </c>
      <c r="CB175" t="s">
        <v>7666</v>
      </c>
      <c r="CD175" t="s">
        <v>7817</v>
      </c>
      <c r="CE175" t="s">
        <v>7989</v>
      </c>
      <c r="CF175" s="144">
        <v>43895.516724537039</v>
      </c>
      <c r="CG175" s="144">
        <v>43895.522870370369</v>
      </c>
      <c r="CH175" t="s">
        <v>8309</v>
      </c>
    </row>
    <row r="176" spans="1:86" ht="15" hidden="1" customHeight="1" x14ac:dyDescent="0.35">
      <c r="A176" t="s">
        <v>707</v>
      </c>
      <c r="D176" t="s">
        <v>1026</v>
      </c>
      <c r="E176" t="s">
        <v>1233</v>
      </c>
      <c r="F176">
        <v>3</v>
      </c>
      <c r="I176" t="s">
        <v>1574</v>
      </c>
      <c r="J176">
        <v>3</v>
      </c>
      <c r="M176" t="s">
        <v>1892</v>
      </c>
      <c r="O176">
        <v>1</v>
      </c>
      <c r="Q176" t="s">
        <v>2229</v>
      </c>
      <c r="R176">
        <v>3</v>
      </c>
      <c r="U176" t="s">
        <v>2575</v>
      </c>
      <c r="W176">
        <v>1</v>
      </c>
      <c r="Y176" t="s">
        <v>2895</v>
      </c>
      <c r="Z176">
        <v>5</v>
      </c>
      <c r="AC176" t="s">
        <v>3186</v>
      </c>
      <c r="AD176">
        <v>3</v>
      </c>
      <c r="AG176" t="s">
        <v>3452</v>
      </c>
      <c r="AI176">
        <v>4</v>
      </c>
      <c r="AK176" t="s">
        <v>3688</v>
      </c>
      <c r="AM176">
        <v>3</v>
      </c>
      <c r="AO176" t="s">
        <v>3965</v>
      </c>
      <c r="AQ176">
        <v>2</v>
      </c>
      <c r="AS176" t="s">
        <v>4251</v>
      </c>
      <c r="AT176">
        <v>3</v>
      </c>
      <c r="AW176" t="s">
        <v>4491</v>
      </c>
      <c r="AY176">
        <v>4</v>
      </c>
      <c r="BA176" t="s">
        <v>4738</v>
      </c>
      <c r="BC176">
        <v>3</v>
      </c>
      <c r="BG176" t="s">
        <v>5019</v>
      </c>
      <c r="BH176" t="s">
        <v>5217</v>
      </c>
      <c r="BI176" t="s">
        <v>5467</v>
      </c>
      <c r="BJ176" t="s">
        <v>5733</v>
      </c>
      <c r="BK176" t="s">
        <v>6022</v>
      </c>
      <c r="BL176" t="s">
        <v>6222</v>
      </c>
      <c r="BM176" t="s">
        <v>6393</v>
      </c>
      <c r="BN176" t="s">
        <v>6553</v>
      </c>
      <c r="BO176" t="s">
        <v>6714</v>
      </c>
      <c r="BP176" t="s">
        <v>6812</v>
      </c>
      <c r="BT176" t="s">
        <v>7020</v>
      </c>
      <c r="BU176" t="s">
        <v>7175</v>
      </c>
      <c r="BV176" t="s">
        <v>7249</v>
      </c>
      <c r="BW176" t="s">
        <v>7422</v>
      </c>
      <c r="BX176" t="s">
        <v>7566</v>
      </c>
      <c r="BZ176">
        <v>0</v>
      </c>
      <c r="CA176">
        <v>1</v>
      </c>
      <c r="CB176" t="s">
        <v>7666</v>
      </c>
      <c r="CC176" t="s">
        <v>7728</v>
      </c>
      <c r="CD176" t="s">
        <v>7818</v>
      </c>
      <c r="CE176" t="s">
        <v>7990</v>
      </c>
      <c r="CF176" s="144">
        <v>43895.469618055555</v>
      </c>
      <c r="CG176" s="144">
        <v>43895.491493055553</v>
      </c>
      <c r="CH176" t="s">
        <v>8310</v>
      </c>
    </row>
    <row r="177" spans="1:86" ht="15" hidden="1" customHeight="1" x14ac:dyDescent="0.35">
      <c r="A177" t="s">
        <v>708</v>
      </c>
      <c r="D177" t="s">
        <v>1026</v>
      </c>
      <c r="E177" t="s">
        <v>1234</v>
      </c>
      <c r="I177" t="s">
        <v>1575</v>
      </c>
      <c r="M177" t="s">
        <v>1893</v>
      </c>
      <c r="Q177" t="s">
        <v>2230</v>
      </c>
      <c r="U177" t="s">
        <v>2576</v>
      </c>
      <c r="Y177" t="s">
        <v>2896</v>
      </c>
      <c r="AC177" t="s">
        <v>3187</v>
      </c>
      <c r="AG177" t="s">
        <v>3453</v>
      </c>
      <c r="AK177" t="s">
        <v>3689</v>
      </c>
      <c r="AO177" t="s">
        <v>3966</v>
      </c>
      <c r="AS177" t="s">
        <v>4251</v>
      </c>
      <c r="AT177">
        <v>5</v>
      </c>
      <c r="AV177" t="s">
        <v>4378</v>
      </c>
      <c r="AW177" t="s">
        <v>4492</v>
      </c>
      <c r="BA177" t="s">
        <v>4738</v>
      </c>
      <c r="BC177">
        <v>8</v>
      </c>
      <c r="BD177" t="s">
        <v>4869</v>
      </c>
      <c r="BE177" t="s">
        <v>4946</v>
      </c>
      <c r="BG177" t="s">
        <v>5019</v>
      </c>
      <c r="BH177" t="s">
        <v>5218</v>
      </c>
      <c r="BI177" t="s">
        <v>5467</v>
      </c>
      <c r="BJ177" t="s">
        <v>5734</v>
      </c>
      <c r="BK177" t="s">
        <v>6023</v>
      </c>
      <c r="BL177" t="s">
        <v>6223</v>
      </c>
      <c r="BM177" t="s">
        <v>6394</v>
      </c>
      <c r="BN177" t="s">
        <v>6553</v>
      </c>
      <c r="BO177" t="s">
        <v>6714</v>
      </c>
      <c r="BP177" t="s">
        <v>6812</v>
      </c>
      <c r="BT177" t="s">
        <v>7021</v>
      </c>
      <c r="BU177" t="s">
        <v>7176</v>
      </c>
      <c r="BV177" t="s">
        <v>7249</v>
      </c>
      <c r="BW177" t="s">
        <v>7422</v>
      </c>
      <c r="BX177" t="s">
        <v>7566</v>
      </c>
      <c r="BZ177">
        <v>0</v>
      </c>
      <c r="CA177">
        <v>0</v>
      </c>
      <c r="CE177" t="s">
        <v>7991</v>
      </c>
      <c r="CF177" s="144">
        <v>43895.365023148152</v>
      </c>
      <c r="CG177" s="144">
        <v>43895.476990740739</v>
      </c>
      <c r="CH177" t="s">
        <v>8311</v>
      </c>
    </row>
    <row r="178" spans="1:86" ht="15" hidden="1" customHeight="1" x14ac:dyDescent="0.35">
      <c r="A178" t="s">
        <v>709</v>
      </c>
      <c r="D178" t="s">
        <v>1027</v>
      </c>
      <c r="E178" t="s">
        <v>1234</v>
      </c>
      <c r="I178" t="s">
        <v>1576</v>
      </c>
      <c r="J178">
        <v>8</v>
      </c>
      <c r="M178" t="s">
        <v>1894</v>
      </c>
      <c r="N178">
        <v>8</v>
      </c>
      <c r="Q178" t="s">
        <v>2231</v>
      </c>
      <c r="R178">
        <v>8</v>
      </c>
      <c r="U178" t="s">
        <v>2577</v>
      </c>
      <c r="V178">
        <v>8</v>
      </c>
      <c r="Y178" t="s">
        <v>2897</v>
      </c>
      <c r="AA178">
        <v>8</v>
      </c>
      <c r="AC178" t="s">
        <v>3188</v>
      </c>
      <c r="AE178">
        <v>8</v>
      </c>
      <c r="AG178" t="s">
        <v>3454</v>
      </c>
      <c r="AI178">
        <v>8</v>
      </c>
      <c r="AK178" t="s">
        <v>3690</v>
      </c>
      <c r="AL178">
        <v>8</v>
      </c>
      <c r="AO178" t="s">
        <v>3967</v>
      </c>
      <c r="AQ178">
        <v>8</v>
      </c>
      <c r="AS178" t="s">
        <v>4251</v>
      </c>
      <c r="AT178">
        <v>8</v>
      </c>
      <c r="AW178" t="s">
        <v>4493</v>
      </c>
      <c r="AY178">
        <v>5</v>
      </c>
      <c r="BA178" t="s">
        <v>4738</v>
      </c>
      <c r="BC178">
        <v>7</v>
      </c>
      <c r="BE178" t="s">
        <v>4946</v>
      </c>
      <c r="BG178" t="s">
        <v>5019</v>
      </c>
      <c r="BH178" t="s">
        <v>5219</v>
      </c>
      <c r="BI178" t="s">
        <v>5468</v>
      </c>
      <c r="BJ178" t="s">
        <v>5735</v>
      </c>
      <c r="BK178" t="s">
        <v>6024</v>
      </c>
      <c r="BL178" t="s">
        <v>6223</v>
      </c>
      <c r="BM178" t="s">
        <v>6394</v>
      </c>
      <c r="BN178" t="s">
        <v>6554</v>
      </c>
      <c r="BO178" t="s">
        <v>6715</v>
      </c>
      <c r="BP178" t="s">
        <v>6812</v>
      </c>
      <c r="BT178" t="s">
        <v>7022</v>
      </c>
      <c r="BU178" t="s">
        <v>7176</v>
      </c>
      <c r="BV178" t="s">
        <v>7249</v>
      </c>
      <c r="BW178" t="s">
        <v>7422</v>
      </c>
      <c r="BX178" t="s">
        <v>7566</v>
      </c>
      <c r="BZ178">
        <v>0</v>
      </c>
      <c r="CA178">
        <v>0</v>
      </c>
      <c r="CE178" t="s">
        <v>7992</v>
      </c>
      <c r="CF178" s="144">
        <v>43894.895543981482</v>
      </c>
      <c r="CG178" s="144">
        <v>43894.901377314818</v>
      </c>
      <c r="CH178" t="s">
        <v>8312</v>
      </c>
    </row>
    <row r="179" spans="1:86" ht="15" hidden="1" customHeight="1" x14ac:dyDescent="0.35">
      <c r="A179" t="s">
        <v>710</v>
      </c>
      <c r="D179" t="s">
        <v>1028</v>
      </c>
      <c r="E179" t="s">
        <v>1234</v>
      </c>
      <c r="I179" t="s">
        <v>1577</v>
      </c>
      <c r="M179" t="s">
        <v>1895</v>
      </c>
      <c r="Q179" t="s">
        <v>2232</v>
      </c>
      <c r="U179" t="s">
        <v>2578</v>
      </c>
      <c r="Y179" t="s">
        <v>2898</v>
      </c>
      <c r="AC179" t="s">
        <v>3189</v>
      </c>
      <c r="AG179" t="s">
        <v>3455</v>
      </c>
      <c r="AK179" t="s">
        <v>3691</v>
      </c>
      <c r="AO179" t="s">
        <v>3968</v>
      </c>
      <c r="AS179" t="s">
        <v>4252</v>
      </c>
      <c r="AW179" t="s">
        <v>4494</v>
      </c>
      <c r="BA179" t="s">
        <v>4739</v>
      </c>
      <c r="BE179" t="s">
        <v>4946</v>
      </c>
      <c r="BG179" t="s">
        <v>5020</v>
      </c>
      <c r="BH179" t="s">
        <v>5220</v>
      </c>
      <c r="BI179" t="s">
        <v>5469</v>
      </c>
      <c r="BJ179" t="s">
        <v>5736</v>
      </c>
      <c r="BK179" t="s">
        <v>6025</v>
      </c>
      <c r="BL179" t="s">
        <v>6224</v>
      </c>
      <c r="BM179" t="s">
        <v>6395</v>
      </c>
      <c r="BN179" t="s">
        <v>6555</v>
      </c>
      <c r="BO179" t="s">
        <v>6715</v>
      </c>
      <c r="BP179" t="s">
        <v>6812</v>
      </c>
      <c r="BT179" t="s">
        <v>7022</v>
      </c>
      <c r="BU179" t="s">
        <v>7176</v>
      </c>
      <c r="BV179" t="s">
        <v>7250</v>
      </c>
      <c r="BW179" t="s">
        <v>7422</v>
      </c>
      <c r="BX179" t="s">
        <v>7566</v>
      </c>
      <c r="BZ179">
        <v>0</v>
      </c>
      <c r="CA179">
        <v>0</v>
      </c>
      <c r="CE179" t="s">
        <v>7993</v>
      </c>
      <c r="CF179" s="144">
        <v>43894.786041666666</v>
      </c>
      <c r="CG179" s="144">
        <v>43894.793240740742</v>
      </c>
      <c r="CH179" t="s">
        <v>8313</v>
      </c>
    </row>
    <row r="180" spans="1:86" ht="15" hidden="1" customHeight="1" x14ac:dyDescent="0.35">
      <c r="A180" t="s">
        <v>711</v>
      </c>
      <c r="D180" t="s">
        <v>1028</v>
      </c>
      <c r="E180" t="s">
        <v>1234</v>
      </c>
      <c r="I180" t="s">
        <v>1577</v>
      </c>
      <c r="M180" t="s">
        <v>1896</v>
      </c>
      <c r="N180">
        <v>4</v>
      </c>
      <c r="Q180" t="s">
        <v>2232</v>
      </c>
      <c r="U180" t="s">
        <v>2578</v>
      </c>
      <c r="Y180" t="s">
        <v>2898</v>
      </c>
      <c r="AC180" t="s">
        <v>3189</v>
      </c>
      <c r="AG180" t="s">
        <v>3455</v>
      </c>
      <c r="AK180" t="s">
        <v>3691</v>
      </c>
      <c r="AO180" t="s">
        <v>3968</v>
      </c>
      <c r="AS180" t="s">
        <v>4252</v>
      </c>
      <c r="AW180" t="s">
        <v>4494</v>
      </c>
      <c r="BA180" t="s">
        <v>4739</v>
      </c>
      <c r="BE180" t="s">
        <v>4946</v>
      </c>
      <c r="BG180" t="s">
        <v>5021</v>
      </c>
      <c r="BH180" t="s">
        <v>5220</v>
      </c>
      <c r="BI180" t="s">
        <v>5469</v>
      </c>
      <c r="BJ180" t="s">
        <v>5737</v>
      </c>
      <c r="BK180" t="s">
        <v>6025</v>
      </c>
      <c r="BL180" t="s">
        <v>6225</v>
      </c>
      <c r="BM180" t="s">
        <v>6395</v>
      </c>
      <c r="BN180" t="s">
        <v>6556</v>
      </c>
      <c r="BO180" t="s">
        <v>6716</v>
      </c>
      <c r="BP180" t="s">
        <v>6812</v>
      </c>
      <c r="BT180" t="s">
        <v>7023</v>
      </c>
      <c r="BU180" t="s">
        <v>7176</v>
      </c>
      <c r="BV180" t="s">
        <v>7251</v>
      </c>
      <c r="BW180" t="s">
        <v>7422</v>
      </c>
      <c r="BX180" t="s">
        <v>7566</v>
      </c>
      <c r="BZ180">
        <v>0</v>
      </c>
      <c r="CA180">
        <v>1</v>
      </c>
      <c r="CB180" t="s">
        <v>7667</v>
      </c>
      <c r="CC180" t="s">
        <v>7728</v>
      </c>
      <c r="CD180" t="s">
        <v>7819</v>
      </c>
      <c r="CE180" t="s">
        <v>7994</v>
      </c>
      <c r="CF180" s="144">
        <v>43885.346192129633</v>
      </c>
      <c r="CG180" s="144">
        <v>43885.357557870368</v>
      </c>
      <c r="CH180" t="s">
        <v>8314</v>
      </c>
    </row>
    <row r="181" spans="1:86" ht="15" hidden="1" customHeight="1" x14ac:dyDescent="0.35">
      <c r="A181" t="s">
        <v>712</v>
      </c>
      <c r="D181" t="s">
        <v>1028</v>
      </c>
      <c r="E181" t="s">
        <v>1234</v>
      </c>
      <c r="I181" t="s">
        <v>1578</v>
      </c>
      <c r="J181">
        <v>6</v>
      </c>
      <c r="L181" t="s">
        <v>1753</v>
      </c>
      <c r="M181" t="s">
        <v>1896</v>
      </c>
      <c r="N181">
        <v>7</v>
      </c>
      <c r="Q181" t="s">
        <v>2232</v>
      </c>
      <c r="U181" t="s">
        <v>2579</v>
      </c>
      <c r="W181">
        <v>7</v>
      </c>
      <c r="Y181" t="s">
        <v>2898</v>
      </c>
      <c r="AC181" t="s">
        <v>3189</v>
      </c>
      <c r="AG181" t="s">
        <v>3455</v>
      </c>
      <c r="AK181" t="s">
        <v>3691</v>
      </c>
      <c r="AO181" t="s">
        <v>3969</v>
      </c>
      <c r="AP181">
        <v>6</v>
      </c>
      <c r="AR181" t="s">
        <v>4123</v>
      </c>
      <c r="AS181" t="s">
        <v>4252</v>
      </c>
      <c r="AW181" t="s">
        <v>4495</v>
      </c>
      <c r="AY181">
        <v>7</v>
      </c>
      <c r="AZ181" t="s">
        <v>4620</v>
      </c>
      <c r="BA181" t="s">
        <v>4739</v>
      </c>
      <c r="BE181" t="s">
        <v>4946</v>
      </c>
      <c r="BG181" t="s">
        <v>5021</v>
      </c>
      <c r="BH181" t="s">
        <v>5221</v>
      </c>
      <c r="BI181" t="s">
        <v>5470</v>
      </c>
      <c r="BJ181" t="s">
        <v>5737</v>
      </c>
      <c r="BK181" t="s">
        <v>6026</v>
      </c>
      <c r="BL181" t="s">
        <v>6226</v>
      </c>
      <c r="BM181" t="s">
        <v>6396</v>
      </c>
      <c r="BN181" t="s">
        <v>6557</v>
      </c>
      <c r="BO181" t="s">
        <v>6717</v>
      </c>
      <c r="BP181" t="s">
        <v>6812</v>
      </c>
      <c r="BT181" t="s">
        <v>7024</v>
      </c>
      <c r="BU181" t="s">
        <v>7176</v>
      </c>
      <c r="BV181" t="s">
        <v>7251</v>
      </c>
      <c r="BW181" t="s">
        <v>7422</v>
      </c>
      <c r="BX181" t="s">
        <v>7566</v>
      </c>
      <c r="BZ181">
        <v>0</v>
      </c>
      <c r="CA181">
        <v>0</v>
      </c>
      <c r="CE181" t="s">
        <v>7995</v>
      </c>
      <c r="CF181" s="144">
        <v>43880.4997337963</v>
      </c>
      <c r="CG181" s="144">
        <v>43880.514837962961</v>
      </c>
      <c r="CH181" t="s">
        <v>8315</v>
      </c>
    </row>
    <row r="182" spans="1:86" ht="15" customHeight="1" x14ac:dyDescent="0.35">
      <c r="A182" t="s">
        <v>713</v>
      </c>
      <c r="D182" t="s">
        <v>1029</v>
      </c>
      <c r="E182" t="s">
        <v>1235</v>
      </c>
      <c r="G182">
        <v>4</v>
      </c>
      <c r="I182" t="s">
        <v>1579</v>
      </c>
      <c r="M182" t="s">
        <v>1896</v>
      </c>
      <c r="N182">
        <v>5</v>
      </c>
      <c r="Q182" t="s">
        <v>2233</v>
      </c>
      <c r="R182">
        <v>3</v>
      </c>
      <c r="U182" t="s">
        <v>2580</v>
      </c>
      <c r="V182">
        <v>4</v>
      </c>
      <c r="Y182" t="s">
        <v>2899</v>
      </c>
      <c r="Z182">
        <v>3</v>
      </c>
      <c r="AC182" t="s">
        <v>3190</v>
      </c>
      <c r="AE182">
        <v>4</v>
      </c>
      <c r="AG182" t="s">
        <v>3456</v>
      </c>
      <c r="AI182">
        <v>7</v>
      </c>
      <c r="AK182" t="s">
        <v>3692</v>
      </c>
      <c r="AM182">
        <v>7</v>
      </c>
      <c r="AO182" t="s">
        <v>3970</v>
      </c>
      <c r="AS182" t="s">
        <v>4252</v>
      </c>
      <c r="AW182" t="s">
        <v>4496</v>
      </c>
      <c r="BA182" t="s">
        <v>4740</v>
      </c>
      <c r="BC182">
        <v>7</v>
      </c>
      <c r="BE182" t="s">
        <v>4946</v>
      </c>
      <c r="BG182" t="s">
        <v>5022</v>
      </c>
      <c r="BH182" t="s">
        <v>5221</v>
      </c>
      <c r="BI182" t="s">
        <v>5471</v>
      </c>
      <c r="BJ182" t="s">
        <v>5738</v>
      </c>
      <c r="BK182" t="s">
        <v>6026</v>
      </c>
      <c r="BL182" t="s">
        <v>6226</v>
      </c>
      <c r="BM182" t="s">
        <v>6396</v>
      </c>
      <c r="BN182" t="s">
        <v>6557</v>
      </c>
      <c r="BO182" t="s">
        <v>6717</v>
      </c>
      <c r="BP182" t="s">
        <v>6812</v>
      </c>
      <c r="BT182" t="s">
        <v>7025</v>
      </c>
      <c r="BU182" t="s">
        <v>7176</v>
      </c>
      <c r="BV182" t="s">
        <v>7251</v>
      </c>
      <c r="BW182" t="s">
        <v>7423</v>
      </c>
      <c r="BX182" t="s">
        <v>7566</v>
      </c>
      <c r="BZ182">
        <v>0</v>
      </c>
      <c r="CA182">
        <v>0</v>
      </c>
      <c r="CE182" t="s">
        <v>7995</v>
      </c>
      <c r="CF182" s="144">
        <v>43879.797465277778</v>
      </c>
      <c r="CG182" s="144">
        <v>43879.805833333332</v>
      </c>
      <c r="CH182" t="s">
        <v>8316</v>
      </c>
    </row>
    <row r="183" spans="1:86" ht="15" customHeight="1" x14ac:dyDescent="0.35">
      <c r="A183" t="s">
        <v>714</v>
      </c>
      <c r="D183" t="s">
        <v>1030</v>
      </c>
      <c r="E183" t="s">
        <v>1236</v>
      </c>
      <c r="I183" t="s">
        <v>1579</v>
      </c>
      <c r="M183" t="s">
        <v>1896</v>
      </c>
      <c r="N183">
        <v>8</v>
      </c>
      <c r="Q183" t="s">
        <v>2234</v>
      </c>
      <c r="U183" t="s">
        <v>2580</v>
      </c>
      <c r="V183">
        <v>7</v>
      </c>
      <c r="Y183" t="s">
        <v>2899</v>
      </c>
      <c r="Z183">
        <v>7</v>
      </c>
      <c r="AC183" t="s">
        <v>3191</v>
      </c>
      <c r="AG183" t="s">
        <v>3457</v>
      </c>
      <c r="AH183">
        <v>5</v>
      </c>
      <c r="AK183" t="s">
        <v>3693</v>
      </c>
      <c r="AO183" t="s">
        <v>3971</v>
      </c>
      <c r="AQ183">
        <v>6</v>
      </c>
      <c r="AS183" t="s">
        <v>4252</v>
      </c>
      <c r="AW183" t="s">
        <v>4496</v>
      </c>
      <c r="BA183" t="s">
        <v>4741</v>
      </c>
      <c r="BE183" t="s">
        <v>4946</v>
      </c>
      <c r="BG183" t="s">
        <v>5023</v>
      </c>
      <c r="BH183" t="s">
        <v>5221</v>
      </c>
      <c r="BI183" t="s">
        <v>5471</v>
      </c>
      <c r="BJ183" t="s">
        <v>5738</v>
      </c>
      <c r="BK183" t="s">
        <v>6026</v>
      </c>
      <c r="BL183" t="s">
        <v>6226</v>
      </c>
      <c r="BM183" t="s">
        <v>6397</v>
      </c>
      <c r="BN183" t="s">
        <v>6557</v>
      </c>
      <c r="BO183" t="s">
        <v>6717</v>
      </c>
      <c r="BP183" t="s">
        <v>6812</v>
      </c>
      <c r="BT183" t="s">
        <v>7026</v>
      </c>
      <c r="BU183" t="s">
        <v>7176</v>
      </c>
      <c r="BV183" t="s">
        <v>7251</v>
      </c>
      <c r="BW183" t="s">
        <v>7423</v>
      </c>
      <c r="BX183" t="s">
        <v>7566</v>
      </c>
      <c r="BZ183">
        <v>0</v>
      </c>
      <c r="CA183">
        <v>0</v>
      </c>
      <c r="CE183" t="s">
        <v>7995</v>
      </c>
      <c r="CF183" s="144">
        <v>43879.792210648149</v>
      </c>
      <c r="CG183" s="144">
        <v>43879.800497685188</v>
      </c>
      <c r="CH183" t="s">
        <v>8317</v>
      </c>
    </row>
    <row r="184" spans="1:86" ht="15" hidden="1" customHeight="1" x14ac:dyDescent="0.35">
      <c r="A184" t="s">
        <v>715</v>
      </c>
      <c r="B184">
        <v>1</v>
      </c>
      <c r="C184">
        <v>1</v>
      </c>
      <c r="D184" t="s">
        <v>1031</v>
      </c>
      <c r="E184" t="s">
        <v>1237</v>
      </c>
      <c r="I184" t="s">
        <v>1580</v>
      </c>
      <c r="J184">
        <v>6</v>
      </c>
      <c r="M184" t="s">
        <v>1897</v>
      </c>
      <c r="N184">
        <v>7</v>
      </c>
      <c r="Q184" t="s">
        <v>2235</v>
      </c>
      <c r="R184">
        <v>6</v>
      </c>
      <c r="U184" t="s">
        <v>2581</v>
      </c>
      <c r="V184">
        <v>6</v>
      </c>
      <c r="Y184" t="s">
        <v>2900</v>
      </c>
      <c r="Z184">
        <v>6</v>
      </c>
      <c r="AC184" t="s">
        <v>3192</v>
      </c>
      <c r="AD184">
        <v>5</v>
      </c>
      <c r="AG184" t="s">
        <v>3458</v>
      </c>
      <c r="AH184">
        <v>4</v>
      </c>
      <c r="AK184" t="s">
        <v>3694</v>
      </c>
      <c r="AO184" t="s">
        <v>3972</v>
      </c>
      <c r="AQ184">
        <v>7</v>
      </c>
      <c r="AS184" t="s">
        <v>4253</v>
      </c>
      <c r="AW184" t="s">
        <v>4497</v>
      </c>
      <c r="BA184" t="s">
        <v>4742</v>
      </c>
      <c r="BC184">
        <v>5</v>
      </c>
      <c r="BE184" t="s">
        <v>4947</v>
      </c>
      <c r="BG184" t="s">
        <v>5023</v>
      </c>
      <c r="BH184" t="s">
        <v>5222</v>
      </c>
      <c r="BI184" t="s">
        <v>5472</v>
      </c>
      <c r="BJ184" t="s">
        <v>5739</v>
      </c>
      <c r="BK184" t="s">
        <v>6026</v>
      </c>
      <c r="BL184" t="s">
        <v>6226</v>
      </c>
      <c r="BM184" t="s">
        <v>6398</v>
      </c>
      <c r="BN184" t="s">
        <v>6558</v>
      </c>
      <c r="BO184" t="s">
        <v>6718</v>
      </c>
      <c r="BP184" t="s">
        <v>6812</v>
      </c>
      <c r="BT184" t="s">
        <v>7027</v>
      </c>
      <c r="BU184" t="s">
        <v>7177</v>
      </c>
      <c r="BV184" t="s">
        <v>7252</v>
      </c>
      <c r="BW184" t="s">
        <v>7424</v>
      </c>
      <c r="BX184" t="s">
        <v>7566</v>
      </c>
      <c r="BZ184">
        <v>0</v>
      </c>
      <c r="CA184">
        <v>1</v>
      </c>
      <c r="CB184" t="s">
        <v>7668</v>
      </c>
      <c r="CC184" t="s">
        <v>7729</v>
      </c>
      <c r="CD184" t="s">
        <v>7820</v>
      </c>
      <c r="CE184" t="s">
        <v>7996</v>
      </c>
      <c r="CF184" s="144">
        <v>44109.3122337963</v>
      </c>
      <c r="CG184" s="144">
        <v>44109.321898148148</v>
      </c>
      <c r="CH184" t="s">
        <v>8318</v>
      </c>
    </row>
    <row r="185" spans="1:86" ht="15" customHeight="1" x14ac:dyDescent="0.35">
      <c r="A185" t="s">
        <v>716</v>
      </c>
      <c r="B185">
        <v>1</v>
      </c>
      <c r="C185">
        <v>1</v>
      </c>
      <c r="D185" t="s">
        <v>1031</v>
      </c>
      <c r="E185" t="s">
        <v>1238</v>
      </c>
      <c r="F185">
        <v>6</v>
      </c>
      <c r="H185" t="s">
        <v>1407</v>
      </c>
      <c r="I185" t="s">
        <v>1580</v>
      </c>
      <c r="J185">
        <v>6</v>
      </c>
      <c r="L185" t="s">
        <v>1754</v>
      </c>
      <c r="M185" t="s">
        <v>1898</v>
      </c>
      <c r="Q185" t="s">
        <v>2236</v>
      </c>
      <c r="U185" t="s">
        <v>2582</v>
      </c>
      <c r="W185">
        <v>6</v>
      </c>
      <c r="X185" t="s">
        <v>2741</v>
      </c>
      <c r="Y185" t="s">
        <v>2901</v>
      </c>
      <c r="AC185" t="s">
        <v>3193</v>
      </c>
      <c r="AG185" t="s">
        <v>3459</v>
      </c>
      <c r="AK185" t="s">
        <v>3695</v>
      </c>
      <c r="AO185" t="s">
        <v>3973</v>
      </c>
      <c r="AS185" t="s">
        <v>4253</v>
      </c>
      <c r="AW185" t="s">
        <v>4497</v>
      </c>
      <c r="BA185" t="s">
        <v>4742</v>
      </c>
      <c r="BC185">
        <v>5</v>
      </c>
      <c r="BD185" s="21" t="s">
        <v>4870</v>
      </c>
      <c r="BE185" t="s">
        <v>4947</v>
      </c>
      <c r="BG185" t="s">
        <v>5023</v>
      </c>
      <c r="BH185" t="s">
        <v>5223</v>
      </c>
      <c r="BI185" t="s">
        <v>5473</v>
      </c>
      <c r="BJ185" t="s">
        <v>5739</v>
      </c>
      <c r="BK185" t="s">
        <v>6026</v>
      </c>
      <c r="BL185" t="s">
        <v>6226</v>
      </c>
      <c r="BM185" t="s">
        <v>6398</v>
      </c>
      <c r="BN185" t="s">
        <v>6558</v>
      </c>
      <c r="BO185" t="s">
        <v>6718</v>
      </c>
      <c r="BP185" t="s">
        <v>6812</v>
      </c>
      <c r="BT185" t="s">
        <v>7027</v>
      </c>
      <c r="BU185" t="s">
        <v>7178</v>
      </c>
      <c r="BV185" t="s">
        <v>7252</v>
      </c>
      <c r="BW185" t="s">
        <v>7425</v>
      </c>
      <c r="BX185" t="s">
        <v>7566</v>
      </c>
      <c r="BZ185">
        <v>0</v>
      </c>
      <c r="CA185">
        <v>0</v>
      </c>
      <c r="CE185" t="s">
        <v>7997</v>
      </c>
      <c r="CF185" s="144">
        <v>44107.510208333333</v>
      </c>
      <c r="CG185" s="144">
        <v>44107.529131944444</v>
      </c>
      <c r="CH185" t="s">
        <v>8319</v>
      </c>
    </row>
    <row r="186" spans="1:86" ht="15" hidden="1" customHeight="1" x14ac:dyDescent="0.35">
      <c r="A186" t="s">
        <v>717</v>
      </c>
      <c r="B186">
        <v>1</v>
      </c>
      <c r="C186">
        <v>1</v>
      </c>
      <c r="D186" t="s">
        <v>1032</v>
      </c>
      <c r="E186" t="s">
        <v>1239</v>
      </c>
      <c r="I186" t="s">
        <v>1580</v>
      </c>
      <c r="J186">
        <v>6</v>
      </c>
      <c r="M186" t="s">
        <v>1899</v>
      </c>
      <c r="N186">
        <v>6</v>
      </c>
      <c r="Q186" t="s">
        <v>2237</v>
      </c>
      <c r="R186">
        <v>6</v>
      </c>
      <c r="U186" t="s">
        <v>2583</v>
      </c>
      <c r="V186">
        <v>6</v>
      </c>
      <c r="Y186" t="s">
        <v>2902</v>
      </c>
      <c r="Z186">
        <v>6</v>
      </c>
      <c r="AC186" t="s">
        <v>3194</v>
      </c>
      <c r="AE186">
        <v>6</v>
      </c>
      <c r="AG186" t="s">
        <v>3460</v>
      </c>
      <c r="AI186">
        <v>6</v>
      </c>
      <c r="AK186" t="s">
        <v>3696</v>
      </c>
      <c r="AL186">
        <v>6</v>
      </c>
      <c r="AO186" t="s">
        <v>3974</v>
      </c>
      <c r="AQ186">
        <v>6</v>
      </c>
      <c r="AS186" t="s">
        <v>4254</v>
      </c>
      <c r="AT186">
        <v>7</v>
      </c>
      <c r="AW186" t="s">
        <v>4498</v>
      </c>
      <c r="AY186">
        <v>7</v>
      </c>
      <c r="BA186" t="s">
        <v>4742</v>
      </c>
      <c r="BC186">
        <v>6</v>
      </c>
      <c r="BE186" t="s">
        <v>4947</v>
      </c>
      <c r="BG186" t="s">
        <v>5023</v>
      </c>
      <c r="BH186" t="s">
        <v>5224</v>
      </c>
      <c r="BI186" t="s">
        <v>5474</v>
      </c>
      <c r="BJ186" t="s">
        <v>5739</v>
      </c>
      <c r="BK186" t="s">
        <v>6027</v>
      </c>
      <c r="BL186" t="s">
        <v>6226</v>
      </c>
      <c r="BM186" t="s">
        <v>6398</v>
      </c>
      <c r="BN186" t="s">
        <v>6558</v>
      </c>
      <c r="BO186" t="s">
        <v>6718</v>
      </c>
      <c r="BP186" t="s">
        <v>6812</v>
      </c>
      <c r="BT186" t="s">
        <v>7028</v>
      </c>
      <c r="BU186" t="s">
        <v>7179</v>
      </c>
      <c r="BV186" t="s">
        <v>7253</v>
      </c>
      <c r="BW186" t="s">
        <v>7426</v>
      </c>
      <c r="BX186" t="s">
        <v>7566</v>
      </c>
      <c r="BZ186">
        <v>0</v>
      </c>
      <c r="CA186">
        <v>1</v>
      </c>
      <c r="CB186" t="s">
        <v>7669</v>
      </c>
      <c r="CC186" t="s">
        <v>7730</v>
      </c>
      <c r="CD186" t="s">
        <v>7820</v>
      </c>
      <c r="CE186" t="s">
        <v>7998</v>
      </c>
      <c r="CF186" s="144">
        <v>44106.838506944441</v>
      </c>
      <c r="CG186" s="144">
        <v>44106.844328703701</v>
      </c>
      <c r="CH186" t="s">
        <v>8320</v>
      </c>
    </row>
    <row r="187" spans="1:86" ht="15" hidden="1" customHeight="1" x14ac:dyDescent="0.35">
      <c r="A187" t="s">
        <v>718</v>
      </c>
      <c r="B187">
        <v>1</v>
      </c>
      <c r="C187">
        <v>1</v>
      </c>
      <c r="D187" t="s">
        <v>1033</v>
      </c>
      <c r="E187" t="s">
        <v>1240</v>
      </c>
      <c r="F187">
        <v>6</v>
      </c>
      <c r="I187" t="s">
        <v>1580</v>
      </c>
      <c r="J187">
        <v>7</v>
      </c>
      <c r="M187" t="s">
        <v>1900</v>
      </c>
      <c r="Q187" t="s">
        <v>2238</v>
      </c>
      <c r="U187" t="s">
        <v>2583</v>
      </c>
      <c r="V187">
        <v>7</v>
      </c>
      <c r="Y187" t="s">
        <v>2902</v>
      </c>
      <c r="Z187">
        <v>8</v>
      </c>
      <c r="AC187" t="s">
        <v>3195</v>
      </c>
      <c r="AD187">
        <v>8</v>
      </c>
      <c r="AG187" t="s">
        <v>3461</v>
      </c>
      <c r="AH187">
        <v>7</v>
      </c>
      <c r="AK187" t="s">
        <v>3697</v>
      </c>
      <c r="AO187" t="s">
        <v>3975</v>
      </c>
      <c r="AP187">
        <v>7</v>
      </c>
      <c r="AS187" t="s">
        <v>4255</v>
      </c>
      <c r="AU187">
        <v>7</v>
      </c>
      <c r="AW187" t="s">
        <v>4498</v>
      </c>
      <c r="AY187">
        <v>7</v>
      </c>
      <c r="BA187" t="s">
        <v>4743</v>
      </c>
      <c r="BE187" t="s">
        <v>4947</v>
      </c>
      <c r="BG187" t="s">
        <v>5023</v>
      </c>
      <c r="BH187" t="s">
        <v>5225</v>
      </c>
      <c r="BI187" t="s">
        <v>5474</v>
      </c>
      <c r="BJ187" t="s">
        <v>5739</v>
      </c>
      <c r="BK187" t="s">
        <v>6028</v>
      </c>
      <c r="BL187" t="s">
        <v>6226</v>
      </c>
      <c r="BM187" t="s">
        <v>6398</v>
      </c>
      <c r="BN187" t="s">
        <v>6559</v>
      </c>
      <c r="BO187" t="s">
        <v>6718</v>
      </c>
      <c r="BP187" t="s">
        <v>6812</v>
      </c>
      <c r="BT187" t="s">
        <v>7029</v>
      </c>
      <c r="BU187" t="s">
        <v>7180</v>
      </c>
      <c r="BV187" t="s">
        <v>7254</v>
      </c>
      <c r="BW187" t="s">
        <v>7426</v>
      </c>
      <c r="BX187" t="s">
        <v>7566</v>
      </c>
      <c r="BZ187">
        <v>0</v>
      </c>
      <c r="CA187">
        <v>0</v>
      </c>
      <c r="CE187" t="s">
        <v>7998</v>
      </c>
      <c r="CF187" s="144">
        <v>44106.641423611109</v>
      </c>
      <c r="CG187" s="144">
        <v>44106.644444444442</v>
      </c>
      <c r="CH187" t="s">
        <v>8321</v>
      </c>
    </row>
    <row r="188" spans="1:86" ht="15" hidden="1" customHeight="1" x14ac:dyDescent="0.35">
      <c r="A188" t="s">
        <v>719</v>
      </c>
      <c r="B188">
        <v>1</v>
      </c>
      <c r="C188">
        <v>1</v>
      </c>
      <c r="D188" t="s">
        <v>1034</v>
      </c>
      <c r="E188" t="s">
        <v>1241</v>
      </c>
      <c r="I188" t="s">
        <v>1580</v>
      </c>
      <c r="J188">
        <v>6</v>
      </c>
      <c r="M188" t="s">
        <v>1900</v>
      </c>
      <c r="Q188" t="s">
        <v>2239</v>
      </c>
      <c r="R188">
        <v>5</v>
      </c>
      <c r="U188" t="s">
        <v>2583</v>
      </c>
      <c r="V188">
        <v>6</v>
      </c>
      <c r="Y188" t="s">
        <v>2903</v>
      </c>
      <c r="AA188">
        <v>5</v>
      </c>
      <c r="AC188" t="s">
        <v>3195</v>
      </c>
      <c r="AD188">
        <v>6</v>
      </c>
      <c r="AG188" t="s">
        <v>3462</v>
      </c>
      <c r="AK188" t="s">
        <v>3698</v>
      </c>
      <c r="AM188">
        <v>5</v>
      </c>
      <c r="AO188" t="s">
        <v>3976</v>
      </c>
      <c r="AS188" t="s">
        <v>4256</v>
      </c>
      <c r="AW188" t="s">
        <v>4499</v>
      </c>
      <c r="AX188">
        <v>5</v>
      </c>
      <c r="BA188" t="s">
        <v>4743</v>
      </c>
      <c r="BE188" t="s">
        <v>4947</v>
      </c>
      <c r="BG188" t="s">
        <v>5023</v>
      </c>
      <c r="BH188" t="s">
        <v>5226</v>
      </c>
      <c r="BI188" t="s">
        <v>5474</v>
      </c>
      <c r="BJ188" t="s">
        <v>5739</v>
      </c>
      <c r="BK188" t="s">
        <v>6028</v>
      </c>
      <c r="BL188" t="s">
        <v>6226</v>
      </c>
      <c r="BM188" t="s">
        <v>6398</v>
      </c>
      <c r="BN188" t="s">
        <v>6560</v>
      </c>
      <c r="BO188" t="s">
        <v>6718</v>
      </c>
      <c r="BP188" t="s">
        <v>6812</v>
      </c>
      <c r="BT188" t="s">
        <v>7029</v>
      </c>
      <c r="BU188" t="s">
        <v>7180</v>
      </c>
      <c r="BV188" t="s">
        <v>7254</v>
      </c>
      <c r="BW188" t="s">
        <v>7426</v>
      </c>
      <c r="BX188" t="s">
        <v>7566</v>
      </c>
      <c r="BZ188">
        <v>0</v>
      </c>
      <c r="CA188">
        <v>1</v>
      </c>
      <c r="CB188" t="s">
        <v>7670</v>
      </c>
      <c r="CC188" t="s">
        <v>7731</v>
      </c>
      <c r="CD188" t="s">
        <v>7820</v>
      </c>
      <c r="CE188" t="s">
        <v>7999</v>
      </c>
      <c r="CF188" s="144">
        <v>44106.639594907407</v>
      </c>
      <c r="CG188" s="144">
        <v>44106.644328703704</v>
      </c>
      <c r="CH188" t="s">
        <v>8322</v>
      </c>
    </row>
    <row r="189" spans="1:86" ht="15" customHeight="1" x14ac:dyDescent="0.35">
      <c r="A189" t="s">
        <v>720</v>
      </c>
      <c r="B189">
        <v>1</v>
      </c>
      <c r="C189">
        <v>1</v>
      </c>
      <c r="D189" t="s">
        <v>1034</v>
      </c>
      <c r="E189" t="s">
        <v>1242</v>
      </c>
      <c r="F189">
        <v>6</v>
      </c>
      <c r="I189" t="s">
        <v>1581</v>
      </c>
      <c r="M189" t="s">
        <v>1900</v>
      </c>
      <c r="Q189" t="s">
        <v>2239</v>
      </c>
      <c r="R189">
        <v>6</v>
      </c>
      <c r="U189" t="s">
        <v>2584</v>
      </c>
      <c r="Y189" t="s">
        <v>2904</v>
      </c>
      <c r="AC189" t="s">
        <v>3196</v>
      </c>
      <c r="AG189" t="s">
        <v>3462</v>
      </c>
      <c r="AK189" t="s">
        <v>3699</v>
      </c>
      <c r="AL189">
        <v>8</v>
      </c>
      <c r="AN189" t="s">
        <v>3816</v>
      </c>
      <c r="AO189" t="s">
        <v>3976</v>
      </c>
      <c r="AS189" t="s">
        <v>4256</v>
      </c>
      <c r="AW189" t="s">
        <v>4500</v>
      </c>
      <c r="AY189">
        <v>6</v>
      </c>
      <c r="BA189" t="s">
        <v>4744</v>
      </c>
      <c r="BC189">
        <v>6</v>
      </c>
      <c r="BE189" t="s">
        <v>4947</v>
      </c>
      <c r="BG189" t="s">
        <v>5023</v>
      </c>
      <c r="BH189" t="s">
        <v>5226</v>
      </c>
      <c r="BI189" t="s">
        <v>5474</v>
      </c>
      <c r="BJ189" t="s">
        <v>5740</v>
      </c>
      <c r="BK189" t="s">
        <v>6028</v>
      </c>
      <c r="BL189" t="s">
        <v>6226</v>
      </c>
      <c r="BM189" t="s">
        <v>6398</v>
      </c>
      <c r="BN189" t="s">
        <v>6560</v>
      </c>
      <c r="BO189" t="s">
        <v>6718</v>
      </c>
      <c r="BP189" t="s">
        <v>6812</v>
      </c>
      <c r="BT189" t="s">
        <v>7030</v>
      </c>
      <c r="BU189" t="s">
        <v>7180</v>
      </c>
      <c r="BV189" t="s">
        <v>7255</v>
      </c>
      <c r="BW189" t="s">
        <v>7427</v>
      </c>
      <c r="BX189" t="s">
        <v>7566</v>
      </c>
      <c r="BZ189">
        <v>0</v>
      </c>
      <c r="CA189">
        <v>0</v>
      </c>
      <c r="CE189" t="s">
        <v>8000</v>
      </c>
      <c r="CF189" s="144">
        <v>44106.627997685187</v>
      </c>
      <c r="CG189" s="144">
        <v>44106.637164351851</v>
      </c>
      <c r="CH189" s="24" t="s">
        <v>8323</v>
      </c>
    </row>
    <row r="190" spans="1:86" ht="15" hidden="1" customHeight="1" x14ac:dyDescent="0.35">
      <c r="A190" t="s">
        <v>721</v>
      </c>
      <c r="B190">
        <v>1</v>
      </c>
      <c r="C190">
        <v>1</v>
      </c>
      <c r="D190" t="s">
        <v>1035</v>
      </c>
      <c r="E190" t="s">
        <v>1243</v>
      </c>
      <c r="G190">
        <v>4</v>
      </c>
      <c r="I190" t="s">
        <v>1582</v>
      </c>
      <c r="K190">
        <v>1</v>
      </c>
      <c r="M190" t="s">
        <v>1901</v>
      </c>
      <c r="N190">
        <v>7</v>
      </c>
      <c r="Q190" t="s">
        <v>2240</v>
      </c>
      <c r="S190">
        <v>1</v>
      </c>
      <c r="U190" t="s">
        <v>2585</v>
      </c>
      <c r="V190">
        <v>5</v>
      </c>
      <c r="Y190" t="s">
        <v>2905</v>
      </c>
      <c r="Z190">
        <v>5</v>
      </c>
      <c r="AC190" t="s">
        <v>3197</v>
      </c>
      <c r="AE190">
        <v>3</v>
      </c>
      <c r="AG190" t="s">
        <v>3463</v>
      </c>
      <c r="AH190">
        <v>2</v>
      </c>
      <c r="AK190" t="s">
        <v>3699</v>
      </c>
      <c r="AL190">
        <v>5</v>
      </c>
      <c r="AO190" t="s">
        <v>3977</v>
      </c>
      <c r="AP190">
        <v>1</v>
      </c>
      <c r="AS190" t="s">
        <v>4257</v>
      </c>
      <c r="AT190">
        <v>5</v>
      </c>
      <c r="AW190" t="s">
        <v>4501</v>
      </c>
      <c r="AX190">
        <v>5</v>
      </c>
      <c r="BA190" t="s">
        <v>4745</v>
      </c>
      <c r="BE190" t="s">
        <v>4947</v>
      </c>
      <c r="BG190" t="s">
        <v>5023</v>
      </c>
      <c r="BH190" t="s">
        <v>5226</v>
      </c>
      <c r="BI190" t="s">
        <v>5474</v>
      </c>
      <c r="BJ190" t="s">
        <v>5740</v>
      </c>
      <c r="BK190" t="s">
        <v>6028</v>
      </c>
      <c r="BL190" t="s">
        <v>6226</v>
      </c>
      <c r="BM190" t="s">
        <v>6398</v>
      </c>
      <c r="BN190" t="s">
        <v>6560</v>
      </c>
      <c r="BO190" t="s">
        <v>6718</v>
      </c>
      <c r="BP190" t="s">
        <v>6812</v>
      </c>
      <c r="BT190" t="s">
        <v>7031</v>
      </c>
      <c r="BU190" t="s">
        <v>7180</v>
      </c>
      <c r="BV190" t="s">
        <v>7256</v>
      </c>
      <c r="BW190" t="s">
        <v>7428</v>
      </c>
      <c r="BX190" t="s">
        <v>7566</v>
      </c>
      <c r="BZ190">
        <v>0</v>
      </c>
      <c r="CA190">
        <v>1</v>
      </c>
      <c r="CB190" t="s">
        <v>7671</v>
      </c>
      <c r="CC190" t="s">
        <v>7732</v>
      </c>
      <c r="CD190" t="s">
        <v>7821</v>
      </c>
      <c r="CE190" t="s">
        <v>8001</v>
      </c>
      <c r="CF190" s="144">
        <v>44106.592314814814</v>
      </c>
      <c r="CG190" s="144">
        <v>44106.602789351855</v>
      </c>
      <c r="CH190" t="s">
        <v>8324</v>
      </c>
    </row>
    <row r="191" spans="1:86" ht="15" hidden="1" customHeight="1" x14ac:dyDescent="0.35">
      <c r="A191" t="s">
        <v>722</v>
      </c>
      <c r="B191">
        <v>1</v>
      </c>
      <c r="C191">
        <v>1</v>
      </c>
      <c r="D191" t="s">
        <v>1036</v>
      </c>
      <c r="E191" t="s">
        <v>1244</v>
      </c>
      <c r="F191">
        <v>5</v>
      </c>
      <c r="I191" t="s">
        <v>1583</v>
      </c>
      <c r="J191">
        <v>7</v>
      </c>
      <c r="M191" t="s">
        <v>1901</v>
      </c>
      <c r="N191">
        <v>5</v>
      </c>
      <c r="Q191" t="s">
        <v>2241</v>
      </c>
      <c r="R191">
        <v>5</v>
      </c>
      <c r="U191" t="s">
        <v>2585</v>
      </c>
      <c r="V191">
        <v>6</v>
      </c>
      <c r="Y191" t="s">
        <v>2906</v>
      </c>
      <c r="AC191" t="s">
        <v>3198</v>
      </c>
      <c r="AD191">
        <v>4</v>
      </c>
      <c r="AG191" t="s">
        <v>3464</v>
      </c>
      <c r="AK191" t="s">
        <v>3700</v>
      </c>
      <c r="AO191" t="s">
        <v>3978</v>
      </c>
      <c r="AQ191">
        <v>3</v>
      </c>
      <c r="AS191" t="s">
        <v>4257</v>
      </c>
      <c r="AT191">
        <v>3</v>
      </c>
      <c r="AW191" t="s">
        <v>4502</v>
      </c>
      <c r="BA191" t="s">
        <v>4746</v>
      </c>
      <c r="BB191">
        <v>5</v>
      </c>
      <c r="BE191" t="s">
        <v>4947</v>
      </c>
      <c r="BG191" t="s">
        <v>5023</v>
      </c>
      <c r="BH191" t="s">
        <v>5226</v>
      </c>
      <c r="BI191" t="s">
        <v>5475</v>
      </c>
      <c r="BJ191" t="s">
        <v>5741</v>
      </c>
      <c r="BK191" t="s">
        <v>6029</v>
      </c>
      <c r="BL191" t="s">
        <v>6226</v>
      </c>
      <c r="BM191" t="s">
        <v>6398</v>
      </c>
      <c r="BN191" t="s">
        <v>6560</v>
      </c>
      <c r="BO191" t="s">
        <v>6718</v>
      </c>
      <c r="BP191" t="s">
        <v>6812</v>
      </c>
      <c r="BT191" t="s">
        <v>7032</v>
      </c>
      <c r="BU191" t="s">
        <v>7180</v>
      </c>
      <c r="BV191" t="s">
        <v>7256</v>
      </c>
      <c r="BW191" t="s">
        <v>7428</v>
      </c>
      <c r="BX191" t="s">
        <v>7566</v>
      </c>
      <c r="BZ191">
        <v>0</v>
      </c>
      <c r="CA191">
        <v>0</v>
      </c>
      <c r="CE191" t="s">
        <v>8002</v>
      </c>
      <c r="CF191" s="144">
        <v>44106.594490740739</v>
      </c>
      <c r="CG191" s="144">
        <v>44106.598773148151</v>
      </c>
      <c r="CH191" t="s">
        <v>8325</v>
      </c>
    </row>
    <row r="192" spans="1:86" ht="15" customHeight="1" x14ac:dyDescent="0.35">
      <c r="A192" t="s">
        <v>723</v>
      </c>
      <c r="B192">
        <v>1</v>
      </c>
      <c r="C192">
        <v>1</v>
      </c>
      <c r="D192" t="s">
        <v>1037</v>
      </c>
      <c r="E192" t="s">
        <v>1245</v>
      </c>
      <c r="I192" t="s">
        <v>1583</v>
      </c>
      <c r="J192">
        <v>6</v>
      </c>
      <c r="L192" t="s">
        <v>1755</v>
      </c>
      <c r="M192" t="s">
        <v>1901</v>
      </c>
      <c r="N192">
        <v>6</v>
      </c>
      <c r="P192" t="s">
        <v>2056</v>
      </c>
      <c r="Q192" t="s">
        <v>2242</v>
      </c>
      <c r="U192" t="s">
        <v>2585</v>
      </c>
      <c r="V192">
        <v>6</v>
      </c>
      <c r="Y192" t="s">
        <v>2906</v>
      </c>
      <c r="AC192" t="s">
        <v>3199</v>
      </c>
      <c r="AG192" t="s">
        <v>3465</v>
      </c>
      <c r="AI192">
        <v>7</v>
      </c>
      <c r="AJ192" t="s">
        <v>3572</v>
      </c>
      <c r="AK192" t="s">
        <v>3700</v>
      </c>
      <c r="AO192" t="s">
        <v>3979</v>
      </c>
      <c r="AS192" t="s">
        <v>4257</v>
      </c>
      <c r="AT192">
        <v>7</v>
      </c>
      <c r="AW192" t="s">
        <v>4503</v>
      </c>
      <c r="AX192">
        <v>6</v>
      </c>
      <c r="BA192" t="s">
        <v>4747</v>
      </c>
      <c r="BC192">
        <v>5</v>
      </c>
      <c r="BE192" t="s">
        <v>4947</v>
      </c>
      <c r="BG192" t="s">
        <v>5024</v>
      </c>
      <c r="BH192" t="s">
        <v>5226</v>
      </c>
      <c r="BI192" t="s">
        <v>5476</v>
      </c>
      <c r="BJ192" t="s">
        <v>5742</v>
      </c>
      <c r="BK192" t="s">
        <v>6030</v>
      </c>
      <c r="BL192" t="s">
        <v>6226</v>
      </c>
      <c r="BM192" t="s">
        <v>6398</v>
      </c>
      <c r="BN192" t="s">
        <v>6561</v>
      </c>
      <c r="BP192" t="s">
        <v>6812</v>
      </c>
      <c r="BT192" t="s">
        <v>7033</v>
      </c>
      <c r="BU192" t="s">
        <v>7180</v>
      </c>
      <c r="BV192" t="s">
        <v>7256</v>
      </c>
      <c r="BW192" t="s">
        <v>7429</v>
      </c>
      <c r="BX192" t="s">
        <v>7566</v>
      </c>
      <c r="BZ192">
        <v>0</v>
      </c>
      <c r="CA192">
        <v>0</v>
      </c>
      <c r="CE192" t="s">
        <v>8002</v>
      </c>
      <c r="CF192" s="144">
        <v>43994.507199074076</v>
      </c>
      <c r="CG192" s="144">
        <v>43994.512164351851</v>
      </c>
      <c r="CH192" t="s">
        <v>8326</v>
      </c>
    </row>
    <row r="193" spans="1:86" ht="15" customHeight="1" x14ac:dyDescent="0.35">
      <c r="A193" t="s">
        <v>724</v>
      </c>
      <c r="B193">
        <v>1</v>
      </c>
      <c r="C193">
        <v>1</v>
      </c>
      <c r="D193" t="s">
        <v>1038</v>
      </c>
      <c r="E193" t="s">
        <v>1245</v>
      </c>
      <c r="I193" t="s">
        <v>1583</v>
      </c>
      <c r="J193">
        <v>6</v>
      </c>
      <c r="L193" t="s">
        <v>1756</v>
      </c>
      <c r="M193" t="s">
        <v>1902</v>
      </c>
      <c r="Q193" t="s">
        <v>2242</v>
      </c>
      <c r="U193" t="s">
        <v>2586</v>
      </c>
      <c r="Y193" t="s">
        <v>2907</v>
      </c>
      <c r="Z193">
        <v>6</v>
      </c>
      <c r="AB193" t="s">
        <v>3052</v>
      </c>
      <c r="AC193" t="s">
        <v>3199</v>
      </c>
      <c r="AG193" t="s">
        <v>3466</v>
      </c>
      <c r="AK193" t="s">
        <v>3700</v>
      </c>
      <c r="AO193" t="s">
        <v>3979</v>
      </c>
      <c r="AS193" t="s">
        <v>4258</v>
      </c>
      <c r="AW193" t="s">
        <v>4504</v>
      </c>
      <c r="BA193" t="s">
        <v>4748</v>
      </c>
      <c r="BE193" t="s">
        <v>4947</v>
      </c>
      <c r="BG193" t="s">
        <v>5025</v>
      </c>
      <c r="BH193" t="s">
        <v>5226</v>
      </c>
      <c r="BI193" t="s">
        <v>5477</v>
      </c>
      <c r="BJ193" t="s">
        <v>5743</v>
      </c>
      <c r="BK193" t="s">
        <v>6031</v>
      </c>
      <c r="BL193" t="s">
        <v>6226</v>
      </c>
      <c r="BM193" t="s">
        <v>6398</v>
      </c>
      <c r="BN193" t="s">
        <v>6562</v>
      </c>
      <c r="BO193" t="s">
        <v>6718</v>
      </c>
      <c r="BP193" t="s">
        <v>6812</v>
      </c>
      <c r="BT193" t="s">
        <v>7033</v>
      </c>
      <c r="BU193" t="s">
        <v>7180</v>
      </c>
      <c r="BV193" t="s">
        <v>7256</v>
      </c>
      <c r="BW193" t="s">
        <v>7429</v>
      </c>
      <c r="BX193" t="s">
        <v>7566</v>
      </c>
      <c r="BZ193">
        <v>1</v>
      </c>
      <c r="CA193">
        <v>0</v>
      </c>
      <c r="CE193" t="s">
        <v>8003</v>
      </c>
      <c r="CF193" s="144">
        <v>43922.422349537039</v>
      </c>
      <c r="CG193" s="144">
        <v>43922.447592592594</v>
      </c>
      <c r="CH193" t="s">
        <v>8327</v>
      </c>
    </row>
    <row r="194" spans="1:86" ht="15" hidden="1" customHeight="1" x14ac:dyDescent="0.35">
      <c r="A194" t="s">
        <v>725</v>
      </c>
      <c r="B194">
        <v>1</v>
      </c>
      <c r="C194">
        <v>1</v>
      </c>
      <c r="D194" t="s">
        <v>1038</v>
      </c>
      <c r="E194" t="s">
        <v>1245</v>
      </c>
      <c r="I194" t="s">
        <v>1584</v>
      </c>
      <c r="M194" t="s">
        <v>1903</v>
      </c>
      <c r="N194">
        <v>8</v>
      </c>
      <c r="P194" t="s">
        <v>2057</v>
      </c>
      <c r="Q194" t="s">
        <v>2242</v>
      </c>
      <c r="U194" t="s">
        <v>2586</v>
      </c>
      <c r="Y194" t="s">
        <v>2907</v>
      </c>
      <c r="Z194">
        <v>8</v>
      </c>
      <c r="AB194" t="s">
        <v>3053</v>
      </c>
      <c r="AC194" t="s">
        <v>3200</v>
      </c>
      <c r="AD194">
        <v>5</v>
      </c>
      <c r="AF194" t="s">
        <v>3344</v>
      </c>
      <c r="AG194" t="s">
        <v>3467</v>
      </c>
      <c r="AH194">
        <v>8</v>
      </c>
      <c r="AJ194" t="s">
        <v>3573</v>
      </c>
      <c r="AK194" t="s">
        <v>3701</v>
      </c>
      <c r="AM194">
        <v>8</v>
      </c>
      <c r="AN194" t="s">
        <v>3817</v>
      </c>
      <c r="AO194" t="s">
        <v>3980</v>
      </c>
      <c r="AQ194">
        <v>6</v>
      </c>
      <c r="AR194" t="s">
        <v>4124</v>
      </c>
      <c r="AS194" t="s">
        <v>4258</v>
      </c>
      <c r="AW194" t="s">
        <v>4504</v>
      </c>
      <c r="BA194" t="s">
        <v>4748</v>
      </c>
      <c r="BE194" t="s">
        <v>4947</v>
      </c>
      <c r="BG194" t="s">
        <v>5025</v>
      </c>
      <c r="BH194" t="s">
        <v>5226</v>
      </c>
      <c r="BI194" t="s">
        <v>5478</v>
      </c>
      <c r="BJ194" t="s">
        <v>5743</v>
      </c>
      <c r="BK194" t="s">
        <v>6032</v>
      </c>
      <c r="BL194" t="s">
        <v>6226</v>
      </c>
      <c r="BM194" t="s">
        <v>6398</v>
      </c>
      <c r="BN194" t="s">
        <v>6562</v>
      </c>
      <c r="BO194" t="s">
        <v>6718</v>
      </c>
      <c r="BP194" t="s">
        <v>6812</v>
      </c>
      <c r="BT194" t="s">
        <v>7033</v>
      </c>
      <c r="BU194" t="s">
        <v>7180</v>
      </c>
      <c r="BV194" t="s">
        <v>7256</v>
      </c>
      <c r="BW194" t="s">
        <v>7430</v>
      </c>
      <c r="BX194" t="s">
        <v>7566</v>
      </c>
      <c r="BZ194">
        <v>0</v>
      </c>
      <c r="CA194">
        <v>0</v>
      </c>
      <c r="CE194" t="s">
        <v>8004</v>
      </c>
      <c r="CF194" s="144">
        <v>43904.405613425923</v>
      </c>
      <c r="CG194" s="144">
        <v>43904.427824074075</v>
      </c>
      <c r="CH194" t="s">
        <v>8328</v>
      </c>
    </row>
    <row r="195" spans="1:86" ht="15" hidden="1" customHeight="1" x14ac:dyDescent="0.35">
      <c r="A195" t="s">
        <v>726</v>
      </c>
      <c r="B195">
        <v>1</v>
      </c>
      <c r="C195">
        <v>1</v>
      </c>
      <c r="D195" t="s">
        <v>1039</v>
      </c>
      <c r="E195" t="s">
        <v>1245</v>
      </c>
      <c r="I195" t="s">
        <v>1585</v>
      </c>
      <c r="J195">
        <v>5</v>
      </c>
      <c r="M195" t="s">
        <v>1903</v>
      </c>
      <c r="N195">
        <v>6</v>
      </c>
      <c r="Q195" t="s">
        <v>2243</v>
      </c>
      <c r="R195">
        <v>6</v>
      </c>
      <c r="U195" t="s">
        <v>2587</v>
      </c>
      <c r="V195">
        <v>6</v>
      </c>
      <c r="Y195" t="s">
        <v>2908</v>
      </c>
      <c r="AC195" t="s">
        <v>3200</v>
      </c>
      <c r="AD195">
        <v>8</v>
      </c>
      <c r="AG195" t="s">
        <v>3467</v>
      </c>
      <c r="AH195">
        <v>8</v>
      </c>
      <c r="AK195" t="s">
        <v>3702</v>
      </c>
      <c r="AL195">
        <v>3</v>
      </c>
      <c r="AO195" t="s">
        <v>3981</v>
      </c>
      <c r="AP195">
        <v>5</v>
      </c>
      <c r="AS195" t="s">
        <v>4259</v>
      </c>
      <c r="AT195">
        <v>8</v>
      </c>
      <c r="AW195" t="s">
        <v>4505</v>
      </c>
      <c r="AX195">
        <v>3</v>
      </c>
      <c r="BA195" t="s">
        <v>4749</v>
      </c>
      <c r="BC195">
        <v>3</v>
      </c>
      <c r="BE195" t="s">
        <v>4947</v>
      </c>
      <c r="BG195" t="s">
        <v>5025</v>
      </c>
      <c r="BH195" t="s">
        <v>5227</v>
      </c>
      <c r="BI195" t="s">
        <v>5479</v>
      </c>
      <c r="BJ195" t="s">
        <v>5744</v>
      </c>
      <c r="BK195" t="s">
        <v>6033</v>
      </c>
      <c r="BL195" t="s">
        <v>6227</v>
      </c>
      <c r="BM195" t="s">
        <v>6399</v>
      </c>
      <c r="BN195" t="s">
        <v>6563</v>
      </c>
      <c r="BO195" t="s">
        <v>6718</v>
      </c>
      <c r="BP195" t="s">
        <v>6812</v>
      </c>
      <c r="BT195" t="s">
        <v>7034</v>
      </c>
      <c r="BU195" t="s">
        <v>7180</v>
      </c>
      <c r="BV195" t="s">
        <v>7257</v>
      </c>
      <c r="BW195" t="s">
        <v>7430</v>
      </c>
      <c r="BX195" t="s">
        <v>7566</v>
      </c>
      <c r="BZ195">
        <v>0</v>
      </c>
      <c r="CA195">
        <v>0</v>
      </c>
      <c r="CE195" t="s">
        <v>8005</v>
      </c>
      <c r="CF195" s="144">
        <v>43903.727962962963</v>
      </c>
      <c r="CG195" s="144">
        <v>43903.735856481479</v>
      </c>
      <c r="CH195" t="s">
        <v>8329</v>
      </c>
    </row>
    <row r="196" spans="1:86" ht="15" hidden="1" customHeight="1" x14ac:dyDescent="0.35">
      <c r="A196" t="s">
        <v>727</v>
      </c>
      <c r="B196">
        <v>1</v>
      </c>
      <c r="C196">
        <v>1</v>
      </c>
      <c r="D196" t="s">
        <v>1040</v>
      </c>
      <c r="E196" t="s">
        <v>1246</v>
      </c>
      <c r="I196" t="s">
        <v>1586</v>
      </c>
      <c r="J196">
        <v>8</v>
      </c>
      <c r="M196" t="s">
        <v>1904</v>
      </c>
      <c r="N196">
        <v>5</v>
      </c>
      <c r="Q196" t="s">
        <v>2244</v>
      </c>
      <c r="R196">
        <v>5</v>
      </c>
      <c r="U196" t="s">
        <v>2588</v>
      </c>
      <c r="Y196" t="s">
        <v>2909</v>
      </c>
      <c r="Z196">
        <v>2</v>
      </c>
      <c r="AC196" t="s">
        <v>3201</v>
      </c>
      <c r="AG196" t="s">
        <v>3468</v>
      </c>
      <c r="AK196" t="s">
        <v>3703</v>
      </c>
      <c r="AO196" t="s">
        <v>3982</v>
      </c>
      <c r="AQ196">
        <v>8</v>
      </c>
      <c r="AS196" t="s">
        <v>4260</v>
      </c>
      <c r="AW196" t="s">
        <v>4506</v>
      </c>
      <c r="AY196">
        <v>6</v>
      </c>
      <c r="BA196" t="s">
        <v>4750</v>
      </c>
      <c r="BE196" t="s">
        <v>4948</v>
      </c>
      <c r="BG196" t="s">
        <v>5026</v>
      </c>
      <c r="BH196" t="s">
        <v>5228</v>
      </c>
      <c r="BI196" t="s">
        <v>5480</v>
      </c>
      <c r="BJ196" t="s">
        <v>5745</v>
      </c>
      <c r="BK196" t="s">
        <v>6034</v>
      </c>
      <c r="BL196" t="s">
        <v>6228</v>
      </c>
      <c r="BM196" t="s">
        <v>6399</v>
      </c>
      <c r="BN196" t="s">
        <v>6564</v>
      </c>
      <c r="BO196" t="s">
        <v>6719</v>
      </c>
      <c r="BP196" t="s">
        <v>6812</v>
      </c>
      <c r="BT196" t="s">
        <v>7035</v>
      </c>
      <c r="BU196" t="s">
        <v>7181</v>
      </c>
      <c r="BV196" t="s">
        <v>7258</v>
      </c>
      <c r="BW196" t="s">
        <v>7431</v>
      </c>
      <c r="BX196" t="s">
        <v>7567</v>
      </c>
      <c r="BZ196">
        <v>0</v>
      </c>
      <c r="CA196">
        <v>1</v>
      </c>
      <c r="CB196" t="s">
        <v>7672</v>
      </c>
      <c r="CC196" t="s">
        <v>7733</v>
      </c>
      <c r="CD196" t="s">
        <v>7822</v>
      </c>
      <c r="CE196" t="s">
        <v>8006</v>
      </c>
      <c r="CF196" s="144">
        <v>44123.771273148152</v>
      </c>
      <c r="CG196" s="144">
        <v>44123.77548611111</v>
      </c>
      <c r="CH196" t="s">
        <v>8330</v>
      </c>
    </row>
    <row r="197" spans="1:86" ht="15" hidden="1" customHeight="1" x14ac:dyDescent="0.35">
      <c r="A197" t="s">
        <v>728</v>
      </c>
      <c r="B197">
        <v>1</v>
      </c>
      <c r="C197">
        <v>1</v>
      </c>
      <c r="D197" t="s">
        <v>1041</v>
      </c>
      <c r="E197" t="s">
        <v>1247</v>
      </c>
      <c r="F197">
        <v>7</v>
      </c>
      <c r="H197" t="s">
        <v>1408</v>
      </c>
      <c r="I197" t="s">
        <v>1586</v>
      </c>
      <c r="J197">
        <v>5</v>
      </c>
      <c r="L197" t="s">
        <v>1757</v>
      </c>
      <c r="M197" t="s">
        <v>1904</v>
      </c>
      <c r="N197">
        <v>4</v>
      </c>
      <c r="Q197" t="s">
        <v>2245</v>
      </c>
      <c r="S197">
        <v>6</v>
      </c>
      <c r="T197" t="s">
        <v>2424</v>
      </c>
      <c r="U197" t="s">
        <v>2589</v>
      </c>
      <c r="V197">
        <v>4</v>
      </c>
      <c r="Y197" t="s">
        <v>2909</v>
      </c>
      <c r="Z197">
        <v>6</v>
      </c>
      <c r="AC197" t="s">
        <v>3201</v>
      </c>
      <c r="AG197" t="s">
        <v>3469</v>
      </c>
      <c r="AH197">
        <v>5</v>
      </c>
      <c r="AK197" t="s">
        <v>3704</v>
      </c>
      <c r="AL197">
        <v>7</v>
      </c>
      <c r="AO197" t="s">
        <v>3983</v>
      </c>
      <c r="AS197" t="s">
        <v>4261</v>
      </c>
      <c r="AT197">
        <v>8</v>
      </c>
      <c r="AW197" t="s">
        <v>4507</v>
      </c>
      <c r="AX197">
        <v>5</v>
      </c>
      <c r="BA197" t="s">
        <v>4751</v>
      </c>
      <c r="BC197">
        <v>1</v>
      </c>
      <c r="BE197" t="s">
        <v>4948</v>
      </c>
      <c r="BG197" t="s">
        <v>5026</v>
      </c>
      <c r="BH197" t="s">
        <v>5228</v>
      </c>
      <c r="BI197" t="s">
        <v>5481</v>
      </c>
      <c r="BJ197" t="s">
        <v>5746</v>
      </c>
      <c r="BK197" t="s">
        <v>6035</v>
      </c>
      <c r="BL197" t="s">
        <v>6228</v>
      </c>
      <c r="BM197" t="s">
        <v>6399</v>
      </c>
      <c r="BN197" t="s">
        <v>6565</v>
      </c>
      <c r="BO197" t="s">
        <v>6720</v>
      </c>
      <c r="BP197" t="s">
        <v>6812</v>
      </c>
      <c r="BT197" t="s">
        <v>7035</v>
      </c>
      <c r="BU197" t="s">
        <v>7181</v>
      </c>
      <c r="BV197" t="s">
        <v>7258</v>
      </c>
      <c r="BW197" t="s">
        <v>7431</v>
      </c>
      <c r="BX197" t="s">
        <v>7568</v>
      </c>
      <c r="BZ197">
        <v>0</v>
      </c>
      <c r="CA197">
        <v>0</v>
      </c>
      <c r="CE197" t="s">
        <v>8007</v>
      </c>
      <c r="CF197" s="144">
        <v>44123.576319444444</v>
      </c>
      <c r="CG197" s="144">
        <v>44123.650370370371</v>
      </c>
      <c r="CH197" t="s">
        <v>8331</v>
      </c>
    </row>
    <row r="198" spans="1:86" ht="15" hidden="1" customHeight="1" x14ac:dyDescent="0.35">
      <c r="A198" t="s">
        <v>729</v>
      </c>
      <c r="B198">
        <v>1</v>
      </c>
      <c r="C198">
        <v>1</v>
      </c>
      <c r="D198" t="s">
        <v>1042</v>
      </c>
      <c r="E198" t="s">
        <v>1247</v>
      </c>
      <c r="F198">
        <v>7</v>
      </c>
      <c r="I198" t="s">
        <v>1587</v>
      </c>
      <c r="M198" t="s">
        <v>1905</v>
      </c>
      <c r="Q198" t="s">
        <v>2245</v>
      </c>
      <c r="S198">
        <v>5</v>
      </c>
      <c r="U198" t="s">
        <v>2589</v>
      </c>
      <c r="V198">
        <v>4</v>
      </c>
      <c r="Y198" t="s">
        <v>2909</v>
      </c>
      <c r="Z198">
        <v>6</v>
      </c>
      <c r="AC198" t="s">
        <v>3201</v>
      </c>
      <c r="AG198" t="s">
        <v>3469</v>
      </c>
      <c r="AH198">
        <v>6</v>
      </c>
      <c r="AK198" t="s">
        <v>3705</v>
      </c>
      <c r="AO198" t="s">
        <v>3983</v>
      </c>
      <c r="AS198" t="s">
        <v>4262</v>
      </c>
      <c r="AW198" t="s">
        <v>4507</v>
      </c>
      <c r="AX198">
        <v>5</v>
      </c>
      <c r="BA198" t="s">
        <v>4752</v>
      </c>
      <c r="BB198">
        <v>5</v>
      </c>
      <c r="BE198" t="s">
        <v>4948</v>
      </c>
      <c r="BG198" t="s">
        <v>5027</v>
      </c>
      <c r="BH198" t="s">
        <v>5228</v>
      </c>
      <c r="BI198" t="s">
        <v>5481</v>
      </c>
      <c r="BJ198" t="s">
        <v>5747</v>
      </c>
      <c r="BK198" t="s">
        <v>6036</v>
      </c>
      <c r="BL198" t="s">
        <v>6228</v>
      </c>
      <c r="BM198" t="s">
        <v>6400</v>
      </c>
      <c r="BN198" t="s">
        <v>6566</v>
      </c>
      <c r="BO198" t="s">
        <v>6720</v>
      </c>
      <c r="BP198" t="s">
        <v>6812</v>
      </c>
      <c r="BT198" t="s">
        <v>7036</v>
      </c>
      <c r="BU198" t="s">
        <v>7181</v>
      </c>
      <c r="BV198" t="s">
        <v>7258</v>
      </c>
      <c r="BW198" t="s">
        <v>7432</v>
      </c>
      <c r="BX198" t="s">
        <v>7569</v>
      </c>
      <c r="BZ198">
        <v>1</v>
      </c>
      <c r="CA198">
        <v>0</v>
      </c>
      <c r="CE198" t="s">
        <v>8008</v>
      </c>
      <c r="CF198" s="144">
        <v>44123.395254629628</v>
      </c>
      <c r="CG198" s="144">
        <v>44123.4059837963</v>
      </c>
      <c r="CH198" t="s">
        <v>8332</v>
      </c>
    </row>
    <row r="199" spans="1:86" ht="15" hidden="1" customHeight="1" x14ac:dyDescent="0.35">
      <c r="A199" t="s">
        <v>730</v>
      </c>
      <c r="B199">
        <v>1</v>
      </c>
      <c r="C199">
        <v>1</v>
      </c>
      <c r="D199" t="s">
        <v>1042</v>
      </c>
      <c r="E199" t="s">
        <v>1248</v>
      </c>
      <c r="I199" t="s">
        <v>1588</v>
      </c>
      <c r="J199">
        <v>6</v>
      </c>
      <c r="L199" t="s">
        <v>1758</v>
      </c>
      <c r="M199" t="s">
        <v>1905</v>
      </c>
      <c r="Q199" t="s">
        <v>2246</v>
      </c>
      <c r="R199">
        <v>4</v>
      </c>
      <c r="U199" t="s">
        <v>2590</v>
      </c>
      <c r="W199">
        <v>4</v>
      </c>
      <c r="Y199" t="s">
        <v>2910</v>
      </c>
      <c r="AA199">
        <v>6</v>
      </c>
      <c r="AC199" t="s">
        <v>3201</v>
      </c>
      <c r="AG199" t="s">
        <v>3470</v>
      </c>
      <c r="AK199" t="s">
        <v>3705</v>
      </c>
      <c r="AO199" t="s">
        <v>3983</v>
      </c>
      <c r="AS199" t="s">
        <v>4262</v>
      </c>
      <c r="AW199" t="s">
        <v>4508</v>
      </c>
      <c r="BA199" t="s">
        <v>4753</v>
      </c>
      <c r="BE199" t="s">
        <v>4948</v>
      </c>
      <c r="BG199" t="s">
        <v>5028</v>
      </c>
      <c r="BH199" t="s">
        <v>5228</v>
      </c>
      <c r="BI199" t="s">
        <v>5481</v>
      </c>
      <c r="BJ199" t="s">
        <v>5747</v>
      </c>
      <c r="BK199" t="s">
        <v>6036</v>
      </c>
      <c r="BL199" t="s">
        <v>6228</v>
      </c>
      <c r="BM199" t="s">
        <v>6400</v>
      </c>
      <c r="BN199" t="s">
        <v>6566</v>
      </c>
      <c r="BO199" t="s">
        <v>6721</v>
      </c>
      <c r="BP199" t="s">
        <v>6812</v>
      </c>
      <c r="BT199" t="s">
        <v>7037</v>
      </c>
      <c r="BU199" t="s">
        <v>7181</v>
      </c>
      <c r="BV199" t="s">
        <v>7258</v>
      </c>
      <c r="BW199" t="s">
        <v>7433</v>
      </c>
      <c r="BX199" t="s">
        <v>7570</v>
      </c>
      <c r="BZ199">
        <v>0</v>
      </c>
      <c r="CA199">
        <v>1</v>
      </c>
      <c r="CC199" t="s">
        <v>7734</v>
      </c>
      <c r="CD199" t="s">
        <v>7822</v>
      </c>
      <c r="CE199" t="s">
        <v>8009</v>
      </c>
      <c r="CF199" s="144">
        <v>44123.367731481485</v>
      </c>
      <c r="CG199" s="144">
        <v>44123.375937500001</v>
      </c>
      <c r="CH199" s="24" t="s">
        <v>8333</v>
      </c>
    </row>
    <row r="200" spans="1:86" ht="15" hidden="1" customHeight="1" x14ac:dyDescent="0.35">
      <c r="A200" t="s">
        <v>731</v>
      </c>
      <c r="B200">
        <v>1</v>
      </c>
      <c r="C200">
        <v>1</v>
      </c>
      <c r="D200" t="s">
        <v>1043</v>
      </c>
      <c r="E200" t="s">
        <v>1249</v>
      </c>
      <c r="F200">
        <v>6</v>
      </c>
      <c r="I200" t="s">
        <v>1589</v>
      </c>
      <c r="M200" t="s">
        <v>1906</v>
      </c>
      <c r="N200">
        <v>6</v>
      </c>
      <c r="Q200" t="s">
        <v>2247</v>
      </c>
      <c r="U200" t="s">
        <v>2590</v>
      </c>
      <c r="W200">
        <v>1</v>
      </c>
      <c r="Y200" t="s">
        <v>2911</v>
      </c>
      <c r="AC200" t="s">
        <v>3201</v>
      </c>
      <c r="AG200" t="s">
        <v>3470</v>
      </c>
      <c r="AK200" t="s">
        <v>3706</v>
      </c>
      <c r="AM200">
        <v>6</v>
      </c>
      <c r="AO200" t="s">
        <v>3983</v>
      </c>
      <c r="AS200" t="s">
        <v>4262</v>
      </c>
      <c r="AW200" t="s">
        <v>4508</v>
      </c>
      <c r="BA200" t="s">
        <v>4754</v>
      </c>
      <c r="BC200">
        <v>6</v>
      </c>
      <c r="BE200" t="s">
        <v>4948</v>
      </c>
      <c r="BG200" t="s">
        <v>5028</v>
      </c>
      <c r="BH200" t="s">
        <v>5229</v>
      </c>
      <c r="BI200" t="s">
        <v>5482</v>
      </c>
      <c r="BJ200" t="s">
        <v>5748</v>
      </c>
      <c r="BK200" t="s">
        <v>6037</v>
      </c>
      <c r="BL200" t="s">
        <v>6228</v>
      </c>
      <c r="BM200" t="s">
        <v>6400</v>
      </c>
      <c r="BN200" t="s">
        <v>6567</v>
      </c>
      <c r="BO200" t="s">
        <v>6722</v>
      </c>
      <c r="BP200" t="s">
        <v>6812</v>
      </c>
      <c r="BT200" t="s">
        <v>7037</v>
      </c>
      <c r="BU200" t="s">
        <v>7181</v>
      </c>
      <c r="BV200" t="s">
        <v>7258</v>
      </c>
      <c r="BW200" t="s">
        <v>7434</v>
      </c>
      <c r="BX200" t="s">
        <v>7571</v>
      </c>
      <c r="BZ200">
        <v>0</v>
      </c>
      <c r="CA200">
        <v>0</v>
      </c>
      <c r="CE200" t="s">
        <v>8010</v>
      </c>
      <c r="CF200" s="144">
        <v>44123.240162037036</v>
      </c>
      <c r="CG200" s="144">
        <v>44123.245266203703</v>
      </c>
      <c r="CH200" s="24" t="s">
        <v>8334</v>
      </c>
    </row>
    <row r="201" spans="1:86" ht="15" hidden="1" customHeight="1" x14ac:dyDescent="0.35">
      <c r="A201" t="s">
        <v>732</v>
      </c>
      <c r="B201">
        <v>1</v>
      </c>
      <c r="C201">
        <v>1</v>
      </c>
      <c r="D201" t="s">
        <v>1043</v>
      </c>
      <c r="E201" t="s">
        <v>1249</v>
      </c>
      <c r="F201">
        <v>6</v>
      </c>
      <c r="H201" t="s">
        <v>1409</v>
      </c>
      <c r="I201" t="s">
        <v>1589</v>
      </c>
      <c r="M201" t="s">
        <v>1906</v>
      </c>
      <c r="N201">
        <v>4</v>
      </c>
      <c r="Q201" t="s">
        <v>2248</v>
      </c>
      <c r="S201">
        <v>6</v>
      </c>
      <c r="T201" t="s">
        <v>2425</v>
      </c>
      <c r="U201" t="s">
        <v>2591</v>
      </c>
      <c r="V201">
        <v>5</v>
      </c>
      <c r="Y201" t="s">
        <v>2912</v>
      </c>
      <c r="Z201">
        <v>7</v>
      </c>
      <c r="AC201" t="s">
        <v>3202</v>
      </c>
      <c r="AD201">
        <v>5</v>
      </c>
      <c r="AG201" t="s">
        <v>3470</v>
      </c>
      <c r="AK201" t="s">
        <v>3706</v>
      </c>
      <c r="AM201">
        <v>6</v>
      </c>
      <c r="AO201" t="s">
        <v>3984</v>
      </c>
      <c r="AQ201">
        <v>6</v>
      </c>
      <c r="AS201" t="s">
        <v>4263</v>
      </c>
      <c r="AT201">
        <v>6</v>
      </c>
      <c r="AW201" t="s">
        <v>4508</v>
      </c>
      <c r="BA201" t="s">
        <v>4754</v>
      </c>
      <c r="BC201">
        <v>5</v>
      </c>
      <c r="BE201" t="s">
        <v>4948</v>
      </c>
      <c r="BG201" t="s">
        <v>5028</v>
      </c>
      <c r="BH201" t="s">
        <v>5230</v>
      </c>
      <c r="BI201" t="s">
        <v>5483</v>
      </c>
      <c r="BJ201" t="s">
        <v>5749</v>
      </c>
      <c r="BK201" t="s">
        <v>6037</v>
      </c>
      <c r="BL201" t="s">
        <v>6228</v>
      </c>
      <c r="BM201" t="s">
        <v>6400</v>
      </c>
      <c r="BN201" t="s">
        <v>6568</v>
      </c>
      <c r="BO201" t="s">
        <v>6723</v>
      </c>
      <c r="BP201" t="s">
        <v>6812</v>
      </c>
      <c r="BT201" t="s">
        <v>7037</v>
      </c>
      <c r="BU201" t="s">
        <v>7181</v>
      </c>
      <c r="BV201" t="s">
        <v>7259</v>
      </c>
      <c r="BW201" t="s">
        <v>7434</v>
      </c>
      <c r="BX201" t="s">
        <v>7572</v>
      </c>
      <c r="BZ201">
        <v>1</v>
      </c>
      <c r="CA201">
        <v>0</v>
      </c>
      <c r="CE201" t="s">
        <v>8010</v>
      </c>
      <c r="CF201" s="144">
        <v>44123.219756944447</v>
      </c>
      <c r="CG201" s="144">
        <v>44123.224351851852</v>
      </c>
      <c r="CH201" t="s">
        <v>8335</v>
      </c>
    </row>
    <row r="202" spans="1:86" ht="15" hidden="1" customHeight="1" x14ac:dyDescent="0.35">
      <c r="A202" t="s">
        <v>733</v>
      </c>
      <c r="B202">
        <v>1</v>
      </c>
      <c r="C202">
        <v>1</v>
      </c>
      <c r="D202" t="s">
        <v>1043</v>
      </c>
      <c r="E202" t="s">
        <v>1250</v>
      </c>
      <c r="I202" t="s">
        <v>1589</v>
      </c>
      <c r="M202" t="s">
        <v>1907</v>
      </c>
      <c r="Q202" t="s">
        <v>2249</v>
      </c>
      <c r="U202" t="s">
        <v>2592</v>
      </c>
      <c r="Y202" t="s">
        <v>2913</v>
      </c>
      <c r="AC202" t="s">
        <v>3203</v>
      </c>
      <c r="AG202" t="s">
        <v>3470</v>
      </c>
      <c r="AK202" t="s">
        <v>3707</v>
      </c>
      <c r="AO202" t="s">
        <v>3985</v>
      </c>
      <c r="AP202">
        <v>3</v>
      </c>
      <c r="AS202" t="s">
        <v>4264</v>
      </c>
      <c r="AW202" t="s">
        <v>4508</v>
      </c>
      <c r="BA202" t="s">
        <v>4754</v>
      </c>
      <c r="BC202">
        <v>3</v>
      </c>
      <c r="BE202" t="s">
        <v>4948</v>
      </c>
      <c r="BG202" t="s">
        <v>5028</v>
      </c>
      <c r="BH202" t="s">
        <v>5231</v>
      </c>
      <c r="BI202" t="s">
        <v>5484</v>
      </c>
      <c r="BJ202" t="s">
        <v>5750</v>
      </c>
      <c r="BK202" t="s">
        <v>6038</v>
      </c>
      <c r="BL202" t="s">
        <v>6229</v>
      </c>
      <c r="BM202" t="s">
        <v>6401</v>
      </c>
      <c r="BN202" t="s">
        <v>6569</v>
      </c>
      <c r="BO202" t="s">
        <v>6724</v>
      </c>
      <c r="BP202" t="s">
        <v>6812</v>
      </c>
      <c r="BT202" t="s">
        <v>7037</v>
      </c>
      <c r="BU202" t="s">
        <v>7181</v>
      </c>
      <c r="BV202" t="s">
        <v>7259</v>
      </c>
      <c r="BW202" t="s">
        <v>7434</v>
      </c>
      <c r="BX202" t="s">
        <v>7573</v>
      </c>
      <c r="BZ202">
        <v>0</v>
      </c>
      <c r="CA202">
        <v>0</v>
      </c>
      <c r="CE202" t="s">
        <v>8011</v>
      </c>
      <c r="CF202" s="144">
        <v>44122.87295138889</v>
      </c>
      <c r="CG202" s="144">
        <v>44122.879328703704</v>
      </c>
      <c r="CH202" t="s">
        <v>8336</v>
      </c>
    </row>
    <row r="203" spans="1:86" ht="15" hidden="1" customHeight="1" x14ac:dyDescent="0.35">
      <c r="A203" t="s">
        <v>734</v>
      </c>
      <c r="B203">
        <v>1</v>
      </c>
      <c r="C203">
        <v>1</v>
      </c>
      <c r="D203" t="s">
        <v>1043</v>
      </c>
      <c r="E203" t="s">
        <v>1251</v>
      </c>
      <c r="F203">
        <v>6</v>
      </c>
      <c r="H203" t="s">
        <v>1410</v>
      </c>
      <c r="I203" t="s">
        <v>1589</v>
      </c>
      <c r="M203" t="s">
        <v>1907</v>
      </c>
      <c r="Q203" t="s">
        <v>2250</v>
      </c>
      <c r="S203">
        <v>6</v>
      </c>
      <c r="T203" t="s">
        <v>2426</v>
      </c>
      <c r="U203" t="s">
        <v>2593</v>
      </c>
      <c r="W203">
        <v>8</v>
      </c>
      <c r="X203" t="s">
        <v>2742</v>
      </c>
      <c r="Y203" t="s">
        <v>2913</v>
      </c>
      <c r="AC203" t="s">
        <v>3204</v>
      </c>
      <c r="AD203">
        <v>4</v>
      </c>
      <c r="AF203" t="s">
        <v>3345</v>
      </c>
      <c r="AG203" t="s">
        <v>3470</v>
      </c>
      <c r="AK203" t="s">
        <v>3707</v>
      </c>
      <c r="AO203" t="s">
        <v>3986</v>
      </c>
      <c r="AS203" t="s">
        <v>4264</v>
      </c>
      <c r="AW203" t="s">
        <v>4509</v>
      </c>
      <c r="AX203">
        <v>6</v>
      </c>
      <c r="AZ203" t="s">
        <v>4621</v>
      </c>
      <c r="BA203" t="s">
        <v>4755</v>
      </c>
      <c r="BB203">
        <v>5</v>
      </c>
      <c r="BD203" t="s">
        <v>4871</v>
      </c>
      <c r="BE203" t="s">
        <v>4948</v>
      </c>
      <c r="BG203" t="s">
        <v>5028</v>
      </c>
      <c r="BH203" t="s">
        <v>5232</v>
      </c>
      <c r="BI203" t="s">
        <v>5485</v>
      </c>
      <c r="BJ203" t="s">
        <v>5751</v>
      </c>
      <c r="BK203" t="s">
        <v>6039</v>
      </c>
      <c r="BL203" t="s">
        <v>6229</v>
      </c>
      <c r="BM203" t="s">
        <v>6402</v>
      </c>
      <c r="BN203" t="s">
        <v>6569</v>
      </c>
      <c r="BO203" t="s">
        <v>6724</v>
      </c>
      <c r="BP203" t="s">
        <v>6812</v>
      </c>
      <c r="BT203" t="s">
        <v>7037</v>
      </c>
      <c r="BU203" t="s">
        <v>7181</v>
      </c>
      <c r="BV203" t="s">
        <v>7260</v>
      </c>
      <c r="BW203" t="s">
        <v>7435</v>
      </c>
      <c r="BX203" t="s">
        <v>7573</v>
      </c>
      <c r="BZ203">
        <v>1</v>
      </c>
      <c r="CA203">
        <v>1</v>
      </c>
      <c r="CB203" t="s">
        <v>7673</v>
      </c>
      <c r="CC203" t="s">
        <v>7735</v>
      </c>
      <c r="CD203" t="s">
        <v>7822</v>
      </c>
      <c r="CE203" t="s">
        <v>8012</v>
      </c>
      <c r="CF203" s="144">
        <v>44122.84202546296</v>
      </c>
      <c r="CG203" s="144">
        <v>44122.851030092592</v>
      </c>
      <c r="CH203" t="s">
        <v>8337</v>
      </c>
    </row>
    <row r="204" spans="1:86" ht="15" hidden="1" customHeight="1" x14ac:dyDescent="0.35">
      <c r="A204" t="s">
        <v>735</v>
      </c>
      <c r="B204">
        <v>1</v>
      </c>
      <c r="C204">
        <v>1</v>
      </c>
      <c r="D204" t="s">
        <v>1043</v>
      </c>
      <c r="E204" t="s">
        <v>1251</v>
      </c>
      <c r="F204">
        <v>6</v>
      </c>
      <c r="I204" t="s">
        <v>1590</v>
      </c>
      <c r="K204">
        <v>5</v>
      </c>
      <c r="M204" t="s">
        <v>1908</v>
      </c>
      <c r="N204">
        <v>6</v>
      </c>
      <c r="Q204" t="s">
        <v>2251</v>
      </c>
      <c r="U204" t="s">
        <v>2594</v>
      </c>
      <c r="Y204" t="s">
        <v>2913</v>
      </c>
      <c r="AC204" t="s">
        <v>3204</v>
      </c>
      <c r="AD204">
        <v>4</v>
      </c>
      <c r="AG204" t="s">
        <v>3471</v>
      </c>
      <c r="AH204">
        <v>5</v>
      </c>
      <c r="AK204" t="s">
        <v>3708</v>
      </c>
      <c r="AL204">
        <v>8</v>
      </c>
      <c r="AO204" t="s">
        <v>3986</v>
      </c>
      <c r="AS204" t="s">
        <v>4264</v>
      </c>
      <c r="AW204" t="s">
        <v>4510</v>
      </c>
      <c r="AY204">
        <v>6</v>
      </c>
      <c r="BA204" t="s">
        <v>4756</v>
      </c>
      <c r="BC204">
        <v>5</v>
      </c>
      <c r="BE204" t="s">
        <v>4948</v>
      </c>
      <c r="BG204" t="s">
        <v>5028</v>
      </c>
      <c r="BH204" t="s">
        <v>5233</v>
      </c>
      <c r="BI204" t="s">
        <v>5485</v>
      </c>
      <c r="BJ204" t="s">
        <v>5752</v>
      </c>
      <c r="BK204" t="s">
        <v>6040</v>
      </c>
      <c r="BL204" t="s">
        <v>6230</v>
      </c>
      <c r="BM204" t="s">
        <v>6402</v>
      </c>
      <c r="BN204" t="s">
        <v>6569</v>
      </c>
      <c r="BO204" t="s">
        <v>6724</v>
      </c>
      <c r="BP204" t="s">
        <v>6812</v>
      </c>
      <c r="BT204" t="s">
        <v>7038</v>
      </c>
      <c r="BU204" t="s">
        <v>7182</v>
      </c>
      <c r="BV204" t="s">
        <v>7261</v>
      </c>
      <c r="BW204" t="s">
        <v>7436</v>
      </c>
      <c r="BX204" t="s">
        <v>7574</v>
      </c>
      <c r="BZ204">
        <v>0</v>
      </c>
      <c r="CA204">
        <v>0</v>
      </c>
      <c r="CE204" t="s">
        <v>8013</v>
      </c>
      <c r="CF204" s="144">
        <v>44122.813067129631</v>
      </c>
      <c r="CG204" s="144">
        <v>44122.817488425928</v>
      </c>
      <c r="CH204" t="s">
        <v>8338</v>
      </c>
    </row>
    <row r="205" spans="1:86" ht="15" hidden="1" customHeight="1" x14ac:dyDescent="0.35">
      <c r="A205" t="s">
        <v>736</v>
      </c>
      <c r="B205">
        <v>1</v>
      </c>
      <c r="C205">
        <v>1</v>
      </c>
      <c r="D205" t="s">
        <v>1044</v>
      </c>
      <c r="E205" t="s">
        <v>1251</v>
      </c>
      <c r="F205">
        <v>5</v>
      </c>
      <c r="I205" t="s">
        <v>1591</v>
      </c>
      <c r="J205">
        <v>7</v>
      </c>
      <c r="M205" t="s">
        <v>1908</v>
      </c>
      <c r="N205">
        <v>3</v>
      </c>
      <c r="Q205" t="s">
        <v>2252</v>
      </c>
      <c r="S205">
        <v>2</v>
      </c>
      <c r="U205" t="s">
        <v>2594</v>
      </c>
      <c r="Y205" t="s">
        <v>2913</v>
      </c>
      <c r="AC205" t="s">
        <v>3205</v>
      </c>
      <c r="AG205" t="s">
        <v>3471</v>
      </c>
      <c r="AH205">
        <v>7</v>
      </c>
      <c r="AK205" t="s">
        <v>3708</v>
      </c>
      <c r="AL205">
        <v>6</v>
      </c>
      <c r="AO205" t="s">
        <v>3986</v>
      </c>
      <c r="AS205" t="s">
        <v>4265</v>
      </c>
      <c r="AU205">
        <v>2</v>
      </c>
      <c r="AW205" t="s">
        <v>4511</v>
      </c>
      <c r="BA205" t="s">
        <v>4757</v>
      </c>
      <c r="BE205" t="s">
        <v>4948</v>
      </c>
      <c r="BG205" t="s">
        <v>5028</v>
      </c>
      <c r="BH205" t="s">
        <v>5234</v>
      </c>
      <c r="BI205" t="s">
        <v>5486</v>
      </c>
      <c r="BJ205" t="s">
        <v>5753</v>
      </c>
      <c r="BK205" t="s">
        <v>6041</v>
      </c>
      <c r="BL205" t="s">
        <v>6231</v>
      </c>
      <c r="BM205" t="s">
        <v>6403</v>
      </c>
      <c r="BN205" t="s">
        <v>6570</v>
      </c>
      <c r="BO205" t="s">
        <v>6725</v>
      </c>
      <c r="BP205" t="s">
        <v>6812</v>
      </c>
      <c r="BT205" t="s">
        <v>7039</v>
      </c>
      <c r="BU205" t="s">
        <v>7183</v>
      </c>
      <c r="BV205" t="s">
        <v>7262</v>
      </c>
      <c r="BW205" t="s">
        <v>7437</v>
      </c>
      <c r="BX205" t="s">
        <v>7575</v>
      </c>
      <c r="BZ205">
        <v>0</v>
      </c>
      <c r="CA205">
        <v>0</v>
      </c>
      <c r="CE205" t="s">
        <v>8014</v>
      </c>
      <c r="CF205" s="144">
        <v>44122.797835648147</v>
      </c>
      <c r="CG205" s="144">
        <v>44122.803067129629</v>
      </c>
      <c r="CH205" t="s">
        <v>8339</v>
      </c>
    </row>
    <row r="206" spans="1:86" ht="15" hidden="1" customHeight="1" x14ac:dyDescent="0.35">
      <c r="A206" t="s">
        <v>737</v>
      </c>
      <c r="B206">
        <v>1</v>
      </c>
      <c r="C206">
        <v>1</v>
      </c>
      <c r="D206" t="s">
        <v>1045</v>
      </c>
      <c r="E206" t="s">
        <v>1251</v>
      </c>
      <c r="F206">
        <v>6</v>
      </c>
      <c r="H206" t="s">
        <v>1411</v>
      </c>
      <c r="I206" t="s">
        <v>1591</v>
      </c>
      <c r="J206">
        <v>5</v>
      </c>
      <c r="L206" t="s">
        <v>1759</v>
      </c>
      <c r="M206" t="s">
        <v>1909</v>
      </c>
      <c r="Q206" t="s">
        <v>2252</v>
      </c>
      <c r="S206">
        <v>2</v>
      </c>
      <c r="T206" t="s">
        <v>2427</v>
      </c>
      <c r="U206" t="s">
        <v>2595</v>
      </c>
      <c r="W206">
        <v>8</v>
      </c>
      <c r="X206" t="s">
        <v>2743</v>
      </c>
      <c r="Y206" t="s">
        <v>2914</v>
      </c>
      <c r="AA206">
        <v>4</v>
      </c>
      <c r="AB206" t="s">
        <v>3054</v>
      </c>
      <c r="AC206" t="s">
        <v>3206</v>
      </c>
      <c r="AD206">
        <v>6</v>
      </c>
      <c r="AF206" t="s">
        <v>3346</v>
      </c>
      <c r="AG206" t="s">
        <v>3471</v>
      </c>
      <c r="AH206">
        <v>8</v>
      </c>
      <c r="AJ206" t="s">
        <v>3574</v>
      </c>
      <c r="AK206" t="s">
        <v>3708</v>
      </c>
      <c r="AL206">
        <v>2</v>
      </c>
      <c r="AN206" t="s">
        <v>3818</v>
      </c>
      <c r="AO206" t="s">
        <v>3987</v>
      </c>
      <c r="AP206">
        <v>8</v>
      </c>
      <c r="AR206" t="s">
        <v>4125</v>
      </c>
      <c r="AS206" t="s">
        <v>4266</v>
      </c>
      <c r="AT206">
        <v>8</v>
      </c>
      <c r="AV206" t="s">
        <v>4379</v>
      </c>
      <c r="AW206" t="s">
        <v>4512</v>
      </c>
      <c r="AY206">
        <v>6</v>
      </c>
      <c r="AZ206" t="s">
        <v>4622</v>
      </c>
      <c r="BA206" t="s">
        <v>4758</v>
      </c>
      <c r="BC206">
        <v>8</v>
      </c>
      <c r="BD206" t="s">
        <v>4872</v>
      </c>
      <c r="BE206" t="s">
        <v>4948</v>
      </c>
      <c r="BG206" t="s">
        <v>5028</v>
      </c>
      <c r="BH206" t="s">
        <v>5235</v>
      </c>
      <c r="BI206" t="s">
        <v>5487</v>
      </c>
      <c r="BJ206" t="s">
        <v>5754</v>
      </c>
      <c r="BK206" t="s">
        <v>6042</v>
      </c>
      <c r="BL206" t="s">
        <v>6232</v>
      </c>
      <c r="BM206" t="s">
        <v>6403</v>
      </c>
      <c r="BN206" t="s">
        <v>6571</v>
      </c>
      <c r="BO206" t="s">
        <v>6726</v>
      </c>
      <c r="BP206" t="s">
        <v>6812</v>
      </c>
      <c r="BT206" t="s">
        <v>7039</v>
      </c>
      <c r="BU206" t="s">
        <v>7183</v>
      </c>
      <c r="BV206" t="s">
        <v>7263</v>
      </c>
      <c r="BW206" t="s">
        <v>7438</v>
      </c>
      <c r="BX206" t="s">
        <v>7576</v>
      </c>
      <c r="BZ206">
        <v>0</v>
      </c>
      <c r="CA206">
        <v>0</v>
      </c>
      <c r="CE206" t="s">
        <v>8015</v>
      </c>
      <c r="CF206" s="144">
        <v>44122.773379629631</v>
      </c>
      <c r="CG206" s="144">
        <v>44122.787233796298</v>
      </c>
      <c r="CH206" t="s">
        <v>8340</v>
      </c>
    </row>
    <row r="207" spans="1:86" ht="15" hidden="1" customHeight="1" x14ac:dyDescent="0.35">
      <c r="A207" t="s">
        <v>738</v>
      </c>
      <c r="B207">
        <v>1</v>
      </c>
      <c r="C207">
        <v>1</v>
      </c>
      <c r="D207" t="s">
        <v>1046</v>
      </c>
      <c r="E207" t="s">
        <v>1251</v>
      </c>
      <c r="F207">
        <v>5</v>
      </c>
      <c r="H207" t="s">
        <v>1412</v>
      </c>
      <c r="I207" t="s">
        <v>1592</v>
      </c>
      <c r="M207" t="s">
        <v>1910</v>
      </c>
      <c r="N207">
        <v>5</v>
      </c>
      <c r="Q207" t="s">
        <v>2252</v>
      </c>
      <c r="S207">
        <v>7</v>
      </c>
      <c r="U207" t="s">
        <v>2595</v>
      </c>
      <c r="W207">
        <v>6</v>
      </c>
      <c r="Y207" t="s">
        <v>2915</v>
      </c>
      <c r="Z207">
        <v>6</v>
      </c>
      <c r="AC207" t="s">
        <v>3207</v>
      </c>
      <c r="AG207" t="s">
        <v>3471</v>
      </c>
      <c r="AH207">
        <v>8</v>
      </c>
      <c r="AK207" t="s">
        <v>3708</v>
      </c>
      <c r="AL207">
        <v>6</v>
      </c>
      <c r="AO207" t="s">
        <v>3988</v>
      </c>
      <c r="AQ207">
        <v>6</v>
      </c>
      <c r="AS207" t="s">
        <v>4266</v>
      </c>
      <c r="AT207">
        <v>5</v>
      </c>
      <c r="AW207" t="s">
        <v>4513</v>
      </c>
      <c r="BA207" t="s">
        <v>4759</v>
      </c>
      <c r="BB207">
        <v>5</v>
      </c>
      <c r="BE207" t="s">
        <v>4948</v>
      </c>
      <c r="BG207" t="s">
        <v>5028</v>
      </c>
      <c r="BH207" t="s">
        <v>5236</v>
      </c>
      <c r="BI207" t="s">
        <v>5488</v>
      </c>
      <c r="BJ207" t="s">
        <v>5755</v>
      </c>
      <c r="BK207" t="s">
        <v>6042</v>
      </c>
      <c r="BL207" t="s">
        <v>6232</v>
      </c>
      <c r="BM207" t="s">
        <v>6403</v>
      </c>
      <c r="BN207" t="s">
        <v>6571</v>
      </c>
      <c r="BO207" t="s">
        <v>6726</v>
      </c>
      <c r="BP207" t="s">
        <v>6812</v>
      </c>
      <c r="BT207" t="s">
        <v>7040</v>
      </c>
      <c r="BU207" t="s">
        <v>7183</v>
      </c>
      <c r="BV207" t="s">
        <v>7264</v>
      </c>
      <c r="BW207" t="s">
        <v>7438</v>
      </c>
      <c r="BX207" t="s">
        <v>7576</v>
      </c>
      <c r="BZ207">
        <v>0</v>
      </c>
      <c r="CA207">
        <v>0</v>
      </c>
      <c r="CE207" t="s">
        <v>8015</v>
      </c>
      <c r="CF207" s="144">
        <v>44122.758738425924</v>
      </c>
      <c r="CG207" s="144">
        <v>44122.764421296299</v>
      </c>
      <c r="CH207" t="s">
        <v>8341</v>
      </c>
    </row>
    <row r="208" spans="1:86" ht="15" hidden="1" customHeight="1" x14ac:dyDescent="0.35">
      <c r="A208" t="s">
        <v>739</v>
      </c>
      <c r="B208">
        <v>1</v>
      </c>
      <c r="C208">
        <v>1</v>
      </c>
      <c r="D208" t="s">
        <v>1047</v>
      </c>
      <c r="E208" t="s">
        <v>1251</v>
      </c>
      <c r="F208">
        <v>7</v>
      </c>
      <c r="I208" t="s">
        <v>1593</v>
      </c>
      <c r="J208">
        <v>6</v>
      </c>
      <c r="L208" t="s">
        <v>1760</v>
      </c>
      <c r="M208" t="s">
        <v>1911</v>
      </c>
      <c r="Q208" t="s">
        <v>2253</v>
      </c>
      <c r="U208" t="s">
        <v>2595</v>
      </c>
      <c r="W208">
        <v>7</v>
      </c>
      <c r="X208" s="21" t="s">
        <v>2744</v>
      </c>
      <c r="Y208" t="s">
        <v>2916</v>
      </c>
      <c r="AA208">
        <v>6</v>
      </c>
      <c r="AB208" s="21" t="s">
        <v>3055</v>
      </c>
      <c r="AC208" t="s">
        <v>3207</v>
      </c>
      <c r="AG208" t="s">
        <v>3472</v>
      </c>
      <c r="AK208" t="s">
        <v>3709</v>
      </c>
      <c r="AO208" t="s">
        <v>3989</v>
      </c>
      <c r="AS208" t="s">
        <v>4267</v>
      </c>
      <c r="AW208" t="s">
        <v>4513</v>
      </c>
      <c r="BA208" t="s">
        <v>4760</v>
      </c>
      <c r="BE208" t="s">
        <v>4948</v>
      </c>
      <c r="BG208" t="s">
        <v>5028</v>
      </c>
      <c r="BH208" t="s">
        <v>5237</v>
      </c>
      <c r="BI208" t="s">
        <v>5489</v>
      </c>
      <c r="BJ208" t="s">
        <v>5756</v>
      </c>
      <c r="BK208" t="s">
        <v>6042</v>
      </c>
      <c r="BL208" t="s">
        <v>6233</v>
      </c>
      <c r="BM208" t="s">
        <v>6404</v>
      </c>
      <c r="BN208" t="s">
        <v>6572</v>
      </c>
      <c r="BO208" t="s">
        <v>6727</v>
      </c>
      <c r="BP208" t="s">
        <v>6812</v>
      </c>
      <c r="BT208" t="s">
        <v>7041</v>
      </c>
      <c r="BU208" t="s">
        <v>7183</v>
      </c>
      <c r="BV208" t="s">
        <v>7265</v>
      </c>
      <c r="BW208" t="s">
        <v>7439</v>
      </c>
      <c r="BX208" t="s">
        <v>7576</v>
      </c>
      <c r="BZ208">
        <v>0</v>
      </c>
      <c r="CA208">
        <v>0</v>
      </c>
      <c r="CE208" t="s">
        <v>8016</v>
      </c>
      <c r="CF208" s="144">
        <v>44122.759479166663</v>
      </c>
      <c r="CG208" s="144">
        <v>44122.764085648145</v>
      </c>
      <c r="CH208" t="s">
        <v>8342</v>
      </c>
    </row>
    <row r="209" spans="1:86" ht="15" hidden="1" customHeight="1" x14ac:dyDescent="0.35">
      <c r="A209" t="s">
        <v>740</v>
      </c>
      <c r="B209">
        <v>1</v>
      </c>
      <c r="C209">
        <v>1</v>
      </c>
      <c r="D209" t="s">
        <v>1047</v>
      </c>
      <c r="E209" t="s">
        <v>1252</v>
      </c>
      <c r="I209" t="s">
        <v>1594</v>
      </c>
      <c r="M209" t="s">
        <v>1911</v>
      </c>
      <c r="Q209" t="s">
        <v>2253</v>
      </c>
      <c r="U209" t="s">
        <v>2596</v>
      </c>
      <c r="V209">
        <v>6</v>
      </c>
      <c r="Y209" t="s">
        <v>2917</v>
      </c>
      <c r="AC209" t="s">
        <v>3207</v>
      </c>
      <c r="AG209" t="s">
        <v>3472</v>
      </c>
      <c r="AK209" t="s">
        <v>3709</v>
      </c>
      <c r="AO209" t="s">
        <v>3989</v>
      </c>
      <c r="AS209" t="s">
        <v>4267</v>
      </c>
      <c r="AW209" t="s">
        <v>4513</v>
      </c>
      <c r="BA209" t="s">
        <v>4760</v>
      </c>
      <c r="BE209" t="s">
        <v>4948</v>
      </c>
      <c r="BG209" t="s">
        <v>5028</v>
      </c>
      <c r="BH209" t="s">
        <v>5238</v>
      </c>
      <c r="BI209" t="s">
        <v>5490</v>
      </c>
      <c r="BJ209" t="s">
        <v>5757</v>
      </c>
      <c r="BK209" t="s">
        <v>6043</v>
      </c>
      <c r="BL209" t="s">
        <v>6234</v>
      </c>
      <c r="BM209" t="s">
        <v>6404</v>
      </c>
      <c r="BN209" t="s">
        <v>6573</v>
      </c>
      <c r="BO209" t="s">
        <v>6728</v>
      </c>
      <c r="BP209" t="s">
        <v>6812</v>
      </c>
      <c r="BT209" t="s">
        <v>7041</v>
      </c>
      <c r="BU209" t="s">
        <v>7183</v>
      </c>
      <c r="BV209" t="s">
        <v>7265</v>
      </c>
      <c r="BW209" t="s">
        <v>7440</v>
      </c>
      <c r="BX209" t="s">
        <v>7576</v>
      </c>
      <c r="BZ209">
        <v>0</v>
      </c>
      <c r="CA209">
        <v>0</v>
      </c>
      <c r="CE209" t="s">
        <v>8017</v>
      </c>
      <c r="CF209" s="144">
        <v>44122.730763888889</v>
      </c>
      <c r="CG209" s="144">
        <v>44122.73704861111</v>
      </c>
      <c r="CH209" t="s">
        <v>8343</v>
      </c>
    </row>
    <row r="210" spans="1:86" ht="15" hidden="1" customHeight="1" x14ac:dyDescent="0.35">
      <c r="A210" t="s">
        <v>741</v>
      </c>
      <c r="B210">
        <v>1</v>
      </c>
      <c r="C210">
        <v>1</v>
      </c>
      <c r="D210" t="s">
        <v>1048</v>
      </c>
      <c r="E210" t="s">
        <v>1252</v>
      </c>
      <c r="I210" t="s">
        <v>1594</v>
      </c>
      <c r="M210" t="s">
        <v>1911</v>
      </c>
      <c r="Q210" t="s">
        <v>2253</v>
      </c>
      <c r="U210" t="s">
        <v>2597</v>
      </c>
      <c r="Y210" t="s">
        <v>2917</v>
      </c>
      <c r="AC210" t="s">
        <v>3207</v>
      </c>
      <c r="AG210" t="s">
        <v>3472</v>
      </c>
      <c r="AK210" t="s">
        <v>3709</v>
      </c>
      <c r="AO210" t="s">
        <v>3989</v>
      </c>
      <c r="AS210" t="s">
        <v>4267</v>
      </c>
      <c r="AW210" t="s">
        <v>4513</v>
      </c>
      <c r="BA210" t="s">
        <v>4760</v>
      </c>
      <c r="BE210" t="s">
        <v>4948</v>
      </c>
      <c r="BG210" t="s">
        <v>5028</v>
      </c>
      <c r="BH210" t="s">
        <v>5239</v>
      </c>
      <c r="BI210" t="s">
        <v>5490</v>
      </c>
      <c r="BJ210" t="s">
        <v>5758</v>
      </c>
      <c r="BK210" t="s">
        <v>6044</v>
      </c>
      <c r="BL210" t="s">
        <v>6234</v>
      </c>
      <c r="BM210" t="s">
        <v>6405</v>
      </c>
      <c r="BN210" t="s">
        <v>6574</v>
      </c>
      <c r="BO210" t="s">
        <v>6729</v>
      </c>
      <c r="BP210" t="s">
        <v>6812</v>
      </c>
      <c r="BT210" t="s">
        <v>7042</v>
      </c>
      <c r="BU210" t="s">
        <v>7183</v>
      </c>
      <c r="BV210" t="s">
        <v>7265</v>
      </c>
      <c r="BW210" t="s">
        <v>7441</v>
      </c>
      <c r="BX210" t="s">
        <v>7576</v>
      </c>
      <c r="BZ210">
        <v>0</v>
      </c>
      <c r="CA210">
        <v>0</v>
      </c>
      <c r="CE210" t="s">
        <v>8018</v>
      </c>
      <c r="CF210" s="144">
        <v>44122.697395833333</v>
      </c>
      <c r="CG210" s="144">
        <v>44122.702314814815</v>
      </c>
      <c r="CH210" t="s">
        <v>8344</v>
      </c>
    </row>
    <row r="211" spans="1:86" ht="15" hidden="1" customHeight="1" x14ac:dyDescent="0.35">
      <c r="A211" t="s">
        <v>742</v>
      </c>
      <c r="B211">
        <v>1</v>
      </c>
      <c r="C211">
        <v>1</v>
      </c>
      <c r="D211" t="s">
        <v>1049</v>
      </c>
      <c r="E211" t="s">
        <v>1252</v>
      </c>
      <c r="I211" t="s">
        <v>1594</v>
      </c>
      <c r="M211" t="s">
        <v>1912</v>
      </c>
      <c r="N211">
        <v>8</v>
      </c>
      <c r="Q211" t="s">
        <v>2254</v>
      </c>
      <c r="S211">
        <v>8</v>
      </c>
      <c r="U211" t="s">
        <v>2598</v>
      </c>
      <c r="V211">
        <v>8</v>
      </c>
      <c r="Y211" t="s">
        <v>2918</v>
      </c>
      <c r="Z211">
        <v>8</v>
      </c>
      <c r="AC211" t="s">
        <v>3208</v>
      </c>
      <c r="AD211">
        <v>8</v>
      </c>
      <c r="AG211" t="s">
        <v>3473</v>
      </c>
      <c r="AH211">
        <v>8</v>
      </c>
      <c r="AK211" t="s">
        <v>3710</v>
      </c>
      <c r="AL211">
        <v>8</v>
      </c>
      <c r="AO211" t="s">
        <v>3990</v>
      </c>
      <c r="AQ211">
        <v>8</v>
      </c>
      <c r="AS211" t="s">
        <v>4268</v>
      </c>
      <c r="AT211">
        <v>6</v>
      </c>
      <c r="AW211" t="s">
        <v>4514</v>
      </c>
      <c r="AY211">
        <v>8</v>
      </c>
      <c r="BA211" t="s">
        <v>4760</v>
      </c>
      <c r="BE211" t="s">
        <v>4948</v>
      </c>
      <c r="BG211" t="s">
        <v>5028</v>
      </c>
      <c r="BH211" t="s">
        <v>5239</v>
      </c>
      <c r="BI211" t="s">
        <v>5490</v>
      </c>
      <c r="BJ211" t="s">
        <v>5758</v>
      </c>
      <c r="BK211" t="s">
        <v>6045</v>
      </c>
      <c r="BL211" t="s">
        <v>6234</v>
      </c>
      <c r="BM211" t="s">
        <v>6406</v>
      </c>
      <c r="BN211" t="s">
        <v>6575</v>
      </c>
      <c r="BO211" t="s">
        <v>6730</v>
      </c>
      <c r="BP211" t="s">
        <v>6812</v>
      </c>
      <c r="BT211" t="s">
        <v>7043</v>
      </c>
      <c r="BU211" t="s">
        <v>7183</v>
      </c>
      <c r="BV211" t="s">
        <v>7266</v>
      </c>
      <c r="BW211" t="s">
        <v>7442</v>
      </c>
      <c r="BX211" t="s">
        <v>7577</v>
      </c>
      <c r="BZ211">
        <v>0</v>
      </c>
      <c r="CA211">
        <v>0</v>
      </c>
      <c r="CE211" t="s">
        <v>8019</v>
      </c>
      <c r="CF211" s="144">
        <v>44122.652604166666</v>
      </c>
      <c r="CG211" s="144">
        <v>44122.65761574074</v>
      </c>
      <c r="CH211" s="24" t="s">
        <v>8345</v>
      </c>
    </row>
    <row r="212" spans="1:86" ht="15" hidden="1" customHeight="1" x14ac:dyDescent="0.35">
      <c r="A212" t="s">
        <v>743</v>
      </c>
      <c r="B212">
        <v>1</v>
      </c>
      <c r="C212">
        <v>1</v>
      </c>
      <c r="D212" t="s">
        <v>1049</v>
      </c>
      <c r="E212" t="s">
        <v>1253</v>
      </c>
      <c r="F212">
        <v>8</v>
      </c>
      <c r="I212" t="s">
        <v>1594</v>
      </c>
      <c r="M212" t="s">
        <v>1913</v>
      </c>
      <c r="Q212" t="s">
        <v>2254</v>
      </c>
      <c r="S212">
        <v>4</v>
      </c>
      <c r="U212" t="s">
        <v>2599</v>
      </c>
      <c r="W212">
        <v>5</v>
      </c>
      <c r="X212" t="s">
        <v>2745</v>
      </c>
      <c r="Y212" t="s">
        <v>2919</v>
      </c>
      <c r="AC212" t="s">
        <v>3209</v>
      </c>
      <c r="AG212" t="s">
        <v>3474</v>
      </c>
      <c r="AK212" t="s">
        <v>3710</v>
      </c>
      <c r="AN212" t="s">
        <v>3819</v>
      </c>
      <c r="AO212" t="s">
        <v>3991</v>
      </c>
      <c r="AS212" t="s">
        <v>4269</v>
      </c>
      <c r="AU212">
        <v>8</v>
      </c>
      <c r="AV212" t="s">
        <v>4380</v>
      </c>
      <c r="AW212" t="s">
        <v>4515</v>
      </c>
      <c r="BA212" t="s">
        <v>4761</v>
      </c>
      <c r="BC212">
        <v>8</v>
      </c>
      <c r="BD212" t="s">
        <v>4873</v>
      </c>
      <c r="BE212" t="s">
        <v>4948</v>
      </c>
      <c r="BG212" t="s">
        <v>5028</v>
      </c>
      <c r="BH212" t="s">
        <v>5240</v>
      </c>
      <c r="BI212" t="s">
        <v>5491</v>
      </c>
      <c r="BJ212" t="s">
        <v>5759</v>
      </c>
      <c r="BK212" t="s">
        <v>6046</v>
      </c>
      <c r="BL212" t="s">
        <v>6234</v>
      </c>
      <c r="BM212" t="s">
        <v>6406</v>
      </c>
      <c r="BN212" t="s">
        <v>6576</v>
      </c>
      <c r="BO212" t="s">
        <v>6731</v>
      </c>
      <c r="BP212" t="s">
        <v>6812</v>
      </c>
      <c r="BT212" t="s">
        <v>7043</v>
      </c>
      <c r="BU212" t="s">
        <v>7183</v>
      </c>
      <c r="BV212" t="s">
        <v>7266</v>
      </c>
      <c r="BW212" t="s">
        <v>7443</v>
      </c>
      <c r="BX212" t="s">
        <v>7578</v>
      </c>
      <c r="BY212" t="s">
        <v>7629</v>
      </c>
      <c r="BZ212">
        <v>0</v>
      </c>
      <c r="CA212">
        <v>0</v>
      </c>
      <c r="CE212" t="s">
        <v>8020</v>
      </c>
      <c r="CF212" s="144">
        <v>44122.6015162037</v>
      </c>
      <c r="CG212" s="144">
        <v>44122.604826388888</v>
      </c>
      <c r="CH212" t="s">
        <v>8346</v>
      </c>
    </row>
    <row r="213" spans="1:86" ht="15" hidden="1" customHeight="1" x14ac:dyDescent="0.35">
      <c r="A213" t="s">
        <v>744</v>
      </c>
      <c r="B213">
        <v>1</v>
      </c>
      <c r="C213">
        <v>1</v>
      </c>
      <c r="D213" t="s">
        <v>1049</v>
      </c>
      <c r="E213" t="s">
        <v>1253</v>
      </c>
      <c r="F213">
        <v>6</v>
      </c>
      <c r="I213" t="s">
        <v>1595</v>
      </c>
      <c r="J213">
        <v>7</v>
      </c>
      <c r="L213" t="s">
        <v>1761</v>
      </c>
      <c r="M213" t="s">
        <v>1914</v>
      </c>
      <c r="O213">
        <v>6</v>
      </c>
      <c r="P213" t="s">
        <v>2058</v>
      </c>
      <c r="Q213" t="s">
        <v>2254</v>
      </c>
      <c r="S213">
        <v>6</v>
      </c>
      <c r="T213" t="s">
        <v>2428</v>
      </c>
      <c r="U213" t="s">
        <v>2599</v>
      </c>
      <c r="W213">
        <v>7</v>
      </c>
      <c r="Y213" t="s">
        <v>2920</v>
      </c>
      <c r="AA213">
        <v>7</v>
      </c>
      <c r="AC213" t="s">
        <v>3210</v>
      </c>
      <c r="AE213">
        <v>7</v>
      </c>
      <c r="AG213" t="s">
        <v>3475</v>
      </c>
      <c r="AI213">
        <v>7</v>
      </c>
      <c r="AK213" t="s">
        <v>3710</v>
      </c>
      <c r="AL213">
        <v>7</v>
      </c>
      <c r="AO213" t="s">
        <v>3992</v>
      </c>
      <c r="AQ213">
        <v>8</v>
      </c>
      <c r="AS213" t="s">
        <v>4270</v>
      </c>
      <c r="AT213">
        <v>7</v>
      </c>
      <c r="AW213" t="s">
        <v>4516</v>
      </c>
      <c r="AY213">
        <v>8</v>
      </c>
      <c r="BA213" t="s">
        <v>4761</v>
      </c>
      <c r="BC213">
        <v>1</v>
      </c>
      <c r="BE213" t="s">
        <v>4948</v>
      </c>
      <c r="BG213" t="s">
        <v>5028</v>
      </c>
      <c r="BH213" t="s">
        <v>5241</v>
      </c>
      <c r="BI213" t="s">
        <v>5492</v>
      </c>
      <c r="BJ213" t="s">
        <v>5760</v>
      </c>
      <c r="BK213" t="s">
        <v>6046</v>
      </c>
      <c r="BL213" t="s">
        <v>6234</v>
      </c>
      <c r="BM213" t="s">
        <v>6407</v>
      </c>
      <c r="BN213" t="s">
        <v>6577</v>
      </c>
      <c r="BO213" t="s">
        <v>6732</v>
      </c>
      <c r="BP213" t="s">
        <v>6812</v>
      </c>
      <c r="BT213" t="s">
        <v>7043</v>
      </c>
      <c r="BU213" t="s">
        <v>7183</v>
      </c>
      <c r="BV213" t="s">
        <v>7267</v>
      </c>
      <c r="BW213" t="s">
        <v>7443</v>
      </c>
      <c r="BX213" t="s">
        <v>7579</v>
      </c>
      <c r="BZ213">
        <v>0</v>
      </c>
      <c r="CA213">
        <v>1</v>
      </c>
      <c r="CB213" t="s">
        <v>7674</v>
      </c>
      <c r="CC213" t="s">
        <v>7735</v>
      </c>
      <c r="CD213" t="s">
        <v>7822</v>
      </c>
      <c r="CE213" t="s">
        <v>8021</v>
      </c>
      <c r="CF213" s="144">
        <v>44122.597187500003</v>
      </c>
      <c r="CG213" s="144">
        <v>44122.601724537039</v>
      </c>
      <c r="CH213" t="s">
        <v>8347</v>
      </c>
    </row>
    <row r="214" spans="1:86" ht="15" hidden="1" customHeight="1" x14ac:dyDescent="0.35">
      <c r="A214" t="s">
        <v>745</v>
      </c>
      <c r="B214">
        <v>1</v>
      </c>
      <c r="C214">
        <v>1</v>
      </c>
      <c r="D214" t="s">
        <v>1049</v>
      </c>
      <c r="E214" t="s">
        <v>1253</v>
      </c>
      <c r="F214">
        <v>7</v>
      </c>
      <c r="I214" t="s">
        <v>1595</v>
      </c>
      <c r="J214">
        <v>8</v>
      </c>
      <c r="M214" t="s">
        <v>1915</v>
      </c>
      <c r="Q214" t="s">
        <v>2255</v>
      </c>
      <c r="U214" t="s">
        <v>2600</v>
      </c>
      <c r="Y214" t="s">
        <v>2920</v>
      </c>
      <c r="AA214">
        <v>8</v>
      </c>
      <c r="AC214" t="s">
        <v>3211</v>
      </c>
      <c r="AG214" t="s">
        <v>3475</v>
      </c>
      <c r="AI214">
        <v>8</v>
      </c>
      <c r="AJ214" t="s">
        <v>3575</v>
      </c>
      <c r="AK214" t="s">
        <v>3711</v>
      </c>
      <c r="AO214" t="s">
        <v>3992</v>
      </c>
      <c r="AQ214">
        <v>8</v>
      </c>
      <c r="AR214" t="s">
        <v>4126</v>
      </c>
      <c r="AS214" t="s">
        <v>4271</v>
      </c>
      <c r="AW214" t="s">
        <v>4516</v>
      </c>
      <c r="AY214">
        <v>8</v>
      </c>
      <c r="AZ214" t="s">
        <v>4623</v>
      </c>
      <c r="BA214" t="s">
        <v>4762</v>
      </c>
      <c r="BE214" t="s">
        <v>4948</v>
      </c>
      <c r="BG214" t="s">
        <v>5029</v>
      </c>
      <c r="BH214" t="s">
        <v>5242</v>
      </c>
      <c r="BI214" t="s">
        <v>5493</v>
      </c>
      <c r="BJ214" t="s">
        <v>5761</v>
      </c>
      <c r="BK214" t="s">
        <v>6046</v>
      </c>
      <c r="BL214" t="s">
        <v>6234</v>
      </c>
      <c r="BM214" t="s">
        <v>6408</v>
      </c>
      <c r="BN214" t="s">
        <v>6577</v>
      </c>
      <c r="BO214" t="s">
        <v>6733</v>
      </c>
      <c r="BP214" t="s">
        <v>6812</v>
      </c>
      <c r="BT214" t="s">
        <v>7044</v>
      </c>
      <c r="BU214" t="s">
        <v>7183</v>
      </c>
      <c r="BV214" t="s">
        <v>7267</v>
      </c>
      <c r="BW214" t="s">
        <v>7443</v>
      </c>
      <c r="BX214" t="s">
        <v>7580</v>
      </c>
      <c r="BZ214">
        <v>1</v>
      </c>
      <c r="CA214">
        <v>0</v>
      </c>
      <c r="CE214" t="s">
        <v>8022</v>
      </c>
      <c r="CF214" s="144">
        <v>44122.593263888892</v>
      </c>
      <c r="CG214" s="144">
        <v>44122.596932870372</v>
      </c>
      <c r="CH214" t="s">
        <v>8348</v>
      </c>
    </row>
    <row r="215" spans="1:86" ht="15" hidden="1" customHeight="1" x14ac:dyDescent="0.35">
      <c r="A215" t="s">
        <v>746</v>
      </c>
      <c r="B215">
        <v>1</v>
      </c>
      <c r="C215">
        <v>1</v>
      </c>
      <c r="D215" t="s">
        <v>1049</v>
      </c>
      <c r="E215" t="s">
        <v>1253</v>
      </c>
      <c r="F215">
        <v>4</v>
      </c>
      <c r="H215" t="s">
        <v>1413</v>
      </c>
      <c r="I215" t="s">
        <v>1596</v>
      </c>
      <c r="M215" t="s">
        <v>1915</v>
      </c>
      <c r="Q215" t="s">
        <v>2256</v>
      </c>
      <c r="S215">
        <v>8</v>
      </c>
      <c r="T215" t="s">
        <v>2429</v>
      </c>
      <c r="U215" t="s">
        <v>2601</v>
      </c>
      <c r="W215">
        <v>8</v>
      </c>
      <c r="X215" t="s">
        <v>2746</v>
      </c>
      <c r="Y215" t="s">
        <v>2920</v>
      </c>
      <c r="AA215">
        <v>5</v>
      </c>
      <c r="AB215" t="s">
        <v>3056</v>
      </c>
      <c r="AC215" t="s">
        <v>3212</v>
      </c>
      <c r="AE215">
        <v>8</v>
      </c>
      <c r="AF215" t="s">
        <v>3347</v>
      </c>
      <c r="AG215" t="s">
        <v>3475</v>
      </c>
      <c r="AI215">
        <v>7</v>
      </c>
      <c r="AJ215" t="s">
        <v>3576</v>
      </c>
      <c r="AK215" t="s">
        <v>3712</v>
      </c>
      <c r="AL215">
        <v>8</v>
      </c>
      <c r="AN215" t="s">
        <v>3820</v>
      </c>
      <c r="AO215" t="s">
        <v>3993</v>
      </c>
      <c r="AS215" t="s">
        <v>4272</v>
      </c>
      <c r="AT215">
        <v>7</v>
      </c>
      <c r="AV215" t="s">
        <v>4381</v>
      </c>
      <c r="AW215" t="s">
        <v>4517</v>
      </c>
      <c r="AX215">
        <v>7</v>
      </c>
      <c r="AZ215" t="s">
        <v>4624</v>
      </c>
      <c r="BA215" t="s">
        <v>4763</v>
      </c>
      <c r="BC215">
        <v>7</v>
      </c>
      <c r="BD215" t="s">
        <v>4874</v>
      </c>
      <c r="BE215" t="s">
        <v>4948</v>
      </c>
      <c r="BG215" t="s">
        <v>5030</v>
      </c>
      <c r="BH215" t="s">
        <v>5243</v>
      </c>
      <c r="BI215" t="s">
        <v>5494</v>
      </c>
      <c r="BJ215" t="s">
        <v>5762</v>
      </c>
      <c r="BK215" t="s">
        <v>6047</v>
      </c>
      <c r="BL215" t="s">
        <v>6235</v>
      </c>
      <c r="BM215" t="s">
        <v>6408</v>
      </c>
      <c r="BN215" t="s">
        <v>6577</v>
      </c>
      <c r="BO215" t="s">
        <v>6734</v>
      </c>
      <c r="BP215" t="s">
        <v>6812</v>
      </c>
      <c r="BT215" t="s">
        <v>7045</v>
      </c>
      <c r="BU215" t="s">
        <v>7183</v>
      </c>
      <c r="BV215" t="s">
        <v>7268</v>
      </c>
      <c r="BW215" t="s">
        <v>7444</v>
      </c>
      <c r="BX215" t="s">
        <v>7581</v>
      </c>
      <c r="BY215" t="s">
        <v>7630</v>
      </c>
      <c r="BZ215">
        <v>1</v>
      </c>
      <c r="CA215">
        <v>0</v>
      </c>
      <c r="CE215" t="s">
        <v>8023</v>
      </c>
      <c r="CF215" s="144">
        <v>44122.563449074078</v>
      </c>
      <c r="CG215" s="144">
        <v>44122.571296296293</v>
      </c>
      <c r="CH215" t="s">
        <v>8349</v>
      </c>
    </row>
    <row r="216" spans="1:86" ht="15" hidden="1" customHeight="1" x14ac:dyDescent="0.35">
      <c r="A216" t="s">
        <v>747</v>
      </c>
      <c r="B216">
        <v>1</v>
      </c>
      <c r="C216">
        <v>1</v>
      </c>
      <c r="D216" t="s">
        <v>1049</v>
      </c>
      <c r="E216" t="s">
        <v>1253</v>
      </c>
      <c r="F216">
        <v>8</v>
      </c>
      <c r="H216" t="s">
        <v>1414</v>
      </c>
      <c r="I216" t="s">
        <v>1596</v>
      </c>
      <c r="M216" t="s">
        <v>1915</v>
      </c>
      <c r="Q216" t="s">
        <v>2257</v>
      </c>
      <c r="U216" t="s">
        <v>2602</v>
      </c>
      <c r="Y216" t="s">
        <v>2921</v>
      </c>
      <c r="AC216" t="s">
        <v>3212</v>
      </c>
      <c r="AE216">
        <v>8</v>
      </c>
      <c r="AF216" t="s">
        <v>3348</v>
      </c>
      <c r="AG216" t="s">
        <v>3476</v>
      </c>
      <c r="AK216" t="s">
        <v>3712</v>
      </c>
      <c r="AL216">
        <v>8</v>
      </c>
      <c r="AN216" t="s">
        <v>3821</v>
      </c>
      <c r="AO216" t="s">
        <v>3994</v>
      </c>
      <c r="AP216">
        <v>6</v>
      </c>
      <c r="AR216" t="s">
        <v>4127</v>
      </c>
      <c r="AS216" t="s">
        <v>4273</v>
      </c>
      <c r="AW216" t="s">
        <v>4518</v>
      </c>
      <c r="AY216">
        <v>8</v>
      </c>
      <c r="AZ216" t="s">
        <v>4625</v>
      </c>
      <c r="BA216" t="s">
        <v>4764</v>
      </c>
      <c r="BE216" t="s">
        <v>4948</v>
      </c>
      <c r="BG216" t="s">
        <v>5030</v>
      </c>
      <c r="BH216" t="s">
        <v>5243</v>
      </c>
      <c r="BI216" t="s">
        <v>5494</v>
      </c>
      <c r="BJ216" t="s">
        <v>5762</v>
      </c>
      <c r="BK216" t="s">
        <v>6048</v>
      </c>
      <c r="BL216" t="s">
        <v>6236</v>
      </c>
      <c r="BM216" t="s">
        <v>6408</v>
      </c>
      <c r="BN216" t="s">
        <v>6578</v>
      </c>
      <c r="BO216" t="s">
        <v>6734</v>
      </c>
      <c r="BP216" t="s">
        <v>6813</v>
      </c>
      <c r="BQ216" t="s">
        <v>6842</v>
      </c>
      <c r="BR216" t="s">
        <v>6858</v>
      </c>
      <c r="BS216" t="s">
        <v>6874</v>
      </c>
      <c r="BT216" t="s">
        <v>7046</v>
      </c>
      <c r="BU216" t="s">
        <v>7183</v>
      </c>
      <c r="BV216" t="s">
        <v>7268</v>
      </c>
      <c r="BW216" t="s">
        <v>7445</v>
      </c>
      <c r="BX216" t="s">
        <v>7582</v>
      </c>
      <c r="BZ216">
        <v>0</v>
      </c>
      <c r="CA216">
        <v>0</v>
      </c>
      <c r="CE216" t="s">
        <v>8024</v>
      </c>
      <c r="CF216" s="144">
        <v>44122.532604166663</v>
      </c>
      <c r="CG216" s="144">
        <v>44122.537372685183</v>
      </c>
      <c r="CH216" t="s">
        <v>8350</v>
      </c>
    </row>
    <row r="217" spans="1:86" ht="15" hidden="1" customHeight="1" x14ac:dyDescent="0.35">
      <c r="A217" t="s">
        <v>748</v>
      </c>
      <c r="B217">
        <v>1</v>
      </c>
      <c r="C217">
        <v>1</v>
      </c>
      <c r="D217" t="s">
        <v>1049</v>
      </c>
      <c r="E217" t="s">
        <v>1254</v>
      </c>
      <c r="I217" t="s">
        <v>1597</v>
      </c>
      <c r="J217">
        <v>6</v>
      </c>
      <c r="M217" t="s">
        <v>1915</v>
      </c>
      <c r="Q217" t="s">
        <v>2257</v>
      </c>
      <c r="U217" t="s">
        <v>2603</v>
      </c>
      <c r="W217">
        <v>7</v>
      </c>
      <c r="Y217" t="s">
        <v>2921</v>
      </c>
      <c r="AC217" t="s">
        <v>3213</v>
      </c>
      <c r="AG217" t="s">
        <v>3476</v>
      </c>
      <c r="AK217" t="s">
        <v>3713</v>
      </c>
      <c r="AO217" t="s">
        <v>3995</v>
      </c>
      <c r="AQ217">
        <v>5</v>
      </c>
      <c r="AS217" t="s">
        <v>4274</v>
      </c>
      <c r="AU217">
        <v>7</v>
      </c>
      <c r="AW217" t="s">
        <v>4519</v>
      </c>
      <c r="BA217" t="s">
        <v>4764</v>
      </c>
      <c r="BE217" t="s">
        <v>4948</v>
      </c>
      <c r="BG217" t="s">
        <v>5030</v>
      </c>
      <c r="BH217" t="s">
        <v>5244</v>
      </c>
      <c r="BI217" t="s">
        <v>5495</v>
      </c>
      <c r="BJ217" t="s">
        <v>5763</v>
      </c>
      <c r="BK217" t="s">
        <v>6049</v>
      </c>
      <c r="BL217" t="s">
        <v>6236</v>
      </c>
      <c r="BM217" t="s">
        <v>6408</v>
      </c>
      <c r="BN217" t="s">
        <v>6579</v>
      </c>
      <c r="BO217" t="s">
        <v>6735</v>
      </c>
      <c r="BP217" t="s">
        <v>6814</v>
      </c>
      <c r="BT217" t="s">
        <v>7047</v>
      </c>
      <c r="BU217" t="s">
        <v>7183</v>
      </c>
      <c r="BV217" t="s">
        <v>7269</v>
      </c>
      <c r="BW217" t="s">
        <v>7445</v>
      </c>
      <c r="BX217" t="s">
        <v>7583</v>
      </c>
      <c r="BZ217">
        <v>1</v>
      </c>
      <c r="CA217">
        <v>0</v>
      </c>
      <c r="CE217" t="s">
        <v>8025</v>
      </c>
      <c r="CF217" s="144">
        <v>44122.496550925927</v>
      </c>
      <c r="CG217" s="144">
        <v>44122.502129629633</v>
      </c>
      <c r="CH217" t="s">
        <v>8351</v>
      </c>
    </row>
    <row r="218" spans="1:86" ht="15" hidden="1" customHeight="1" x14ac:dyDescent="0.35">
      <c r="A218" t="s">
        <v>749</v>
      </c>
      <c r="B218">
        <v>1</v>
      </c>
      <c r="C218">
        <v>1</v>
      </c>
      <c r="D218" t="s">
        <v>1049</v>
      </c>
      <c r="E218" t="s">
        <v>1254</v>
      </c>
      <c r="I218" t="s">
        <v>1598</v>
      </c>
      <c r="M218" t="s">
        <v>1915</v>
      </c>
      <c r="Q218" t="s">
        <v>2257</v>
      </c>
      <c r="U218" t="s">
        <v>2604</v>
      </c>
      <c r="V218">
        <v>6</v>
      </c>
      <c r="X218" t="s">
        <v>2747</v>
      </c>
      <c r="Y218" t="s">
        <v>2921</v>
      </c>
      <c r="AC218" t="s">
        <v>3213</v>
      </c>
      <c r="AG218" t="s">
        <v>3476</v>
      </c>
      <c r="AK218" t="s">
        <v>3713</v>
      </c>
      <c r="AO218" t="s">
        <v>3996</v>
      </c>
      <c r="AS218" t="s">
        <v>4275</v>
      </c>
      <c r="AW218" t="s">
        <v>4519</v>
      </c>
      <c r="BA218" t="s">
        <v>4764</v>
      </c>
      <c r="BE218" t="s">
        <v>4948</v>
      </c>
      <c r="BG218" t="s">
        <v>5031</v>
      </c>
      <c r="BH218" t="s">
        <v>5244</v>
      </c>
      <c r="BI218" t="s">
        <v>5496</v>
      </c>
      <c r="BJ218" t="s">
        <v>5764</v>
      </c>
      <c r="BK218" t="s">
        <v>6050</v>
      </c>
      <c r="BL218" t="s">
        <v>6236</v>
      </c>
      <c r="BM218" t="s">
        <v>6408</v>
      </c>
      <c r="BN218" t="s">
        <v>6579</v>
      </c>
      <c r="BO218" t="s">
        <v>6736</v>
      </c>
      <c r="BP218" t="s">
        <v>6814</v>
      </c>
      <c r="BT218" t="s">
        <v>7047</v>
      </c>
      <c r="BU218" t="s">
        <v>7183</v>
      </c>
      <c r="BV218" t="s">
        <v>7270</v>
      </c>
      <c r="BW218" t="s">
        <v>7446</v>
      </c>
      <c r="BX218" t="s">
        <v>7584</v>
      </c>
      <c r="BZ218">
        <v>0</v>
      </c>
      <c r="CA218">
        <v>0</v>
      </c>
      <c r="CE218" t="s">
        <v>8025</v>
      </c>
      <c r="CF218" s="144">
        <v>44122.496493055558</v>
      </c>
      <c r="CG218" s="144">
        <v>44122.500590277778</v>
      </c>
      <c r="CH218" t="s">
        <v>8352</v>
      </c>
    </row>
    <row r="219" spans="1:86" ht="15" hidden="1" customHeight="1" x14ac:dyDescent="0.35">
      <c r="A219" t="s">
        <v>750</v>
      </c>
      <c r="B219">
        <v>1</v>
      </c>
      <c r="C219">
        <v>1</v>
      </c>
      <c r="D219" t="s">
        <v>1049</v>
      </c>
      <c r="E219" t="s">
        <v>1254</v>
      </c>
      <c r="I219" t="s">
        <v>1599</v>
      </c>
      <c r="K219">
        <v>3</v>
      </c>
      <c r="L219" t="s">
        <v>1762</v>
      </c>
      <c r="M219" t="s">
        <v>1916</v>
      </c>
      <c r="N219">
        <v>4</v>
      </c>
      <c r="P219" t="s">
        <v>2059</v>
      </c>
      <c r="Q219" t="s">
        <v>2258</v>
      </c>
      <c r="S219">
        <v>3</v>
      </c>
      <c r="U219" t="s">
        <v>2604</v>
      </c>
      <c r="V219">
        <v>3</v>
      </c>
      <c r="X219" t="s">
        <v>2748</v>
      </c>
      <c r="Y219" t="s">
        <v>2921</v>
      </c>
      <c r="AC219" t="s">
        <v>3214</v>
      </c>
      <c r="AE219">
        <v>4</v>
      </c>
      <c r="AF219" t="s">
        <v>3349</v>
      </c>
      <c r="AG219" t="s">
        <v>3477</v>
      </c>
      <c r="AH219">
        <v>2</v>
      </c>
      <c r="AJ219" t="s">
        <v>3577</v>
      </c>
      <c r="AK219" t="s">
        <v>3714</v>
      </c>
      <c r="AL219">
        <v>7</v>
      </c>
      <c r="AN219" t="s">
        <v>3822</v>
      </c>
      <c r="AO219" t="s">
        <v>3996</v>
      </c>
      <c r="AS219" t="s">
        <v>4275</v>
      </c>
      <c r="AW219" t="s">
        <v>4519</v>
      </c>
      <c r="BA219" t="s">
        <v>4764</v>
      </c>
      <c r="BE219" t="s">
        <v>4948</v>
      </c>
      <c r="BG219" t="s">
        <v>5032</v>
      </c>
      <c r="BH219" t="s">
        <v>5245</v>
      </c>
      <c r="BI219" t="s">
        <v>5497</v>
      </c>
      <c r="BJ219" t="s">
        <v>5764</v>
      </c>
      <c r="BK219" t="s">
        <v>6050</v>
      </c>
      <c r="BL219" t="s">
        <v>6236</v>
      </c>
      <c r="BM219" t="s">
        <v>6408</v>
      </c>
      <c r="BN219" t="s">
        <v>6579</v>
      </c>
      <c r="BO219" t="s">
        <v>6736</v>
      </c>
      <c r="BP219" t="s">
        <v>6814</v>
      </c>
      <c r="BT219" t="s">
        <v>7048</v>
      </c>
      <c r="BU219" t="s">
        <v>7183</v>
      </c>
      <c r="BV219" t="s">
        <v>7271</v>
      </c>
      <c r="BW219" t="s">
        <v>7446</v>
      </c>
      <c r="BX219" t="s">
        <v>7584</v>
      </c>
      <c r="BZ219">
        <v>0</v>
      </c>
      <c r="CA219">
        <v>0</v>
      </c>
      <c r="CE219" t="s">
        <v>8025</v>
      </c>
      <c r="CF219" s="144">
        <v>44122.478171296294</v>
      </c>
      <c r="CG219" s="144">
        <v>44122.486840277779</v>
      </c>
      <c r="CH219" t="s">
        <v>8353</v>
      </c>
    </row>
    <row r="220" spans="1:86" ht="15" hidden="1" customHeight="1" x14ac:dyDescent="0.35">
      <c r="A220" t="s">
        <v>751</v>
      </c>
      <c r="B220">
        <v>1</v>
      </c>
      <c r="C220">
        <v>1</v>
      </c>
      <c r="D220" t="s">
        <v>1049</v>
      </c>
      <c r="E220" t="s">
        <v>1255</v>
      </c>
      <c r="F220">
        <v>6</v>
      </c>
      <c r="H220" t="s">
        <v>1415</v>
      </c>
      <c r="I220" t="s">
        <v>1600</v>
      </c>
      <c r="J220">
        <v>8</v>
      </c>
      <c r="L220" t="s">
        <v>1763</v>
      </c>
      <c r="M220" t="s">
        <v>1916</v>
      </c>
      <c r="N220">
        <v>8</v>
      </c>
      <c r="P220" t="s">
        <v>2060</v>
      </c>
      <c r="Q220" t="s">
        <v>2259</v>
      </c>
      <c r="R220">
        <v>5</v>
      </c>
      <c r="T220" t="s">
        <v>2430</v>
      </c>
      <c r="U220" t="s">
        <v>2604</v>
      </c>
      <c r="V220">
        <v>6</v>
      </c>
      <c r="X220" t="s">
        <v>2749</v>
      </c>
      <c r="Y220" t="s">
        <v>2922</v>
      </c>
      <c r="Z220">
        <v>6</v>
      </c>
      <c r="AB220" t="s">
        <v>3057</v>
      </c>
      <c r="AC220" t="s">
        <v>3215</v>
      </c>
      <c r="AD220">
        <v>7</v>
      </c>
      <c r="AF220" t="s">
        <v>3350</v>
      </c>
      <c r="AG220" t="s">
        <v>3477</v>
      </c>
      <c r="AH220">
        <v>6</v>
      </c>
      <c r="AJ220" t="s">
        <v>3578</v>
      </c>
      <c r="AK220" t="s">
        <v>3715</v>
      </c>
      <c r="AO220" t="s">
        <v>3996</v>
      </c>
      <c r="AS220" t="s">
        <v>4276</v>
      </c>
      <c r="AT220">
        <v>7</v>
      </c>
      <c r="AV220" t="s">
        <v>4382</v>
      </c>
      <c r="AW220" t="s">
        <v>4520</v>
      </c>
      <c r="AX220">
        <v>7</v>
      </c>
      <c r="AZ220" t="s">
        <v>4626</v>
      </c>
      <c r="BA220" t="s">
        <v>4764</v>
      </c>
      <c r="BE220" t="s">
        <v>4948</v>
      </c>
      <c r="BG220" t="s">
        <v>5032</v>
      </c>
      <c r="BH220" t="s">
        <v>5246</v>
      </c>
      <c r="BI220" t="s">
        <v>5497</v>
      </c>
      <c r="BJ220" t="s">
        <v>5765</v>
      </c>
      <c r="BK220" t="s">
        <v>6051</v>
      </c>
      <c r="BL220" t="s">
        <v>6237</v>
      </c>
      <c r="BM220" t="s">
        <v>6408</v>
      </c>
      <c r="BN220" t="s">
        <v>6579</v>
      </c>
      <c r="BO220" t="s">
        <v>6736</v>
      </c>
      <c r="BP220" t="s">
        <v>6814</v>
      </c>
      <c r="BT220" t="s">
        <v>7049</v>
      </c>
      <c r="BU220" t="s">
        <v>7183</v>
      </c>
      <c r="BV220" t="s">
        <v>7272</v>
      </c>
      <c r="BW220" t="s">
        <v>7446</v>
      </c>
      <c r="BX220" t="s">
        <v>7584</v>
      </c>
      <c r="BZ220">
        <v>0</v>
      </c>
      <c r="CA220">
        <v>0</v>
      </c>
      <c r="CE220" t="s">
        <v>8026</v>
      </c>
      <c r="CF220" s="144">
        <v>44122.46670138889</v>
      </c>
      <c r="CG220" s="144">
        <v>44122.481990740744</v>
      </c>
      <c r="CH220" t="s">
        <v>8354</v>
      </c>
    </row>
    <row r="221" spans="1:86" ht="15" hidden="1" customHeight="1" x14ac:dyDescent="0.35">
      <c r="A221" t="s">
        <v>752</v>
      </c>
      <c r="B221">
        <v>1</v>
      </c>
      <c r="C221">
        <v>1</v>
      </c>
      <c r="D221" t="s">
        <v>1049</v>
      </c>
      <c r="E221" t="s">
        <v>1255</v>
      </c>
      <c r="F221">
        <v>6</v>
      </c>
      <c r="I221" t="s">
        <v>1601</v>
      </c>
      <c r="M221" t="s">
        <v>1916</v>
      </c>
      <c r="N221">
        <v>7</v>
      </c>
      <c r="P221" t="s">
        <v>2061</v>
      </c>
      <c r="Q221" t="s">
        <v>2260</v>
      </c>
      <c r="S221">
        <v>7</v>
      </c>
      <c r="U221" t="s">
        <v>2605</v>
      </c>
      <c r="Y221" t="s">
        <v>2922</v>
      </c>
      <c r="Z221">
        <v>7</v>
      </c>
      <c r="AC221" t="s">
        <v>3216</v>
      </c>
      <c r="AG221" t="s">
        <v>3478</v>
      </c>
      <c r="AK221" t="s">
        <v>3715</v>
      </c>
      <c r="AO221" t="s">
        <v>3997</v>
      </c>
      <c r="AQ221">
        <v>6</v>
      </c>
      <c r="AR221" t="s">
        <v>4128</v>
      </c>
      <c r="AS221" t="s">
        <v>4277</v>
      </c>
      <c r="AW221" t="s">
        <v>4520</v>
      </c>
      <c r="AX221">
        <v>4</v>
      </c>
      <c r="BA221" t="s">
        <v>4764</v>
      </c>
      <c r="BE221" t="s">
        <v>4948</v>
      </c>
      <c r="BG221" t="s">
        <v>5033</v>
      </c>
      <c r="BH221" t="s">
        <v>5247</v>
      </c>
      <c r="BI221" t="s">
        <v>5498</v>
      </c>
      <c r="BJ221" t="s">
        <v>5766</v>
      </c>
      <c r="BK221" t="s">
        <v>6052</v>
      </c>
      <c r="BL221" t="s">
        <v>6238</v>
      </c>
      <c r="BM221" t="s">
        <v>6408</v>
      </c>
      <c r="BN221" t="s">
        <v>6580</v>
      </c>
      <c r="BO221" t="s">
        <v>6737</v>
      </c>
      <c r="BP221" t="s">
        <v>6814</v>
      </c>
      <c r="BT221" t="s">
        <v>7049</v>
      </c>
      <c r="BU221" t="s">
        <v>7183</v>
      </c>
      <c r="BV221" t="s">
        <v>7273</v>
      </c>
      <c r="BW221" t="s">
        <v>7446</v>
      </c>
      <c r="BX221" t="s">
        <v>7584</v>
      </c>
      <c r="BZ221">
        <v>0</v>
      </c>
      <c r="CA221">
        <v>0</v>
      </c>
      <c r="CE221" t="s">
        <v>8027</v>
      </c>
      <c r="CF221" s="144">
        <v>44122.469930555555</v>
      </c>
      <c r="CG221" s="144">
        <v>44122.475115740737</v>
      </c>
      <c r="CH221" t="s">
        <v>8355</v>
      </c>
    </row>
    <row r="222" spans="1:86" ht="15" hidden="1" customHeight="1" x14ac:dyDescent="0.35">
      <c r="A222" t="s">
        <v>753</v>
      </c>
      <c r="B222">
        <v>1</v>
      </c>
      <c r="C222">
        <v>1</v>
      </c>
      <c r="D222" t="s">
        <v>1049</v>
      </c>
      <c r="E222" t="s">
        <v>1255</v>
      </c>
      <c r="F222">
        <v>6</v>
      </c>
      <c r="I222" t="s">
        <v>1602</v>
      </c>
      <c r="J222">
        <v>7</v>
      </c>
      <c r="M222" t="s">
        <v>1917</v>
      </c>
      <c r="Q222" t="s">
        <v>2260</v>
      </c>
      <c r="S222">
        <v>7</v>
      </c>
      <c r="U222" t="s">
        <v>2606</v>
      </c>
      <c r="W222">
        <v>7</v>
      </c>
      <c r="Y222" t="s">
        <v>2922</v>
      </c>
      <c r="Z222">
        <v>6</v>
      </c>
      <c r="AC222" t="s">
        <v>3216</v>
      </c>
      <c r="AG222" t="s">
        <v>3478</v>
      </c>
      <c r="AK222" t="s">
        <v>3716</v>
      </c>
      <c r="AL222">
        <v>6</v>
      </c>
      <c r="AO222" t="s">
        <v>3997</v>
      </c>
      <c r="AQ222">
        <v>8</v>
      </c>
      <c r="AS222" t="s">
        <v>4278</v>
      </c>
      <c r="AT222">
        <v>8</v>
      </c>
      <c r="AW222" t="s">
        <v>4521</v>
      </c>
      <c r="BA222" t="s">
        <v>4765</v>
      </c>
      <c r="BB222">
        <v>8</v>
      </c>
      <c r="BE222" t="s">
        <v>4948</v>
      </c>
      <c r="BG222" t="s">
        <v>5034</v>
      </c>
      <c r="BH222" t="s">
        <v>5248</v>
      </c>
      <c r="BI222" t="s">
        <v>5499</v>
      </c>
      <c r="BJ222" t="s">
        <v>5767</v>
      </c>
      <c r="BK222" t="s">
        <v>6052</v>
      </c>
      <c r="BL222" t="s">
        <v>6238</v>
      </c>
      <c r="BM222" t="s">
        <v>6408</v>
      </c>
      <c r="BN222" t="s">
        <v>6581</v>
      </c>
      <c r="BO222" t="s">
        <v>6738</v>
      </c>
      <c r="BP222" t="s">
        <v>6814</v>
      </c>
      <c r="BT222" t="s">
        <v>7049</v>
      </c>
      <c r="BU222" t="s">
        <v>7183</v>
      </c>
      <c r="BV222" t="s">
        <v>7274</v>
      </c>
      <c r="BW222" t="s">
        <v>7446</v>
      </c>
      <c r="BX222" t="s">
        <v>7584</v>
      </c>
      <c r="BZ222">
        <v>0</v>
      </c>
      <c r="CA222">
        <v>0</v>
      </c>
      <c r="CE222" t="s">
        <v>8027</v>
      </c>
      <c r="CF222" s="144">
        <v>44122.467326388891</v>
      </c>
      <c r="CG222" s="144">
        <v>44122.473993055559</v>
      </c>
      <c r="CH222" t="s">
        <v>8356</v>
      </c>
    </row>
    <row r="223" spans="1:86" ht="15" hidden="1" customHeight="1" x14ac:dyDescent="0.35">
      <c r="A223" t="s">
        <v>754</v>
      </c>
      <c r="B223">
        <v>1</v>
      </c>
      <c r="C223">
        <v>1</v>
      </c>
      <c r="D223" t="s">
        <v>1049</v>
      </c>
      <c r="E223" t="s">
        <v>1255</v>
      </c>
      <c r="F223">
        <v>6</v>
      </c>
      <c r="H223" t="s">
        <v>1416</v>
      </c>
      <c r="I223" t="s">
        <v>1602</v>
      </c>
      <c r="J223">
        <v>7</v>
      </c>
      <c r="L223" t="s">
        <v>1764</v>
      </c>
      <c r="M223" t="s">
        <v>1918</v>
      </c>
      <c r="N223">
        <v>8</v>
      </c>
      <c r="P223" t="s">
        <v>2062</v>
      </c>
      <c r="Q223" t="s">
        <v>2261</v>
      </c>
      <c r="U223" t="s">
        <v>2607</v>
      </c>
      <c r="V223">
        <v>7</v>
      </c>
      <c r="X223" t="s">
        <v>2750</v>
      </c>
      <c r="Y223" t="s">
        <v>2922</v>
      </c>
      <c r="Z223">
        <v>7</v>
      </c>
      <c r="AB223" t="s">
        <v>3058</v>
      </c>
      <c r="AC223" t="s">
        <v>3217</v>
      </c>
      <c r="AD223">
        <v>8</v>
      </c>
      <c r="AF223" t="s">
        <v>3351</v>
      </c>
      <c r="AG223" t="s">
        <v>3479</v>
      </c>
      <c r="AH223">
        <v>6</v>
      </c>
      <c r="AJ223" t="s">
        <v>3579</v>
      </c>
      <c r="AK223" t="s">
        <v>3717</v>
      </c>
      <c r="AO223" t="s">
        <v>3998</v>
      </c>
      <c r="AP223">
        <v>8</v>
      </c>
      <c r="AR223" t="s">
        <v>4129</v>
      </c>
      <c r="AS223" t="s">
        <v>4278</v>
      </c>
      <c r="AT223">
        <v>6</v>
      </c>
      <c r="AV223" t="s">
        <v>4383</v>
      </c>
      <c r="AW223" t="s">
        <v>4521</v>
      </c>
      <c r="BA223" t="s">
        <v>4766</v>
      </c>
      <c r="BC223">
        <v>8</v>
      </c>
      <c r="BD223" t="s">
        <v>4875</v>
      </c>
      <c r="BE223" t="s">
        <v>4948</v>
      </c>
      <c r="BG223" t="s">
        <v>5034</v>
      </c>
      <c r="BH223" t="s">
        <v>5249</v>
      </c>
      <c r="BI223" t="s">
        <v>5499</v>
      </c>
      <c r="BJ223" t="s">
        <v>5768</v>
      </c>
      <c r="BK223" t="s">
        <v>6053</v>
      </c>
      <c r="BL223" t="s">
        <v>6238</v>
      </c>
      <c r="BM223" t="s">
        <v>6408</v>
      </c>
      <c r="BN223" t="s">
        <v>6581</v>
      </c>
      <c r="BO223" t="s">
        <v>6738</v>
      </c>
      <c r="BP223" t="s">
        <v>6814</v>
      </c>
      <c r="BT223" t="s">
        <v>7049</v>
      </c>
      <c r="BU223" t="s">
        <v>7183</v>
      </c>
      <c r="BV223" t="s">
        <v>7274</v>
      </c>
      <c r="BW223" t="s">
        <v>7447</v>
      </c>
      <c r="BX223" t="s">
        <v>7585</v>
      </c>
      <c r="BZ223">
        <v>0</v>
      </c>
      <c r="CA223">
        <v>0</v>
      </c>
      <c r="CE223" t="s">
        <v>8028</v>
      </c>
      <c r="CF223" s="144">
        <v>44122.459270833337</v>
      </c>
      <c r="CG223" s="144">
        <v>44122.471539351849</v>
      </c>
      <c r="CH223" s="24" t="s">
        <v>8357</v>
      </c>
    </row>
    <row r="224" spans="1:86" ht="15" hidden="1" customHeight="1" x14ac:dyDescent="0.35">
      <c r="A224" t="s">
        <v>755</v>
      </c>
      <c r="B224">
        <v>1</v>
      </c>
      <c r="C224">
        <v>1</v>
      </c>
      <c r="D224" t="s">
        <v>1050</v>
      </c>
      <c r="E224" t="s">
        <v>1255</v>
      </c>
      <c r="F224">
        <v>2</v>
      </c>
      <c r="H224" t="s">
        <v>1417</v>
      </c>
      <c r="I224" t="s">
        <v>1602</v>
      </c>
      <c r="J224">
        <v>7</v>
      </c>
      <c r="L224" t="s">
        <v>1765</v>
      </c>
      <c r="M224" t="s">
        <v>1919</v>
      </c>
      <c r="O224">
        <v>3</v>
      </c>
      <c r="P224" t="s">
        <v>2063</v>
      </c>
      <c r="Q224" t="s">
        <v>2262</v>
      </c>
      <c r="R224">
        <v>4</v>
      </c>
      <c r="T224" t="s">
        <v>2431</v>
      </c>
      <c r="U224" t="s">
        <v>2608</v>
      </c>
      <c r="W224">
        <v>3</v>
      </c>
      <c r="X224" t="s">
        <v>2751</v>
      </c>
      <c r="Y224" t="s">
        <v>2923</v>
      </c>
      <c r="AA224">
        <v>7</v>
      </c>
      <c r="AC224" t="s">
        <v>3218</v>
      </c>
      <c r="AG224" t="s">
        <v>3480</v>
      </c>
      <c r="AK224" t="s">
        <v>3718</v>
      </c>
      <c r="AL224">
        <v>7</v>
      </c>
      <c r="AN224" t="s">
        <v>3823</v>
      </c>
      <c r="AO224" t="s">
        <v>3998</v>
      </c>
      <c r="AP224">
        <v>6</v>
      </c>
      <c r="AR224" t="s">
        <v>4130</v>
      </c>
      <c r="AS224" t="s">
        <v>4278</v>
      </c>
      <c r="AT224">
        <v>3</v>
      </c>
      <c r="AW224" t="s">
        <v>4522</v>
      </c>
      <c r="AY224">
        <v>5</v>
      </c>
      <c r="AZ224" s="22" t="s">
        <v>4627</v>
      </c>
      <c r="BA224" t="s">
        <v>4766</v>
      </c>
      <c r="BC224">
        <v>3</v>
      </c>
      <c r="BE224" t="s">
        <v>4948</v>
      </c>
      <c r="BG224" t="s">
        <v>5034</v>
      </c>
      <c r="BH224" t="s">
        <v>5250</v>
      </c>
      <c r="BI224" t="s">
        <v>5500</v>
      </c>
      <c r="BJ224" t="s">
        <v>5769</v>
      </c>
      <c r="BK224" t="s">
        <v>6054</v>
      </c>
      <c r="BL224" t="s">
        <v>6238</v>
      </c>
      <c r="BM224" t="s">
        <v>6408</v>
      </c>
      <c r="BN224" t="s">
        <v>6581</v>
      </c>
      <c r="BO224" t="s">
        <v>6739</v>
      </c>
      <c r="BP224" t="s">
        <v>6814</v>
      </c>
      <c r="BT224" t="s">
        <v>7050</v>
      </c>
      <c r="BU224" t="s">
        <v>7183</v>
      </c>
      <c r="BV224" t="s">
        <v>7274</v>
      </c>
      <c r="BW224" t="s">
        <v>7448</v>
      </c>
      <c r="BX224" t="s">
        <v>7586</v>
      </c>
      <c r="BZ224">
        <v>0</v>
      </c>
      <c r="CA224">
        <v>1</v>
      </c>
      <c r="CB224" t="s">
        <v>7675</v>
      </c>
      <c r="CC224" t="s">
        <v>7736</v>
      </c>
      <c r="CD224" t="s">
        <v>7822</v>
      </c>
      <c r="CE224" t="s">
        <v>8029</v>
      </c>
      <c r="CF224" s="144">
        <v>44121.643148148149</v>
      </c>
      <c r="CG224" s="144">
        <v>44121.664930555555</v>
      </c>
      <c r="CH224" t="s">
        <v>8358</v>
      </c>
    </row>
    <row r="225" spans="1:86" ht="15" hidden="1" customHeight="1" x14ac:dyDescent="0.35">
      <c r="A225" t="s">
        <v>756</v>
      </c>
      <c r="B225">
        <v>1</v>
      </c>
      <c r="C225">
        <v>1</v>
      </c>
      <c r="D225" t="s">
        <v>1051</v>
      </c>
      <c r="E225" t="s">
        <v>1255</v>
      </c>
      <c r="F225">
        <v>5</v>
      </c>
      <c r="I225" t="s">
        <v>1602</v>
      </c>
      <c r="J225">
        <v>5</v>
      </c>
      <c r="M225" t="s">
        <v>1920</v>
      </c>
      <c r="Q225" t="s">
        <v>2262</v>
      </c>
      <c r="R225">
        <v>5</v>
      </c>
      <c r="U225" t="s">
        <v>2609</v>
      </c>
      <c r="Y225" t="s">
        <v>2923</v>
      </c>
      <c r="AA225">
        <v>5</v>
      </c>
      <c r="AC225" t="s">
        <v>3218</v>
      </c>
      <c r="AG225" t="s">
        <v>3481</v>
      </c>
      <c r="AH225">
        <v>5</v>
      </c>
      <c r="AK225" t="s">
        <v>3718</v>
      </c>
      <c r="AL225">
        <v>5</v>
      </c>
      <c r="AO225" t="s">
        <v>3998</v>
      </c>
      <c r="AP225">
        <v>5</v>
      </c>
      <c r="AS225" t="s">
        <v>4278</v>
      </c>
      <c r="AT225">
        <v>7</v>
      </c>
      <c r="AW225" t="s">
        <v>4523</v>
      </c>
      <c r="AX225">
        <v>5</v>
      </c>
      <c r="BA225" t="s">
        <v>4766</v>
      </c>
      <c r="BC225">
        <v>5</v>
      </c>
      <c r="BE225" t="s">
        <v>4948</v>
      </c>
      <c r="BG225" t="s">
        <v>5034</v>
      </c>
      <c r="BH225" t="s">
        <v>5251</v>
      </c>
      <c r="BI225" t="s">
        <v>5501</v>
      </c>
      <c r="BJ225" t="s">
        <v>5770</v>
      </c>
      <c r="BK225" t="s">
        <v>6055</v>
      </c>
      <c r="BL225" t="s">
        <v>6238</v>
      </c>
      <c r="BM225" t="s">
        <v>6408</v>
      </c>
      <c r="BN225" t="s">
        <v>6581</v>
      </c>
      <c r="BO225" t="s">
        <v>6740</v>
      </c>
      <c r="BP225" t="s">
        <v>6814</v>
      </c>
      <c r="BT225" t="s">
        <v>7051</v>
      </c>
      <c r="BU225" t="s">
        <v>7183</v>
      </c>
      <c r="BV225" t="s">
        <v>7274</v>
      </c>
      <c r="BW225" t="s">
        <v>7449</v>
      </c>
      <c r="BX225" t="s">
        <v>7586</v>
      </c>
      <c r="BZ225">
        <v>1</v>
      </c>
      <c r="CA225">
        <v>0</v>
      </c>
      <c r="CE225" t="s">
        <v>8030</v>
      </c>
      <c r="CF225" s="144">
        <v>44120.600208333337</v>
      </c>
      <c r="CG225" s="144">
        <v>44120.607199074075</v>
      </c>
      <c r="CH225" t="s">
        <v>8359</v>
      </c>
    </row>
    <row r="226" spans="1:86" ht="15" hidden="1" customHeight="1" x14ac:dyDescent="0.35">
      <c r="A226" t="s">
        <v>757</v>
      </c>
      <c r="B226">
        <v>1</v>
      </c>
      <c r="C226">
        <v>1</v>
      </c>
      <c r="D226" t="s">
        <v>1051</v>
      </c>
      <c r="E226" t="s">
        <v>1255</v>
      </c>
      <c r="F226">
        <v>4</v>
      </c>
      <c r="H226" t="s">
        <v>1418</v>
      </c>
      <c r="I226" t="s">
        <v>1603</v>
      </c>
      <c r="M226" t="s">
        <v>1921</v>
      </c>
      <c r="N226">
        <v>4</v>
      </c>
      <c r="Q226" t="s">
        <v>2263</v>
      </c>
      <c r="S226">
        <v>6</v>
      </c>
      <c r="U226" t="s">
        <v>2610</v>
      </c>
      <c r="W226">
        <v>6</v>
      </c>
      <c r="Y226" t="s">
        <v>2923</v>
      </c>
      <c r="AA226">
        <v>6</v>
      </c>
      <c r="AB226" t="s">
        <v>3059</v>
      </c>
      <c r="AC226" t="s">
        <v>3218</v>
      </c>
      <c r="AG226" t="s">
        <v>3482</v>
      </c>
      <c r="AK226" t="s">
        <v>3719</v>
      </c>
      <c r="AO226" t="s">
        <v>3999</v>
      </c>
      <c r="AS226" t="s">
        <v>4279</v>
      </c>
      <c r="AW226" t="s">
        <v>4524</v>
      </c>
      <c r="BA226" t="s">
        <v>4767</v>
      </c>
      <c r="BE226" t="s">
        <v>4948</v>
      </c>
      <c r="BG226" t="s">
        <v>5034</v>
      </c>
      <c r="BH226" t="s">
        <v>5252</v>
      </c>
      <c r="BI226" t="s">
        <v>5502</v>
      </c>
      <c r="BJ226" t="s">
        <v>5771</v>
      </c>
      <c r="BK226" t="s">
        <v>6055</v>
      </c>
      <c r="BL226" t="s">
        <v>6239</v>
      </c>
      <c r="BM226" t="s">
        <v>6408</v>
      </c>
      <c r="BN226" t="s">
        <v>6582</v>
      </c>
      <c r="BO226" t="s">
        <v>6741</v>
      </c>
      <c r="BP226" t="s">
        <v>6814</v>
      </c>
      <c r="BT226" t="s">
        <v>7051</v>
      </c>
      <c r="BU226" t="s">
        <v>7183</v>
      </c>
      <c r="BV226" t="s">
        <v>7275</v>
      </c>
      <c r="BW226" t="s">
        <v>7450</v>
      </c>
      <c r="BX226" t="s">
        <v>7586</v>
      </c>
      <c r="BZ226">
        <v>0</v>
      </c>
      <c r="CA226">
        <v>1</v>
      </c>
      <c r="CB226" t="s">
        <v>7676</v>
      </c>
      <c r="CC226" t="s">
        <v>7736</v>
      </c>
      <c r="CD226" t="s">
        <v>7823</v>
      </c>
      <c r="CE226" t="s">
        <v>8031</v>
      </c>
      <c r="CF226" s="144">
        <v>44119.140347222223</v>
      </c>
      <c r="CG226" s="144">
        <v>44119.152824074074</v>
      </c>
      <c r="CH226" t="s">
        <v>8360</v>
      </c>
    </row>
    <row r="227" spans="1:86" ht="15" hidden="1" customHeight="1" x14ac:dyDescent="0.35">
      <c r="A227" t="s">
        <v>758</v>
      </c>
      <c r="B227">
        <v>1</v>
      </c>
      <c r="C227">
        <v>1</v>
      </c>
      <c r="D227" t="s">
        <v>1051</v>
      </c>
      <c r="E227" t="s">
        <v>1255</v>
      </c>
      <c r="F227">
        <v>6</v>
      </c>
      <c r="I227" t="s">
        <v>1603</v>
      </c>
      <c r="M227" t="s">
        <v>1921</v>
      </c>
      <c r="N227">
        <v>5</v>
      </c>
      <c r="Q227" t="s">
        <v>2263</v>
      </c>
      <c r="S227">
        <v>7</v>
      </c>
      <c r="U227" t="s">
        <v>2610</v>
      </c>
      <c r="W227">
        <v>5</v>
      </c>
      <c r="Y227" t="s">
        <v>2923</v>
      </c>
      <c r="AA227">
        <v>4</v>
      </c>
      <c r="AC227" t="s">
        <v>3219</v>
      </c>
      <c r="AD227">
        <v>3</v>
      </c>
      <c r="AG227" t="s">
        <v>3483</v>
      </c>
      <c r="AH227">
        <v>5</v>
      </c>
      <c r="AK227" t="s">
        <v>3719</v>
      </c>
      <c r="AO227" t="s">
        <v>4000</v>
      </c>
      <c r="AP227">
        <v>8</v>
      </c>
      <c r="AS227" t="s">
        <v>4280</v>
      </c>
      <c r="AT227">
        <v>4</v>
      </c>
      <c r="AW227" t="s">
        <v>4525</v>
      </c>
      <c r="AY227">
        <v>4</v>
      </c>
      <c r="BA227" t="s">
        <v>4767</v>
      </c>
      <c r="BE227" t="s">
        <v>4948</v>
      </c>
      <c r="BG227" t="s">
        <v>5034</v>
      </c>
      <c r="BH227" t="s">
        <v>5252</v>
      </c>
      <c r="BI227" t="s">
        <v>5502</v>
      </c>
      <c r="BJ227" t="s">
        <v>5771</v>
      </c>
      <c r="BK227" t="s">
        <v>6056</v>
      </c>
      <c r="BL227" t="s">
        <v>6240</v>
      </c>
      <c r="BM227" t="s">
        <v>6408</v>
      </c>
      <c r="BN227" t="s">
        <v>6582</v>
      </c>
      <c r="BO227" t="s">
        <v>6741</v>
      </c>
      <c r="BP227" t="s">
        <v>6814</v>
      </c>
      <c r="BT227" t="s">
        <v>7051</v>
      </c>
      <c r="BU227" t="s">
        <v>7183</v>
      </c>
      <c r="BV227" t="s">
        <v>7276</v>
      </c>
      <c r="BW227" t="s">
        <v>7450</v>
      </c>
      <c r="BX227" t="s">
        <v>7586</v>
      </c>
      <c r="BZ227">
        <v>0</v>
      </c>
      <c r="CA227">
        <v>1</v>
      </c>
      <c r="CB227" t="s">
        <v>7676</v>
      </c>
      <c r="CC227" t="s">
        <v>7736</v>
      </c>
      <c r="CD227" t="s">
        <v>7824</v>
      </c>
      <c r="CE227" t="s">
        <v>8032</v>
      </c>
      <c r="CF227" s="144">
        <v>44118.927870370368</v>
      </c>
      <c r="CG227" s="144">
        <v>44118.933067129627</v>
      </c>
      <c r="CH227" t="s">
        <v>8361</v>
      </c>
    </row>
    <row r="228" spans="1:86" ht="15" hidden="1" customHeight="1" x14ac:dyDescent="0.35">
      <c r="A228" t="s">
        <v>759</v>
      </c>
      <c r="B228">
        <v>1</v>
      </c>
      <c r="C228">
        <v>1</v>
      </c>
      <c r="D228" t="s">
        <v>1052</v>
      </c>
      <c r="E228" t="s">
        <v>1256</v>
      </c>
      <c r="I228" t="s">
        <v>1604</v>
      </c>
      <c r="J228">
        <v>5</v>
      </c>
      <c r="M228" t="s">
        <v>1922</v>
      </c>
      <c r="Q228" t="s">
        <v>2264</v>
      </c>
      <c r="R228">
        <v>5</v>
      </c>
      <c r="U228" t="s">
        <v>2611</v>
      </c>
      <c r="Y228" t="s">
        <v>2924</v>
      </c>
      <c r="AC228" t="s">
        <v>3219</v>
      </c>
      <c r="AD228">
        <v>6</v>
      </c>
      <c r="AG228" t="s">
        <v>3484</v>
      </c>
      <c r="AK228" t="s">
        <v>3719</v>
      </c>
      <c r="AO228" t="s">
        <v>4001</v>
      </c>
      <c r="AS228" t="s">
        <v>4281</v>
      </c>
      <c r="AU228">
        <v>5</v>
      </c>
      <c r="AW228" t="s">
        <v>4525</v>
      </c>
      <c r="AY228">
        <v>6</v>
      </c>
      <c r="BA228" t="s">
        <v>4767</v>
      </c>
      <c r="BE228" t="s">
        <v>4948</v>
      </c>
      <c r="BG228" t="s">
        <v>5034</v>
      </c>
      <c r="BH228" t="s">
        <v>5252</v>
      </c>
      <c r="BI228" t="s">
        <v>5502</v>
      </c>
      <c r="BJ228" t="s">
        <v>5772</v>
      </c>
      <c r="BK228" t="s">
        <v>6057</v>
      </c>
      <c r="BL228" t="s">
        <v>6240</v>
      </c>
      <c r="BM228" t="s">
        <v>6408</v>
      </c>
      <c r="BN228" t="s">
        <v>6582</v>
      </c>
      <c r="BO228" t="s">
        <v>6742</v>
      </c>
      <c r="BP228" t="s">
        <v>6814</v>
      </c>
      <c r="BT228" t="s">
        <v>7051</v>
      </c>
      <c r="BU228" t="s">
        <v>7183</v>
      </c>
      <c r="BV228" t="s">
        <v>7276</v>
      </c>
      <c r="BW228" t="s">
        <v>7451</v>
      </c>
      <c r="BX228" t="s">
        <v>7586</v>
      </c>
      <c r="BZ228">
        <v>0</v>
      </c>
      <c r="CA228">
        <v>0</v>
      </c>
      <c r="CE228" t="s">
        <v>8032</v>
      </c>
      <c r="CF228" s="144">
        <v>44018.392291666663</v>
      </c>
      <c r="CG228" s="144">
        <v>44018.401944444442</v>
      </c>
      <c r="CH228" t="s">
        <v>8362</v>
      </c>
    </row>
    <row r="229" spans="1:86" ht="15" hidden="1" customHeight="1" x14ac:dyDescent="0.35">
      <c r="A229" t="s">
        <v>760</v>
      </c>
      <c r="B229">
        <v>1</v>
      </c>
      <c r="C229">
        <v>1</v>
      </c>
      <c r="D229" t="s">
        <v>1052</v>
      </c>
      <c r="E229" t="s">
        <v>1256</v>
      </c>
      <c r="I229" t="s">
        <v>1604</v>
      </c>
      <c r="J229">
        <v>7</v>
      </c>
      <c r="L229" t="s">
        <v>1766</v>
      </c>
      <c r="M229" t="s">
        <v>1923</v>
      </c>
      <c r="N229">
        <v>6</v>
      </c>
      <c r="Q229" t="s">
        <v>2264</v>
      </c>
      <c r="R229">
        <v>7</v>
      </c>
      <c r="U229" t="s">
        <v>2612</v>
      </c>
      <c r="V229">
        <v>6</v>
      </c>
      <c r="Y229" t="s">
        <v>2925</v>
      </c>
      <c r="Z229">
        <v>7</v>
      </c>
      <c r="AC229" t="s">
        <v>3220</v>
      </c>
      <c r="AG229" t="s">
        <v>3484</v>
      </c>
      <c r="AK229" t="s">
        <v>3719</v>
      </c>
      <c r="AO229" t="s">
        <v>4002</v>
      </c>
      <c r="AQ229">
        <v>3</v>
      </c>
      <c r="AS229" t="s">
        <v>4282</v>
      </c>
      <c r="AT229">
        <v>3</v>
      </c>
      <c r="AW229" t="s">
        <v>4526</v>
      </c>
      <c r="BA229" t="s">
        <v>4768</v>
      </c>
      <c r="BC229">
        <v>6</v>
      </c>
      <c r="BE229" t="s">
        <v>4948</v>
      </c>
      <c r="BG229" t="s">
        <v>5034</v>
      </c>
      <c r="BH229" t="s">
        <v>5253</v>
      </c>
      <c r="BI229" t="s">
        <v>5503</v>
      </c>
      <c r="BJ229" t="s">
        <v>5773</v>
      </c>
      <c r="BK229" t="s">
        <v>6058</v>
      </c>
      <c r="BL229" t="s">
        <v>6241</v>
      </c>
      <c r="BM229" t="s">
        <v>6408</v>
      </c>
      <c r="BN229" t="s">
        <v>6583</v>
      </c>
      <c r="BO229" t="s">
        <v>6743</v>
      </c>
      <c r="BP229" t="s">
        <v>6814</v>
      </c>
      <c r="BT229" t="s">
        <v>7051</v>
      </c>
      <c r="BU229" t="s">
        <v>7183</v>
      </c>
      <c r="BV229" t="s">
        <v>7277</v>
      </c>
      <c r="BW229" t="s">
        <v>7451</v>
      </c>
      <c r="BX229" t="s">
        <v>7586</v>
      </c>
      <c r="BZ229">
        <v>0</v>
      </c>
      <c r="CA229">
        <v>0</v>
      </c>
      <c r="CE229" t="s">
        <v>8033</v>
      </c>
      <c r="CF229" s="144">
        <v>43979.618738425925</v>
      </c>
      <c r="CG229" s="144">
        <v>43979.625069444446</v>
      </c>
      <c r="CH229" t="s">
        <v>8363</v>
      </c>
    </row>
    <row r="230" spans="1:86" ht="15" hidden="1" customHeight="1" x14ac:dyDescent="0.35">
      <c r="A230" t="s">
        <v>761</v>
      </c>
      <c r="B230">
        <v>1</v>
      </c>
      <c r="C230">
        <v>1</v>
      </c>
      <c r="D230" t="s">
        <v>1053</v>
      </c>
      <c r="E230" t="s">
        <v>1257</v>
      </c>
      <c r="F230">
        <v>5</v>
      </c>
      <c r="H230" t="s">
        <v>1419</v>
      </c>
      <c r="I230" t="s">
        <v>1604</v>
      </c>
      <c r="J230">
        <v>5</v>
      </c>
      <c r="L230" t="s">
        <v>1767</v>
      </c>
      <c r="M230" t="s">
        <v>1924</v>
      </c>
      <c r="O230">
        <v>5</v>
      </c>
      <c r="P230" t="s">
        <v>2064</v>
      </c>
      <c r="Q230" t="s">
        <v>2265</v>
      </c>
      <c r="U230" t="s">
        <v>2613</v>
      </c>
      <c r="W230">
        <v>5</v>
      </c>
      <c r="X230" t="s">
        <v>2752</v>
      </c>
      <c r="Y230" t="s">
        <v>2926</v>
      </c>
      <c r="AA230">
        <v>5</v>
      </c>
      <c r="AB230" t="s">
        <v>3060</v>
      </c>
      <c r="AC230" t="s">
        <v>3220</v>
      </c>
      <c r="AG230" t="s">
        <v>3484</v>
      </c>
      <c r="AK230" t="s">
        <v>3719</v>
      </c>
      <c r="AO230" t="s">
        <v>4003</v>
      </c>
      <c r="AS230" t="s">
        <v>4283</v>
      </c>
      <c r="AW230" t="s">
        <v>4526</v>
      </c>
      <c r="BA230" t="s">
        <v>4769</v>
      </c>
      <c r="BE230" t="s">
        <v>4948</v>
      </c>
      <c r="BG230" t="s">
        <v>5034</v>
      </c>
      <c r="BH230" t="s">
        <v>5253</v>
      </c>
      <c r="BI230" t="s">
        <v>5503</v>
      </c>
      <c r="BJ230" t="s">
        <v>5774</v>
      </c>
      <c r="BK230" t="s">
        <v>6058</v>
      </c>
      <c r="BL230" t="s">
        <v>6242</v>
      </c>
      <c r="BM230" t="s">
        <v>6409</v>
      </c>
      <c r="BN230" t="s">
        <v>6583</v>
      </c>
      <c r="BO230" t="s">
        <v>6743</v>
      </c>
      <c r="BP230" t="s">
        <v>6814</v>
      </c>
      <c r="BT230" t="s">
        <v>7052</v>
      </c>
      <c r="BU230" t="s">
        <v>7183</v>
      </c>
      <c r="BV230" t="s">
        <v>7277</v>
      </c>
      <c r="BW230" t="s">
        <v>7452</v>
      </c>
      <c r="BX230" t="s">
        <v>7586</v>
      </c>
      <c r="BZ230">
        <v>0</v>
      </c>
      <c r="CA230">
        <v>1</v>
      </c>
      <c r="CB230" t="s">
        <v>7677</v>
      </c>
      <c r="CC230" t="s">
        <v>7737</v>
      </c>
      <c r="CD230" t="s">
        <v>7825</v>
      </c>
      <c r="CE230" t="s">
        <v>8034</v>
      </c>
      <c r="CF230" s="144">
        <v>43979.320810185185</v>
      </c>
      <c r="CG230" s="144">
        <v>43979.330706018518</v>
      </c>
      <c r="CH230" t="s">
        <v>8364</v>
      </c>
    </row>
    <row r="231" spans="1:86" ht="15" hidden="1" customHeight="1" x14ac:dyDescent="0.35">
      <c r="A231" t="s">
        <v>762</v>
      </c>
      <c r="B231">
        <v>1</v>
      </c>
      <c r="C231">
        <v>1</v>
      </c>
      <c r="D231" t="s">
        <v>1053</v>
      </c>
      <c r="E231" t="s">
        <v>1257</v>
      </c>
      <c r="F231">
        <v>4</v>
      </c>
      <c r="I231" t="s">
        <v>1605</v>
      </c>
      <c r="M231" t="s">
        <v>1925</v>
      </c>
      <c r="Q231" t="s">
        <v>2265</v>
      </c>
      <c r="U231" t="s">
        <v>2614</v>
      </c>
      <c r="Y231" t="s">
        <v>2927</v>
      </c>
      <c r="AC231" t="s">
        <v>3220</v>
      </c>
      <c r="AG231" t="s">
        <v>3484</v>
      </c>
      <c r="AK231" t="s">
        <v>3719</v>
      </c>
      <c r="AO231" t="s">
        <v>4003</v>
      </c>
      <c r="AS231" t="s">
        <v>4283</v>
      </c>
      <c r="AW231" t="s">
        <v>4526</v>
      </c>
      <c r="BA231" t="s">
        <v>4769</v>
      </c>
      <c r="BE231" t="s">
        <v>4948</v>
      </c>
      <c r="BG231" t="s">
        <v>5034</v>
      </c>
      <c r="BH231" t="s">
        <v>5254</v>
      </c>
      <c r="BI231" t="s">
        <v>5504</v>
      </c>
      <c r="BJ231" t="s">
        <v>5775</v>
      </c>
      <c r="BK231" t="s">
        <v>6059</v>
      </c>
      <c r="BL231" t="s">
        <v>6242</v>
      </c>
      <c r="BM231" t="s">
        <v>6410</v>
      </c>
      <c r="BN231" t="s">
        <v>6583</v>
      </c>
      <c r="BO231" t="s">
        <v>6743</v>
      </c>
      <c r="BP231" t="s">
        <v>6814</v>
      </c>
      <c r="BT231" t="s">
        <v>7053</v>
      </c>
      <c r="BU231" t="s">
        <v>7183</v>
      </c>
      <c r="BV231" t="s">
        <v>7278</v>
      </c>
      <c r="BW231" t="s">
        <v>7453</v>
      </c>
      <c r="BX231" t="s">
        <v>7587</v>
      </c>
      <c r="BZ231">
        <v>0</v>
      </c>
      <c r="CA231">
        <v>0</v>
      </c>
      <c r="CE231" t="s">
        <v>8034</v>
      </c>
      <c r="CF231" s="144">
        <v>43978.479513888888</v>
      </c>
      <c r="CG231" s="144">
        <v>43978.487500000003</v>
      </c>
      <c r="CH231" t="s">
        <v>8364</v>
      </c>
    </row>
    <row r="232" spans="1:86" ht="15" hidden="1" customHeight="1" x14ac:dyDescent="0.35">
      <c r="A232" t="s">
        <v>763</v>
      </c>
      <c r="B232">
        <v>1</v>
      </c>
      <c r="C232">
        <v>1</v>
      </c>
      <c r="D232" t="s">
        <v>1053</v>
      </c>
      <c r="E232" t="s">
        <v>1258</v>
      </c>
      <c r="I232" t="s">
        <v>1605</v>
      </c>
      <c r="M232" t="s">
        <v>1926</v>
      </c>
      <c r="N232">
        <v>6</v>
      </c>
      <c r="P232" t="s">
        <v>2065</v>
      </c>
      <c r="Q232" t="s">
        <v>2265</v>
      </c>
      <c r="U232" t="s">
        <v>2614</v>
      </c>
      <c r="Y232" t="s">
        <v>2927</v>
      </c>
      <c r="AC232" t="s">
        <v>3220</v>
      </c>
      <c r="AG232" t="s">
        <v>3484</v>
      </c>
      <c r="AK232" t="s">
        <v>3719</v>
      </c>
      <c r="AO232" t="s">
        <v>4003</v>
      </c>
      <c r="AS232" t="s">
        <v>4283</v>
      </c>
      <c r="AW232" t="s">
        <v>4526</v>
      </c>
      <c r="BA232" t="s">
        <v>4769</v>
      </c>
      <c r="BE232" t="s">
        <v>4948</v>
      </c>
      <c r="BG232" t="s">
        <v>5034</v>
      </c>
      <c r="BH232" t="s">
        <v>5254</v>
      </c>
      <c r="BI232" t="s">
        <v>5505</v>
      </c>
      <c r="BJ232" t="s">
        <v>5776</v>
      </c>
      <c r="BK232" t="s">
        <v>6060</v>
      </c>
      <c r="BL232" t="s">
        <v>6242</v>
      </c>
      <c r="BM232" t="s">
        <v>6410</v>
      </c>
      <c r="BN232" t="s">
        <v>6583</v>
      </c>
      <c r="BO232" t="s">
        <v>6743</v>
      </c>
      <c r="BP232" t="s">
        <v>6814</v>
      </c>
      <c r="BT232" t="s">
        <v>7053</v>
      </c>
      <c r="BU232" t="s">
        <v>7183</v>
      </c>
      <c r="BV232" t="s">
        <v>7279</v>
      </c>
      <c r="BW232" t="s">
        <v>7454</v>
      </c>
      <c r="BX232" t="s">
        <v>7588</v>
      </c>
      <c r="BZ232">
        <v>0</v>
      </c>
      <c r="CA232">
        <v>1</v>
      </c>
      <c r="CB232" t="s">
        <v>7677</v>
      </c>
      <c r="CC232" t="s">
        <v>7738</v>
      </c>
      <c r="CD232" t="s">
        <v>7826</v>
      </c>
      <c r="CE232" t="s">
        <v>8035</v>
      </c>
      <c r="CF232" s="144">
        <v>43978.477002314816</v>
      </c>
      <c r="CG232" s="144">
        <v>43978.4840625</v>
      </c>
      <c r="CH232" t="s">
        <v>8364</v>
      </c>
    </row>
    <row r="233" spans="1:86" ht="15" hidden="1" customHeight="1" x14ac:dyDescent="0.35">
      <c r="A233" t="s">
        <v>764</v>
      </c>
      <c r="B233">
        <v>1</v>
      </c>
      <c r="C233">
        <v>1</v>
      </c>
      <c r="D233" t="s">
        <v>1053</v>
      </c>
      <c r="E233" t="s">
        <v>1259</v>
      </c>
      <c r="F233">
        <v>8</v>
      </c>
      <c r="H233" t="s">
        <v>1420</v>
      </c>
      <c r="I233" t="s">
        <v>1606</v>
      </c>
      <c r="J233">
        <v>8</v>
      </c>
      <c r="M233" t="s">
        <v>1926</v>
      </c>
      <c r="N233">
        <v>8</v>
      </c>
      <c r="Q233" t="s">
        <v>2265</v>
      </c>
      <c r="U233" t="s">
        <v>2615</v>
      </c>
      <c r="V233">
        <v>8</v>
      </c>
      <c r="Y233" t="s">
        <v>2927</v>
      </c>
      <c r="AC233" t="s">
        <v>3220</v>
      </c>
      <c r="AG233" t="s">
        <v>3484</v>
      </c>
      <c r="AK233" t="s">
        <v>3719</v>
      </c>
      <c r="AO233" t="s">
        <v>4003</v>
      </c>
      <c r="AS233" t="s">
        <v>4283</v>
      </c>
      <c r="AW233" t="s">
        <v>4526</v>
      </c>
      <c r="BA233" t="s">
        <v>4769</v>
      </c>
      <c r="BE233" t="s">
        <v>4948</v>
      </c>
      <c r="BG233" t="s">
        <v>5035</v>
      </c>
      <c r="BH233" t="s">
        <v>5255</v>
      </c>
      <c r="BI233" t="s">
        <v>5506</v>
      </c>
      <c r="BJ233" t="s">
        <v>5777</v>
      </c>
      <c r="BK233" t="s">
        <v>6060</v>
      </c>
      <c r="BL233" t="s">
        <v>6243</v>
      </c>
      <c r="BM233" t="s">
        <v>6411</v>
      </c>
      <c r="BN233" t="s">
        <v>6583</v>
      </c>
      <c r="BO233" t="s">
        <v>6743</v>
      </c>
      <c r="BP233" t="s">
        <v>6814</v>
      </c>
      <c r="BT233" t="s">
        <v>7054</v>
      </c>
      <c r="BU233" t="s">
        <v>7183</v>
      </c>
      <c r="BV233" t="s">
        <v>7279</v>
      </c>
      <c r="BW233" t="s">
        <v>7455</v>
      </c>
      <c r="BX233" t="s">
        <v>7588</v>
      </c>
      <c r="BZ233">
        <v>0</v>
      </c>
      <c r="CA233">
        <v>1</v>
      </c>
      <c r="CB233" t="s">
        <v>7677</v>
      </c>
      <c r="CC233" t="s">
        <v>7738</v>
      </c>
      <c r="CD233" t="s">
        <v>7826</v>
      </c>
      <c r="CE233" t="s">
        <v>8036</v>
      </c>
      <c r="CF233" s="144">
        <v>43978.464409722219</v>
      </c>
      <c r="CG233" s="144">
        <v>43978.470717592594</v>
      </c>
      <c r="CH233" t="s">
        <v>8364</v>
      </c>
    </row>
    <row r="234" spans="1:86" ht="15" hidden="1" customHeight="1" x14ac:dyDescent="0.35">
      <c r="A234" t="s">
        <v>765</v>
      </c>
      <c r="B234">
        <v>1</v>
      </c>
      <c r="C234">
        <v>1</v>
      </c>
      <c r="D234" t="s">
        <v>1053</v>
      </c>
      <c r="E234" t="s">
        <v>1260</v>
      </c>
      <c r="I234" t="s">
        <v>1607</v>
      </c>
      <c r="M234" t="s">
        <v>1927</v>
      </c>
      <c r="Q234" t="s">
        <v>2266</v>
      </c>
      <c r="R234">
        <v>6</v>
      </c>
      <c r="T234" t="s">
        <v>2432</v>
      </c>
      <c r="U234" t="s">
        <v>2616</v>
      </c>
      <c r="Y234" t="s">
        <v>2927</v>
      </c>
      <c r="AC234" t="s">
        <v>3220</v>
      </c>
      <c r="AG234" t="s">
        <v>3484</v>
      </c>
      <c r="AK234" t="s">
        <v>3719</v>
      </c>
      <c r="AO234" t="s">
        <v>4003</v>
      </c>
      <c r="AS234" t="s">
        <v>4283</v>
      </c>
      <c r="AW234" t="s">
        <v>4526</v>
      </c>
      <c r="BA234" t="s">
        <v>4769</v>
      </c>
      <c r="BE234" t="s">
        <v>4948</v>
      </c>
      <c r="BG234" t="s">
        <v>5036</v>
      </c>
      <c r="BH234" t="s">
        <v>5256</v>
      </c>
      <c r="BI234" t="s">
        <v>5507</v>
      </c>
      <c r="BJ234" t="s">
        <v>5778</v>
      </c>
      <c r="BK234" t="s">
        <v>6060</v>
      </c>
      <c r="BL234" t="s">
        <v>6244</v>
      </c>
      <c r="BM234" t="s">
        <v>6411</v>
      </c>
      <c r="BN234" t="s">
        <v>6583</v>
      </c>
      <c r="BO234" t="s">
        <v>6743</v>
      </c>
      <c r="BP234" t="s">
        <v>6814</v>
      </c>
      <c r="BT234" t="s">
        <v>7055</v>
      </c>
      <c r="BU234" t="s">
        <v>7183</v>
      </c>
      <c r="BV234" t="s">
        <v>7280</v>
      </c>
      <c r="BW234" t="s">
        <v>7456</v>
      </c>
      <c r="BX234" t="s">
        <v>7588</v>
      </c>
      <c r="BZ234">
        <v>1</v>
      </c>
      <c r="CA234">
        <v>1</v>
      </c>
      <c r="CB234" t="s">
        <v>7677</v>
      </c>
      <c r="CC234" t="s">
        <v>7738</v>
      </c>
      <c r="CD234" t="s">
        <v>7826</v>
      </c>
      <c r="CE234" t="s">
        <v>8037</v>
      </c>
      <c r="CF234" s="144">
        <v>43972.236840277779</v>
      </c>
      <c r="CG234" s="144">
        <v>43972.244953703703</v>
      </c>
      <c r="CH234" t="s">
        <v>8364</v>
      </c>
    </row>
    <row r="235" spans="1:86" ht="15" hidden="1" customHeight="1" x14ac:dyDescent="0.35">
      <c r="A235" t="s">
        <v>766</v>
      </c>
      <c r="B235">
        <v>1</v>
      </c>
      <c r="C235">
        <v>1</v>
      </c>
      <c r="D235" t="s">
        <v>1053</v>
      </c>
      <c r="E235" t="s">
        <v>1260</v>
      </c>
      <c r="I235" t="s">
        <v>1608</v>
      </c>
      <c r="J235">
        <v>5</v>
      </c>
      <c r="L235" t="s">
        <v>1768</v>
      </c>
      <c r="M235" t="s">
        <v>1927</v>
      </c>
      <c r="Q235" t="s">
        <v>2266</v>
      </c>
      <c r="R235">
        <v>2</v>
      </c>
      <c r="U235" t="s">
        <v>2617</v>
      </c>
      <c r="W235">
        <v>4</v>
      </c>
      <c r="X235" t="s">
        <v>2753</v>
      </c>
      <c r="Y235" t="s">
        <v>2927</v>
      </c>
      <c r="AC235" t="s">
        <v>3221</v>
      </c>
      <c r="AD235">
        <v>6</v>
      </c>
      <c r="AF235" t="s">
        <v>3352</v>
      </c>
      <c r="AG235" t="s">
        <v>3484</v>
      </c>
      <c r="AK235" t="s">
        <v>3720</v>
      </c>
      <c r="AL235">
        <v>6</v>
      </c>
      <c r="AN235" t="s">
        <v>3824</v>
      </c>
      <c r="AO235" t="s">
        <v>4003</v>
      </c>
      <c r="AS235" t="s">
        <v>4283</v>
      </c>
      <c r="AW235" t="s">
        <v>4527</v>
      </c>
      <c r="AY235">
        <v>4</v>
      </c>
      <c r="BA235" t="s">
        <v>4769</v>
      </c>
      <c r="BE235" t="s">
        <v>4948</v>
      </c>
      <c r="BG235" t="s">
        <v>5036</v>
      </c>
      <c r="BH235" t="s">
        <v>5257</v>
      </c>
      <c r="BI235" t="s">
        <v>5508</v>
      </c>
      <c r="BJ235" t="s">
        <v>5779</v>
      </c>
      <c r="BK235" t="s">
        <v>6061</v>
      </c>
      <c r="BL235" t="s">
        <v>6245</v>
      </c>
      <c r="BM235" t="s">
        <v>6412</v>
      </c>
      <c r="BN235" t="s">
        <v>6583</v>
      </c>
      <c r="BO235" t="s">
        <v>6744</v>
      </c>
      <c r="BP235" t="s">
        <v>6814</v>
      </c>
      <c r="BT235" t="s">
        <v>7055</v>
      </c>
      <c r="BU235" t="s">
        <v>7183</v>
      </c>
      <c r="BV235" t="s">
        <v>7281</v>
      </c>
      <c r="BW235" t="s">
        <v>7457</v>
      </c>
      <c r="BX235" t="s">
        <v>7589</v>
      </c>
      <c r="BZ235">
        <v>0</v>
      </c>
      <c r="CA235">
        <v>1</v>
      </c>
      <c r="CB235" t="s">
        <v>7677</v>
      </c>
      <c r="CC235" t="s">
        <v>7738</v>
      </c>
      <c r="CD235" t="s">
        <v>7826</v>
      </c>
      <c r="CE235" t="s">
        <v>8037</v>
      </c>
      <c r="CF235" s="144">
        <v>43971.33258101852</v>
      </c>
      <c r="CG235" s="144">
        <v>43971.394814814812</v>
      </c>
      <c r="CH235" t="s">
        <v>8365</v>
      </c>
    </row>
    <row r="236" spans="1:86" ht="15" hidden="1" customHeight="1" x14ac:dyDescent="0.35">
      <c r="A236" t="s">
        <v>767</v>
      </c>
      <c r="B236">
        <v>1</v>
      </c>
      <c r="C236">
        <v>1</v>
      </c>
      <c r="D236" t="s">
        <v>1054</v>
      </c>
      <c r="E236" t="s">
        <v>1261</v>
      </c>
      <c r="F236">
        <v>7</v>
      </c>
      <c r="I236" t="s">
        <v>1608</v>
      </c>
      <c r="J236">
        <v>6</v>
      </c>
      <c r="M236" t="s">
        <v>1928</v>
      </c>
      <c r="O236">
        <v>5</v>
      </c>
      <c r="Q236" t="s">
        <v>2267</v>
      </c>
      <c r="S236">
        <v>7</v>
      </c>
      <c r="U236" t="s">
        <v>2617</v>
      </c>
      <c r="W236">
        <v>6</v>
      </c>
      <c r="Y236" t="s">
        <v>2928</v>
      </c>
      <c r="Z236">
        <v>6</v>
      </c>
      <c r="AC236" t="s">
        <v>3222</v>
      </c>
      <c r="AG236" t="s">
        <v>3484</v>
      </c>
      <c r="AK236" t="s">
        <v>3721</v>
      </c>
      <c r="AO236" t="s">
        <v>4003</v>
      </c>
      <c r="AS236" t="s">
        <v>4283</v>
      </c>
      <c r="AW236" t="s">
        <v>4528</v>
      </c>
      <c r="BA236" t="s">
        <v>4769</v>
      </c>
      <c r="BE236" t="s">
        <v>4948</v>
      </c>
      <c r="BG236" t="s">
        <v>5037</v>
      </c>
      <c r="BH236" t="s">
        <v>5258</v>
      </c>
      <c r="BI236" t="s">
        <v>5509</v>
      </c>
      <c r="BJ236" t="s">
        <v>5780</v>
      </c>
      <c r="BK236" t="s">
        <v>6062</v>
      </c>
      <c r="BL236" t="s">
        <v>6245</v>
      </c>
      <c r="BM236" t="s">
        <v>6412</v>
      </c>
      <c r="BN236" t="s">
        <v>6583</v>
      </c>
      <c r="BO236" t="s">
        <v>6745</v>
      </c>
      <c r="BP236" t="s">
        <v>6814</v>
      </c>
      <c r="BT236" t="s">
        <v>7056</v>
      </c>
      <c r="BU236" t="s">
        <v>7183</v>
      </c>
      <c r="BV236" t="s">
        <v>7281</v>
      </c>
      <c r="BW236" t="s">
        <v>7458</v>
      </c>
      <c r="BX236" t="s">
        <v>7590</v>
      </c>
      <c r="BZ236">
        <v>1</v>
      </c>
      <c r="CA236">
        <v>1</v>
      </c>
      <c r="CB236" t="s">
        <v>7677</v>
      </c>
      <c r="CC236" t="s">
        <v>7739</v>
      </c>
      <c r="CD236" t="s">
        <v>7826</v>
      </c>
      <c r="CE236" t="s">
        <v>8038</v>
      </c>
      <c r="CF236" s="144">
        <v>43971.339398148149</v>
      </c>
      <c r="CG236" s="144">
        <v>43971.34516203704</v>
      </c>
      <c r="CH236" t="s">
        <v>8366</v>
      </c>
    </row>
    <row r="237" spans="1:86" ht="15" hidden="1" customHeight="1" x14ac:dyDescent="0.35">
      <c r="A237" t="s">
        <v>768</v>
      </c>
      <c r="B237">
        <v>1</v>
      </c>
      <c r="C237">
        <v>1</v>
      </c>
      <c r="D237" t="s">
        <v>1055</v>
      </c>
      <c r="E237" t="s">
        <v>1262</v>
      </c>
      <c r="I237" t="s">
        <v>1609</v>
      </c>
      <c r="M237" t="s">
        <v>1929</v>
      </c>
      <c r="Q237" t="s">
        <v>2268</v>
      </c>
      <c r="U237" t="s">
        <v>2618</v>
      </c>
      <c r="Y237" t="s">
        <v>2929</v>
      </c>
      <c r="AC237" t="s">
        <v>3223</v>
      </c>
      <c r="AE237">
        <v>6</v>
      </c>
      <c r="AG237" t="s">
        <v>3485</v>
      </c>
      <c r="AI237">
        <v>7</v>
      </c>
      <c r="AK237" t="s">
        <v>3721</v>
      </c>
      <c r="AO237" t="s">
        <v>4003</v>
      </c>
      <c r="AS237" t="s">
        <v>4283</v>
      </c>
      <c r="AW237" t="s">
        <v>4528</v>
      </c>
      <c r="BA237" t="s">
        <v>4769</v>
      </c>
      <c r="BE237" t="s">
        <v>4948</v>
      </c>
      <c r="BG237" t="s">
        <v>5038</v>
      </c>
      <c r="BH237" t="s">
        <v>5259</v>
      </c>
      <c r="BI237" t="s">
        <v>5509</v>
      </c>
      <c r="BJ237" t="s">
        <v>5781</v>
      </c>
      <c r="BK237" t="s">
        <v>6063</v>
      </c>
      <c r="BL237" t="s">
        <v>6245</v>
      </c>
      <c r="BM237" t="s">
        <v>6412</v>
      </c>
      <c r="BN237" t="s">
        <v>6584</v>
      </c>
      <c r="BO237" t="s">
        <v>6746</v>
      </c>
      <c r="BP237" t="s">
        <v>6814</v>
      </c>
      <c r="BT237" t="s">
        <v>7057</v>
      </c>
      <c r="BU237" t="s">
        <v>7183</v>
      </c>
      <c r="BV237" t="s">
        <v>7281</v>
      </c>
      <c r="BW237" t="s">
        <v>7459</v>
      </c>
      <c r="BX237" t="s">
        <v>7591</v>
      </c>
      <c r="BZ237">
        <v>1</v>
      </c>
      <c r="CA237">
        <v>0</v>
      </c>
      <c r="CE237" t="s">
        <v>8039</v>
      </c>
      <c r="CF237" s="144">
        <v>43971.334918981483</v>
      </c>
      <c r="CG237" s="144">
        <v>43971.339143518519</v>
      </c>
      <c r="CH237" t="s">
        <v>8367</v>
      </c>
    </row>
    <row r="238" spans="1:86" ht="15" hidden="1" customHeight="1" x14ac:dyDescent="0.35">
      <c r="A238" t="s">
        <v>769</v>
      </c>
      <c r="B238">
        <v>1</v>
      </c>
      <c r="C238">
        <v>1</v>
      </c>
      <c r="D238" t="s">
        <v>1055</v>
      </c>
      <c r="E238" t="s">
        <v>1262</v>
      </c>
      <c r="I238" t="s">
        <v>1610</v>
      </c>
      <c r="J238">
        <v>6</v>
      </c>
      <c r="L238" t="s">
        <v>1769</v>
      </c>
      <c r="M238" t="s">
        <v>1929</v>
      </c>
      <c r="Q238" t="s">
        <v>2268</v>
      </c>
      <c r="U238" t="s">
        <v>2619</v>
      </c>
      <c r="V238">
        <v>3</v>
      </c>
      <c r="Y238" t="s">
        <v>2930</v>
      </c>
      <c r="AA238">
        <v>4</v>
      </c>
      <c r="AC238" t="s">
        <v>3224</v>
      </c>
      <c r="AG238" t="s">
        <v>3486</v>
      </c>
      <c r="AH238">
        <v>6</v>
      </c>
      <c r="AJ238" t="s">
        <v>3580</v>
      </c>
      <c r="AK238" t="s">
        <v>3721</v>
      </c>
      <c r="AO238" t="s">
        <v>4003</v>
      </c>
      <c r="AS238" t="s">
        <v>4284</v>
      </c>
      <c r="AT238">
        <v>3</v>
      </c>
      <c r="AW238" t="s">
        <v>4529</v>
      </c>
      <c r="AY238">
        <v>4</v>
      </c>
      <c r="AZ238" t="s">
        <v>4628</v>
      </c>
      <c r="BA238" t="s">
        <v>4770</v>
      </c>
      <c r="BC238">
        <v>6</v>
      </c>
      <c r="BD238" t="s">
        <v>4876</v>
      </c>
      <c r="BE238" t="s">
        <v>4948</v>
      </c>
      <c r="BG238" t="s">
        <v>5038</v>
      </c>
      <c r="BH238" t="s">
        <v>5260</v>
      </c>
      <c r="BI238" t="s">
        <v>5510</v>
      </c>
      <c r="BJ238" t="s">
        <v>5781</v>
      </c>
      <c r="BK238" t="s">
        <v>6064</v>
      </c>
      <c r="BL238" t="s">
        <v>6245</v>
      </c>
      <c r="BM238" t="s">
        <v>6412</v>
      </c>
      <c r="BN238" t="s">
        <v>6585</v>
      </c>
      <c r="BO238" t="s">
        <v>6747</v>
      </c>
      <c r="BP238" t="s">
        <v>6814</v>
      </c>
      <c r="BT238" t="s">
        <v>7057</v>
      </c>
      <c r="BU238" t="s">
        <v>7183</v>
      </c>
      <c r="BV238" t="s">
        <v>7282</v>
      </c>
      <c r="BW238" t="s">
        <v>7459</v>
      </c>
      <c r="BX238" t="s">
        <v>7591</v>
      </c>
      <c r="BZ238">
        <v>1</v>
      </c>
      <c r="CA238">
        <v>0</v>
      </c>
      <c r="CE238" t="s">
        <v>8040</v>
      </c>
      <c r="CF238" s="144">
        <v>43971.321250000001</v>
      </c>
      <c r="CG238" s="144">
        <v>43971.325694444444</v>
      </c>
      <c r="CH238" t="s">
        <v>8368</v>
      </c>
    </row>
    <row r="239" spans="1:86" ht="15" hidden="1" customHeight="1" x14ac:dyDescent="0.35">
      <c r="A239" t="s">
        <v>770</v>
      </c>
      <c r="B239">
        <v>1</v>
      </c>
      <c r="C239">
        <v>1</v>
      </c>
      <c r="D239" t="s">
        <v>1056</v>
      </c>
      <c r="E239" t="s">
        <v>1263</v>
      </c>
      <c r="F239">
        <v>6</v>
      </c>
      <c r="H239" t="s">
        <v>1421</v>
      </c>
      <c r="I239" t="s">
        <v>1610</v>
      </c>
      <c r="M239" t="s">
        <v>1930</v>
      </c>
      <c r="Q239" t="s">
        <v>2269</v>
      </c>
      <c r="U239" t="s">
        <v>2620</v>
      </c>
      <c r="Y239" t="s">
        <v>2930</v>
      </c>
      <c r="AC239" t="s">
        <v>3224</v>
      </c>
      <c r="AG239" t="s">
        <v>3486</v>
      </c>
      <c r="AK239" t="s">
        <v>3722</v>
      </c>
      <c r="AO239" t="s">
        <v>4004</v>
      </c>
      <c r="AS239" t="s">
        <v>4284</v>
      </c>
      <c r="AW239" t="s">
        <v>4530</v>
      </c>
      <c r="BA239" t="s">
        <v>4771</v>
      </c>
      <c r="BE239" t="s">
        <v>4948</v>
      </c>
      <c r="BG239" t="s">
        <v>5038</v>
      </c>
      <c r="BH239" t="s">
        <v>5261</v>
      </c>
      <c r="BI239" t="s">
        <v>5510</v>
      </c>
      <c r="BJ239" t="s">
        <v>5782</v>
      </c>
      <c r="BK239" t="s">
        <v>6064</v>
      </c>
      <c r="BL239" t="s">
        <v>6246</v>
      </c>
      <c r="BM239" t="s">
        <v>6412</v>
      </c>
      <c r="BN239" t="s">
        <v>6585</v>
      </c>
      <c r="BO239" t="s">
        <v>6747</v>
      </c>
      <c r="BP239" t="s">
        <v>6814</v>
      </c>
      <c r="BT239" t="s">
        <v>7057</v>
      </c>
      <c r="BU239" t="s">
        <v>7183</v>
      </c>
      <c r="BV239" t="s">
        <v>7283</v>
      </c>
      <c r="BW239" t="s">
        <v>7460</v>
      </c>
      <c r="BX239" t="s">
        <v>7591</v>
      </c>
      <c r="BZ239">
        <v>0</v>
      </c>
      <c r="CA239">
        <v>1</v>
      </c>
      <c r="CE239" t="s">
        <v>8041</v>
      </c>
      <c r="CF239" s="144">
        <v>43971.301157407404</v>
      </c>
      <c r="CG239" s="144">
        <v>43971.311180555553</v>
      </c>
      <c r="CH239" t="s">
        <v>8369</v>
      </c>
    </row>
    <row r="240" spans="1:86" ht="15" hidden="1" customHeight="1" x14ac:dyDescent="0.35">
      <c r="A240" t="s">
        <v>771</v>
      </c>
      <c r="B240">
        <v>1</v>
      </c>
      <c r="C240">
        <v>1</v>
      </c>
      <c r="D240" t="s">
        <v>1057</v>
      </c>
      <c r="E240" t="s">
        <v>1263</v>
      </c>
      <c r="F240">
        <v>7</v>
      </c>
      <c r="I240" t="s">
        <v>1611</v>
      </c>
      <c r="M240" t="s">
        <v>1931</v>
      </c>
      <c r="O240">
        <v>7</v>
      </c>
      <c r="Q240" t="s">
        <v>2270</v>
      </c>
      <c r="U240" t="s">
        <v>2620</v>
      </c>
      <c r="W240">
        <v>8</v>
      </c>
      <c r="Y240" t="s">
        <v>2931</v>
      </c>
      <c r="Z240">
        <v>6</v>
      </c>
      <c r="AC240" t="s">
        <v>3224</v>
      </c>
      <c r="AG240" t="s">
        <v>3487</v>
      </c>
      <c r="AI240">
        <v>4</v>
      </c>
      <c r="AK240" t="s">
        <v>3723</v>
      </c>
      <c r="AM240">
        <v>2</v>
      </c>
      <c r="AO240" t="s">
        <v>4005</v>
      </c>
      <c r="AS240" t="s">
        <v>4285</v>
      </c>
      <c r="AU240">
        <v>7</v>
      </c>
      <c r="AW240" t="s">
        <v>4531</v>
      </c>
      <c r="BA240" t="s">
        <v>4772</v>
      </c>
      <c r="BC240">
        <v>7</v>
      </c>
      <c r="BE240" t="s">
        <v>4948</v>
      </c>
      <c r="BG240" t="s">
        <v>5039</v>
      </c>
      <c r="BH240" t="s">
        <v>5262</v>
      </c>
      <c r="BI240" t="s">
        <v>5511</v>
      </c>
      <c r="BJ240" t="s">
        <v>5783</v>
      </c>
      <c r="BK240" t="s">
        <v>6065</v>
      </c>
      <c r="BL240" t="s">
        <v>6247</v>
      </c>
      <c r="BM240" t="s">
        <v>6413</v>
      </c>
      <c r="BN240" t="s">
        <v>6586</v>
      </c>
      <c r="BO240" t="s">
        <v>6748</v>
      </c>
      <c r="BP240" t="s">
        <v>6815</v>
      </c>
      <c r="BT240" t="s">
        <v>7058</v>
      </c>
      <c r="BU240" t="s">
        <v>7184</v>
      </c>
      <c r="BV240" t="s">
        <v>7284</v>
      </c>
      <c r="BW240" t="s">
        <v>7461</v>
      </c>
      <c r="BX240" t="s">
        <v>7592</v>
      </c>
      <c r="BZ240">
        <v>0</v>
      </c>
      <c r="CA240">
        <v>0</v>
      </c>
      <c r="CE240" t="s">
        <v>8042</v>
      </c>
      <c r="CF240" s="144">
        <v>43971.272974537038</v>
      </c>
      <c r="CG240" s="144">
        <v>43971.275034722225</v>
      </c>
      <c r="CH240" t="s">
        <v>8370</v>
      </c>
    </row>
    <row r="241" spans="1:86" ht="15" hidden="1" customHeight="1" x14ac:dyDescent="0.35">
      <c r="A241" t="s">
        <v>772</v>
      </c>
      <c r="B241">
        <v>1</v>
      </c>
      <c r="C241">
        <v>1</v>
      </c>
      <c r="D241" t="s">
        <v>1057</v>
      </c>
      <c r="E241" t="s">
        <v>1264</v>
      </c>
      <c r="I241" t="s">
        <v>1612</v>
      </c>
      <c r="J241">
        <v>6</v>
      </c>
      <c r="L241" t="s">
        <v>1770</v>
      </c>
      <c r="M241" t="s">
        <v>1931</v>
      </c>
      <c r="O241">
        <v>6</v>
      </c>
      <c r="P241" t="s">
        <v>2066</v>
      </c>
      <c r="Q241" t="s">
        <v>2271</v>
      </c>
      <c r="R241">
        <v>7</v>
      </c>
      <c r="T241" t="s">
        <v>2433</v>
      </c>
      <c r="U241" t="s">
        <v>2620</v>
      </c>
      <c r="W241">
        <v>6</v>
      </c>
      <c r="X241" t="s">
        <v>2754</v>
      </c>
      <c r="Y241" t="s">
        <v>2931</v>
      </c>
      <c r="Z241">
        <v>6</v>
      </c>
      <c r="AB241" t="s">
        <v>3061</v>
      </c>
      <c r="AC241" t="s">
        <v>3225</v>
      </c>
      <c r="AE241">
        <v>6</v>
      </c>
      <c r="AF241" t="s">
        <v>3353</v>
      </c>
      <c r="AG241" t="s">
        <v>3488</v>
      </c>
      <c r="AH241">
        <v>6</v>
      </c>
      <c r="AJ241" t="s">
        <v>3581</v>
      </c>
      <c r="AK241" t="s">
        <v>3724</v>
      </c>
      <c r="AL241">
        <v>7</v>
      </c>
      <c r="AN241" t="s">
        <v>3825</v>
      </c>
      <c r="AO241" t="s">
        <v>4005</v>
      </c>
      <c r="AS241" t="s">
        <v>4285</v>
      </c>
      <c r="AU241">
        <v>4</v>
      </c>
      <c r="AV241" t="s">
        <v>4384</v>
      </c>
      <c r="AW241" t="s">
        <v>4531</v>
      </c>
      <c r="BA241" t="s">
        <v>4772</v>
      </c>
      <c r="BC241">
        <v>5</v>
      </c>
      <c r="BD241" t="s">
        <v>4877</v>
      </c>
      <c r="BE241" t="s">
        <v>4948</v>
      </c>
      <c r="BG241" t="s">
        <v>5040</v>
      </c>
      <c r="BH241" t="s">
        <v>5263</v>
      </c>
      <c r="BI241" t="s">
        <v>5512</v>
      </c>
      <c r="BJ241" t="s">
        <v>5784</v>
      </c>
      <c r="BK241" t="s">
        <v>6066</v>
      </c>
      <c r="BL241" t="s">
        <v>6248</v>
      </c>
      <c r="BM241" t="s">
        <v>6414</v>
      </c>
      <c r="BN241" t="s">
        <v>6587</v>
      </c>
      <c r="BO241" t="s">
        <v>6749</v>
      </c>
      <c r="BP241" t="s">
        <v>6816</v>
      </c>
      <c r="BT241" t="s">
        <v>7059</v>
      </c>
      <c r="BU241" t="s">
        <v>7185</v>
      </c>
      <c r="BV241" t="s">
        <v>7285</v>
      </c>
      <c r="BW241" t="s">
        <v>7462</v>
      </c>
      <c r="BX241" t="s">
        <v>7593</v>
      </c>
      <c r="BZ241">
        <v>0</v>
      </c>
      <c r="CA241">
        <v>0</v>
      </c>
      <c r="CE241" t="s">
        <v>8043</v>
      </c>
      <c r="CF241" s="144">
        <v>43970.791597222225</v>
      </c>
      <c r="CG241" s="144">
        <v>43970.804270833331</v>
      </c>
      <c r="CH241" t="s">
        <v>8371</v>
      </c>
    </row>
    <row r="242" spans="1:86" ht="15" hidden="1" customHeight="1" x14ac:dyDescent="0.35">
      <c r="A242" t="s">
        <v>773</v>
      </c>
      <c r="B242">
        <v>1</v>
      </c>
      <c r="C242">
        <v>1</v>
      </c>
      <c r="D242" t="s">
        <v>1057</v>
      </c>
      <c r="E242" t="s">
        <v>1265</v>
      </c>
      <c r="F242">
        <v>5</v>
      </c>
      <c r="I242" t="s">
        <v>1612</v>
      </c>
      <c r="J242">
        <v>3</v>
      </c>
      <c r="M242" t="s">
        <v>1932</v>
      </c>
      <c r="N242">
        <v>5</v>
      </c>
      <c r="Q242" t="s">
        <v>2272</v>
      </c>
      <c r="S242">
        <v>5</v>
      </c>
      <c r="U242" t="s">
        <v>2621</v>
      </c>
      <c r="V242">
        <v>5</v>
      </c>
      <c r="Y242" t="s">
        <v>2931</v>
      </c>
      <c r="Z242">
        <v>5</v>
      </c>
      <c r="AC242" t="s">
        <v>3226</v>
      </c>
      <c r="AD242">
        <v>4</v>
      </c>
      <c r="AG242" t="s">
        <v>3488</v>
      </c>
      <c r="AH242">
        <v>4</v>
      </c>
      <c r="AK242" t="s">
        <v>3724</v>
      </c>
      <c r="AL242">
        <v>4</v>
      </c>
      <c r="AO242" t="s">
        <v>4006</v>
      </c>
      <c r="AQ242">
        <v>2</v>
      </c>
      <c r="AS242" t="s">
        <v>4286</v>
      </c>
      <c r="AT242">
        <v>7</v>
      </c>
      <c r="AW242" t="s">
        <v>4531</v>
      </c>
      <c r="BA242" t="s">
        <v>4772</v>
      </c>
      <c r="BC242">
        <v>5</v>
      </c>
      <c r="BE242" t="s">
        <v>4948</v>
      </c>
      <c r="BG242" t="s">
        <v>5040</v>
      </c>
      <c r="BH242" t="s">
        <v>5263</v>
      </c>
      <c r="BI242" t="s">
        <v>5512</v>
      </c>
      <c r="BJ242" t="s">
        <v>5785</v>
      </c>
      <c r="BK242" t="s">
        <v>6067</v>
      </c>
      <c r="BL242" t="s">
        <v>6248</v>
      </c>
      <c r="BM242" t="s">
        <v>6414</v>
      </c>
      <c r="BN242" t="s">
        <v>6587</v>
      </c>
      <c r="BO242" t="s">
        <v>6749</v>
      </c>
      <c r="BP242" t="s">
        <v>6816</v>
      </c>
      <c r="BT242" t="s">
        <v>7059</v>
      </c>
      <c r="BU242" t="s">
        <v>7185</v>
      </c>
      <c r="BV242" t="s">
        <v>7286</v>
      </c>
      <c r="BW242" t="s">
        <v>7462</v>
      </c>
      <c r="BX242" t="s">
        <v>7593</v>
      </c>
      <c r="BZ242">
        <v>1</v>
      </c>
      <c r="CA242">
        <v>0</v>
      </c>
      <c r="CE242" t="s">
        <v>8044</v>
      </c>
      <c r="CF242" s="144">
        <v>43970.7346875</v>
      </c>
      <c r="CG242" s="144">
        <v>43970.739861111113</v>
      </c>
      <c r="CH242" t="s">
        <v>8372</v>
      </c>
    </row>
    <row r="243" spans="1:86" ht="15" hidden="1" customHeight="1" x14ac:dyDescent="0.35">
      <c r="A243" t="s">
        <v>774</v>
      </c>
      <c r="B243">
        <v>1</v>
      </c>
      <c r="C243">
        <v>1</v>
      </c>
      <c r="D243" t="s">
        <v>1057</v>
      </c>
      <c r="E243" t="s">
        <v>1265</v>
      </c>
      <c r="F243">
        <v>6</v>
      </c>
      <c r="H243" t="s">
        <v>1422</v>
      </c>
      <c r="I243" t="s">
        <v>1612</v>
      </c>
      <c r="J243">
        <v>6</v>
      </c>
      <c r="M243" t="s">
        <v>1932</v>
      </c>
      <c r="N243">
        <v>7</v>
      </c>
      <c r="P243" t="s">
        <v>2067</v>
      </c>
      <c r="Q243" t="s">
        <v>2273</v>
      </c>
      <c r="U243" t="s">
        <v>2621</v>
      </c>
      <c r="V243">
        <v>5</v>
      </c>
      <c r="Y243" t="s">
        <v>2931</v>
      </c>
      <c r="AC243" t="s">
        <v>3226</v>
      </c>
      <c r="AD243">
        <v>5</v>
      </c>
      <c r="AF243" t="s">
        <v>3354</v>
      </c>
      <c r="AG243" t="s">
        <v>3488</v>
      </c>
      <c r="AH243">
        <v>6</v>
      </c>
      <c r="AK243" t="s">
        <v>3724</v>
      </c>
      <c r="AL243">
        <v>6</v>
      </c>
      <c r="AO243" t="s">
        <v>4007</v>
      </c>
      <c r="AS243" t="s">
        <v>4287</v>
      </c>
      <c r="AW243" t="s">
        <v>4532</v>
      </c>
      <c r="AX243">
        <v>5</v>
      </c>
      <c r="BA243" t="s">
        <v>4773</v>
      </c>
      <c r="BB243">
        <v>5</v>
      </c>
      <c r="BE243" t="s">
        <v>4948</v>
      </c>
      <c r="BG243" t="s">
        <v>5040</v>
      </c>
      <c r="BH243" t="s">
        <v>5264</v>
      </c>
      <c r="BI243" t="s">
        <v>5513</v>
      </c>
      <c r="BJ243" t="s">
        <v>5786</v>
      </c>
      <c r="BK243" t="s">
        <v>6068</v>
      </c>
      <c r="BL243" t="s">
        <v>6248</v>
      </c>
      <c r="BM243" t="s">
        <v>6414</v>
      </c>
      <c r="BN243" t="s">
        <v>6588</v>
      </c>
      <c r="BO243" t="s">
        <v>6750</v>
      </c>
      <c r="BP243" t="s">
        <v>6816</v>
      </c>
      <c r="BT243" t="s">
        <v>7059</v>
      </c>
      <c r="BU243" t="s">
        <v>7185</v>
      </c>
      <c r="BV243" t="s">
        <v>7286</v>
      </c>
      <c r="BW243" t="s">
        <v>7462</v>
      </c>
      <c r="BX243" t="s">
        <v>7593</v>
      </c>
      <c r="BZ243">
        <v>0</v>
      </c>
      <c r="CA243">
        <v>0</v>
      </c>
      <c r="CE243" t="s">
        <v>8045</v>
      </c>
      <c r="CF243" s="144">
        <v>43970.708634259259</v>
      </c>
      <c r="CG243" s="144">
        <v>43970.717442129629</v>
      </c>
      <c r="CH243" s="24" t="s">
        <v>8373</v>
      </c>
    </row>
    <row r="244" spans="1:86" ht="15" hidden="1" customHeight="1" x14ac:dyDescent="0.35">
      <c r="A244" t="s">
        <v>775</v>
      </c>
      <c r="B244">
        <v>1</v>
      </c>
      <c r="C244">
        <v>1</v>
      </c>
      <c r="D244" t="s">
        <v>1057</v>
      </c>
      <c r="E244" t="s">
        <v>1265</v>
      </c>
      <c r="F244">
        <v>4</v>
      </c>
      <c r="I244" t="s">
        <v>1612</v>
      </c>
      <c r="J244">
        <v>2</v>
      </c>
      <c r="M244" t="s">
        <v>1932</v>
      </c>
      <c r="N244">
        <v>7</v>
      </c>
      <c r="Q244" t="s">
        <v>2274</v>
      </c>
      <c r="S244">
        <v>5</v>
      </c>
      <c r="U244" t="s">
        <v>2621</v>
      </c>
      <c r="V244">
        <v>5</v>
      </c>
      <c r="Y244" t="s">
        <v>2931</v>
      </c>
      <c r="Z244">
        <v>7</v>
      </c>
      <c r="AC244" t="s">
        <v>3227</v>
      </c>
      <c r="AG244" t="s">
        <v>3488</v>
      </c>
      <c r="AH244">
        <v>5</v>
      </c>
      <c r="AK244" t="s">
        <v>3724</v>
      </c>
      <c r="AL244">
        <v>6</v>
      </c>
      <c r="AO244" t="s">
        <v>4008</v>
      </c>
      <c r="AP244">
        <v>7</v>
      </c>
      <c r="AS244" t="s">
        <v>4287</v>
      </c>
      <c r="AW244" t="s">
        <v>4533</v>
      </c>
      <c r="AY244">
        <v>2</v>
      </c>
      <c r="BA244" t="s">
        <v>4774</v>
      </c>
      <c r="BC244">
        <v>2</v>
      </c>
      <c r="BE244" t="s">
        <v>4948</v>
      </c>
      <c r="BG244" t="s">
        <v>5040</v>
      </c>
      <c r="BH244" t="s">
        <v>5265</v>
      </c>
      <c r="BI244" t="s">
        <v>5514</v>
      </c>
      <c r="BJ244" t="s">
        <v>5787</v>
      </c>
      <c r="BK244" t="s">
        <v>6069</v>
      </c>
      <c r="BL244" t="s">
        <v>6249</v>
      </c>
      <c r="BM244" t="s">
        <v>6414</v>
      </c>
      <c r="BN244" t="s">
        <v>6589</v>
      </c>
      <c r="BO244" t="s">
        <v>6751</v>
      </c>
      <c r="BP244" t="s">
        <v>6816</v>
      </c>
      <c r="BT244" t="s">
        <v>7059</v>
      </c>
      <c r="BU244" t="s">
        <v>7185</v>
      </c>
      <c r="BV244" t="s">
        <v>7287</v>
      </c>
      <c r="BW244" t="s">
        <v>7463</v>
      </c>
      <c r="BX244" t="s">
        <v>7593</v>
      </c>
      <c r="BZ244">
        <v>0</v>
      </c>
      <c r="CA244">
        <v>0</v>
      </c>
      <c r="CE244" t="s">
        <v>8045</v>
      </c>
      <c r="CF244" s="144">
        <v>43970.643634259257</v>
      </c>
      <c r="CG244" s="144">
        <v>43970.665173611109</v>
      </c>
      <c r="CH244" t="s">
        <v>8374</v>
      </c>
    </row>
    <row r="245" spans="1:86" ht="15" hidden="1" customHeight="1" x14ac:dyDescent="0.35">
      <c r="A245" t="s">
        <v>776</v>
      </c>
      <c r="B245">
        <v>1</v>
      </c>
      <c r="C245">
        <v>1</v>
      </c>
      <c r="D245" t="s">
        <v>1057</v>
      </c>
      <c r="E245" t="s">
        <v>1265</v>
      </c>
      <c r="F245">
        <v>4</v>
      </c>
      <c r="I245" t="s">
        <v>1612</v>
      </c>
      <c r="J245">
        <v>3</v>
      </c>
      <c r="M245" t="s">
        <v>1932</v>
      </c>
      <c r="N245">
        <v>6</v>
      </c>
      <c r="Q245" t="s">
        <v>2274</v>
      </c>
      <c r="S245">
        <v>3</v>
      </c>
      <c r="U245" t="s">
        <v>2621</v>
      </c>
      <c r="V245">
        <v>6</v>
      </c>
      <c r="Y245" t="s">
        <v>2931</v>
      </c>
      <c r="Z245">
        <v>5</v>
      </c>
      <c r="AC245" t="s">
        <v>3228</v>
      </c>
      <c r="AD245">
        <v>6</v>
      </c>
      <c r="AG245" t="s">
        <v>3488</v>
      </c>
      <c r="AH245">
        <v>5</v>
      </c>
      <c r="AK245" t="s">
        <v>3725</v>
      </c>
      <c r="AO245" t="s">
        <v>4009</v>
      </c>
      <c r="AS245" t="s">
        <v>4287</v>
      </c>
      <c r="AW245" t="s">
        <v>4533</v>
      </c>
      <c r="AY245">
        <v>3</v>
      </c>
      <c r="BA245" t="s">
        <v>4774</v>
      </c>
      <c r="BC245">
        <v>4</v>
      </c>
      <c r="BE245" t="s">
        <v>4948</v>
      </c>
      <c r="BG245" t="s">
        <v>5040</v>
      </c>
      <c r="BH245" t="s">
        <v>5266</v>
      </c>
      <c r="BI245" t="s">
        <v>5515</v>
      </c>
      <c r="BJ245" t="s">
        <v>5788</v>
      </c>
      <c r="BK245" t="s">
        <v>6070</v>
      </c>
      <c r="BL245" t="s">
        <v>6250</v>
      </c>
      <c r="BM245" t="s">
        <v>6414</v>
      </c>
      <c r="BN245" t="s">
        <v>6590</v>
      </c>
      <c r="BO245" t="s">
        <v>6751</v>
      </c>
      <c r="BP245" t="s">
        <v>6817</v>
      </c>
      <c r="BQ245" t="s">
        <v>6843</v>
      </c>
      <c r="BR245" t="s">
        <v>6859</v>
      </c>
      <c r="BS245" t="s">
        <v>6875</v>
      </c>
      <c r="BT245" t="s">
        <v>7060</v>
      </c>
      <c r="BU245" t="s">
        <v>7185</v>
      </c>
      <c r="BV245" t="s">
        <v>7288</v>
      </c>
      <c r="BW245" t="s">
        <v>7464</v>
      </c>
      <c r="BX245" t="s">
        <v>7593</v>
      </c>
      <c r="BZ245">
        <v>1</v>
      </c>
      <c r="CA245">
        <v>0</v>
      </c>
      <c r="CE245" t="s">
        <v>8045</v>
      </c>
      <c r="CF245" s="144">
        <v>43970.627303240741</v>
      </c>
      <c r="CG245" s="144">
        <v>43970.633981481478</v>
      </c>
      <c r="CH245" t="s">
        <v>8375</v>
      </c>
    </row>
    <row r="246" spans="1:86" ht="15" hidden="1" customHeight="1" x14ac:dyDescent="0.35">
      <c r="A246" t="s">
        <v>777</v>
      </c>
      <c r="B246">
        <v>1</v>
      </c>
      <c r="C246">
        <v>1</v>
      </c>
      <c r="D246" t="s">
        <v>1057</v>
      </c>
      <c r="E246" t="s">
        <v>1266</v>
      </c>
      <c r="I246" t="s">
        <v>1612</v>
      </c>
      <c r="J246">
        <v>6</v>
      </c>
      <c r="L246" t="s">
        <v>1771</v>
      </c>
      <c r="M246" t="s">
        <v>1932</v>
      </c>
      <c r="N246">
        <v>5</v>
      </c>
      <c r="P246" t="s">
        <v>2068</v>
      </c>
      <c r="Q246" t="s">
        <v>2275</v>
      </c>
      <c r="R246">
        <v>6</v>
      </c>
      <c r="T246" t="s">
        <v>2434</v>
      </c>
      <c r="U246" t="s">
        <v>2621</v>
      </c>
      <c r="V246">
        <v>5</v>
      </c>
      <c r="Y246" t="s">
        <v>2932</v>
      </c>
      <c r="AA246">
        <v>5</v>
      </c>
      <c r="AC246" t="s">
        <v>3228</v>
      </c>
      <c r="AD246">
        <v>7</v>
      </c>
      <c r="AG246" t="s">
        <v>3489</v>
      </c>
      <c r="AK246" t="s">
        <v>3725</v>
      </c>
      <c r="AO246" t="s">
        <v>4010</v>
      </c>
      <c r="AQ246">
        <v>7</v>
      </c>
      <c r="AR246" t="s">
        <v>4131</v>
      </c>
      <c r="AS246" t="s">
        <v>4287</v>
      </c>
      <c r="AW246" t="s">
        <v>4533</v>
      </c>
      <c r="AY246">
        <v>7</v>
      </c>
      <c r="BA246" t="s">
        <v>4774</v>
      </c>
      <c r="BC246">
        <v>7</v>
      </c>
      <c r="BE246" t="s">
        <v>4948</v>
      </c>
      <c r="BG246" t="s">
        <v>5040</v>
      </c>
      <c r="BH246" t="s">
        <v>5266</v>
      </c>
      <c r="BI246" t="s">
        <v>5516</v>
      </c>
      <c r="BJ246" t="s">
        <v>5788</v>
      </c>
      <c r="BK246" t="s">
        <v>6071</v>
      </c>
      <c r="BL246" t="s">
        <v>6250</v>
      </c>
      <c r="BM246" t="s">
        <v>6414</v>
      </c>
      <c r="BN246" t="s">
        <v>6591</v>
      </c>
      <c r="BO246" t="s">
        <v>6751</v>
      </c>
      <c r="BP246" t="s">
        <v>6818</v>
      </c>
      <c r="BT246" t="s">
        <v>7061</v>
      </c>
      <c r="BU246" t="s">
        <v>7185</v>
      </c>
      <c r="BV246" t="s">
        <v>7289</v>
      </c>
      <c r="BW246" t="s">
        <v>7464</v>
      </c>
      <c r="BX246" t="s">
        <v>7593</v>
      </c>
      <c r="BZ246">
        <v>1</v>
      </c>
      <c r="CA246">
        <v>0</v>
      </c>
      <c r="CE246" t="s">
        <v>8046</v>
      </c>
      <c r="CF246" s="144">
        <v>43970.606770833336</v>
      </c>
      <c r="CG246" s="144">
        <v>43970.613819444443</v>
      </c>
      <c r="CH246" t="s">
        <v>8376</v>
      </c>
    </row>
    <row r="247" spans="1:86" ht="15" hidden="1" customHeight="1" x14ac:dyDescent="0.35">
      <c r="A247" t="s">
        <v>778</v>
      </c>
      <c r="B247">
        <v>1</v>
      </c>
      <c r="C247">
        <v>1</v>
      </c>
      <c r="D247" t="s">
        <v>1057</v>
      </c>
      <c r="E247" t="s">
        <v>1267</v>
      </c>
      <c r="F247">
        <v>6</v>
      </c>
      <c r="I247" t="s">
        <v>1612</v>
      </c>
      <c r="J247">
        <v>4</v>
      </c>
      <c r="L247" t="s">
        <v>1772</v>
      </c>
      <c r="M247" t="s">
        <v>1933</v>
      </c>
      <c r="Q247" t="s">
        <v>2276</v>
      </c>
      <c r="U247" t="s">
        <v>2622</v>
      </c>
      <c r="Y247" t="s">
        <v>2932</v>
      </c>
      <c r="AA247">
        <v>5</v>
      </c>
      <c r="AC247" t="s">
        <v>3229</v>
      </c>
      <c r="AG247" t="s">
        <v>3489</v>
      </c>
      <c r="AK247" t="s">
        <v>3726</v>
      </c>
      <c r="AL247">
        <v>6</v>
      </c>
      <c r="AN247" t="s">
        <v>3826</v>
      </c>
      <c r="AO247" t="s">
        <v>4011</v>
      </c>
      <c r="AS247" t="s">
        <v>4288</v>
      </c>
      <c r="AT247">
        <v>4</v>
      </c>
      <c r="AV247" t="s">
        <v>4385</v>
      </c>
      <c r="AW247" t="s">
        <v>4534</v>
      </c>
      <c r="BA247" t="s">
        <v>4774</v>
      </c>
      <c r="BC247">
        <v>7</v>
      </c>
      <c r="BD247" t="s">
        <v>4878</v>
      </c>
      <c r="BE247" t="s">
        <v>4948</v>
      </c>
      <c r="BG247" t="s">
        <v>5041</v>
      </c>
      <c r="BH247" t="s">
        <v>5266</v>
      </c>
      <c r="BI247" t="s">
        <v>5517</v>
      </c>
      <c r="BJ247" t="s">
        <v>5789</v>
      </c>
      <c r="BK247" t="s">
        <v>6072</v>
      </c>
      <c r="BL247" t="s">
        <v>6250</v>
      </c>
      <c r="BM247" t="s">
        <v>6414</v>
      </c>
      <c r="BN247" t="s">
        <v>6592</v>
      </c>
      <c r="BO247" t="s">
        <v>6752</v>
      </c>
      <c r="BP247" t="s">
        <v>6818</v>
      </c>
      <c r="BT247" t="s">
        <v>7062</v>
      </c>
      <c r="BU247" t="s">
        <v>7185</v>
      </c>
      <c r="BV247" t="s">
        <v>7290</v>
      </c>
      <c r="BW247" t="s">
        <v>7464</v>
      </c>
      <c r="BX247" t="s">
        <v>7593</v>
      </c>
      <c r="BZ247">
        <v>0</v>
      </c>
      <c r="CA247">
        <v>0</v>
      </c>
      <c r="CE247" t="s">
        <v>8047</v>
      </c>
      <c r="CF247" s="144">
        <v>43970.590370370373</v>
      </c>
      <c r="CG247" s="144">
        <v>43970.598819444444</v>
      </c>
      <c r="CH247" s="24" t="s">
        <v>8377</v>
      </c>
    </row>
    <row r="248" spans="1:86" ht="15" hidden="1" customHeight="1" x14ac:dyDescent="0.35">
      <c r="A248" t="s">
        <v>779</v>
      </c>
      <c r="B248">
        <v>1</v>
      </c>
      <c r="C248">
        <v>1</v>
      </c>
      <c r="D248" t="s">
        <v>1058</v>
      </c>
      <c r="E248" t="s">
        <v>1267</v>
      </c>
      <c r="F248">
        <v>3</v>
      </c>
      <c r="H248" t="s">
        <v>1423</v>
      </c>
      <c r="I248" t="s">
        <v>1612</v>
      </c>
      <c r="J248">
        <v>3</v>
      </c>
      <c r="L248" t="s">
        <v>1773</v>
      </c>
      <c r="M248" t="s">
        <v>1934</v>
      </c>
      <c r="O248">
        <v>5</v>
      </c>
      <c r="P248" t="s">
        <v>2069</v>
      </c>
      <c r="Q248" t="s">
        <v>2277</v>
      </c>
      <c r="R248">
        <v>6</v>
      </c>
      <c r="U248" t="s">
        <v>2623</v>
      </c>
      <c r="W248">
        <v>6</v>
      </c>
      <c r="Y248" t="s">
        <v>2932</v>
      </c>
      <c r="AA248">
        <v>5</v>
      </c>
      <c r="AC248" t="s">
        <v>3230</v>
      </c>
      <c r="AD248">
        <v>6</v>
      </c>
      <c r="AF248" t="s">
        <v>3355</v>
      </c>
      <c r="AG248" t="s">
        <v>3490</v>
      </c>
      <c r="AH248">
        <v>6</v>
      </c>
      <c r="AK248" t="s">
        <v>3727</v>
      </c>
      <c r="AO248" t="s">
        <v>4012</v>
      </c>
      <c r="AQ248">
        <v>5</v>
      </c>
      <c r="AS248" t="s">
        <v>4289</v>
      </c>
      <c r="AW248" t="s">
        <v>4534</v>
      </c>
      <c r="BA248" t="s">
        <v>4775</v>
      </c>
      <c r="BE248" t="s">
        <v>4948</v>
      </c>
      <c r="BG248" t="s">
        <v>5042</v>
      </c>
      <c r="BH248" t="s">
        <v>5267</v>
      </c>
      <c r="BI248" t="s">
        <v>5518</v>
      </c>
      <c r="BJ248" t="s">
        <v>5790</v>
      </c>
      <c r="BK248" t="s">
        <v>6073</v>
      </c>
      <c r="BL248" t="s">
        <v>6251</v>
      </c>
      <c r="BM248" t="s">
        <v>6414</v>
      </c>
      <c r="BN248" t="s">
        <v>6593</v>
      </c>
      <c r="BO248" t="s">
        <v>6753</v>
      </c>
      <c r="BP248" t="s">
        <v>6818</v>
      </c>
      <c r="BT248" t="s">
        <v>7062</v>
      </c>
      <c r="BU248" t="s">
        <v>7185</v>
      </c>
      <c r="BV248" t="s">
        <v>7290</v>
      </c>
      <c r="BW248" t="s">
        <v>7465</v>
      </c>
      <c r="BX248" t="s">
        <v>7593</v>
      </c>
      <c r="BZ248">
        <v>0</v>
      </c>
      <c r="CA248">
        <v>1</v>
      </c>
      <c r="CB248" t="s">
        <v>7677</v>
      </c>
      <c r="CC248" t="s">
        <v>7740</v>
      </c>
      <c r="CD248" t="s">
        <v>7826</v>
      </c>
      <c r="CE248" t="s">
        <v>8047</v>
      </c>
      <c r="CF248" s="144">
        <v>43970.583796296298</v>
      </c>
      <c r="CG248" s="144">
        <v>43970.590289351851</v>
      </c>
      <c r="CH248" t="s">
        <v>8378</v>
      </c>
    </row>
    <row r="249" spans="1:86" ht="15" hidden="1" customHeight="1" x14ac:dyDescent="0.35">
      <c r="A249" t="s">
        <v>780</v>
      </c>
      <c r="B249">
        <v>1</v>
      </c>
      <c r="C249">
        <v>1</v>
      </c>
      <c r="D249" t="s">
        <v>1059</v>
      </c>
      <c r="E249" t="s">
        <v>1268</v>
      </c>
      <c r="I249" t="s">
        <v>1613</v>
      </c>
      <c r="K249">
        <v>7</v>
      </c>
      <c r="L249" t="s">
        <v>1774</v>
      </c>
      <c r="M249" t="s">
        <v>1935</v>
      </c>
      <c r="Q249" t="s">
        <v>2278</v>
      </c>
      <c r="U249" t="s">
        <v>2624</v>
      </c>
      <c r="V249">
        <v>6</v>
      </c>
      <c r="X249" t="s">
        <v>2755</v>
      </c>
      <c r="Y249" t="s">
        <v>2933</v>
      </c>
      <c r="Z249">
        <v>5</v>
      </c>
      <c r="AB249" t="s">
        <v>3062</v>
      </c>
      <c r="AC249" t="s">
        <v>3231</v>
      </c>
      <c r="AE249">
        <v>6</v>
      </c>
      <c r="AF249" t="s">
        <v>3356</v>
      </c>
      <c r="AG249" t="s">
        <v>3491</v>
      </c>
      <c r="AK249" t="s">
        <v>3727</v>
      </c>
      <c r="AO249" t="s">
        <v>4012</v>
      </c>
      <c r="AR249" t="s">
        <v>4132</v>
      </c>
      <c r="AS249" t="s">
        <v>4289</v>
      </c>
      <c r="AW249" t="s">
        <v>4535</v>
      </c>
      <c r="AX249">
        <v>6</v>
      </c>
      <c r="AZ249" t="s">
        <v>4629</v>
      </c>
      <c r="BA249" t="s">
        <v>4776</v>
      </c>
      <c r="BC249">
        <v>6</v>
      </c>
      <c r="BD249" t="s">
        <v>4879</v>
      </c>
      <c r="BE249" t="s">
        <v>4948</v>
      </c>
      <c r="BG249" t="s">
        <v>5042</v>
      </c>
      <c r="BH249" t="s">
        <v>5268</v>
      </c>
      <c r="BI249" t="s">
        <v>5519</v>
      </c>
      <c r="BJ249" t="s">
        <v>5791</v>
      </c>
      <c r="BK249" t="s">
        <v>6073</v>
      </c>
      <c r="BL249" t="s">
        <v>6252</v>
      </c>
      <c r="BM249" t="s">
        <v>6414</v>
      </c>
      <c r="BN249" t="s">
        <v>6593</v>
      </c>
      <c r="BO249" t="s">
        <v>6753</v>
      </c>
      <c r="BP249" t="s">
        <v>6818</v>
      </c>
      <c r="BT249" t="s">
        <v>7062</v>
      </c>
      <c r="BU249" t="s">
        <v>7185</v>
      </c>
      <c r="BV249" t="s">
        <v>7291</v>
      </c>
      <c r="BW249" t="s">
        <v>7466</v>
      </c>
      <c r="BX249" t="s">
        <v>7593</v>
      </c>
      <c r="BZ249">
        <v>1</v>
      </c>
      <c r="CA249">
        <v>0</v>
      </c>
      <c r="CE249" t="s">
        <v>8048</v>
      </c>
      <c r="CF249" s="144">
        <v>43970.557824074072</v>
      </c>
      <c r="CG249" s="144">
        <v>43970.567476851851</v>
      </c>
      <c r="CH249" t="s">
        <v>8379</v>
      </c>
    </row>
    <row r="250" spans="1:86" ht="15" hidden="1" customHeight="1" x14ac:dyDescent="0.35">
      <c r="A250" t="s">
        <v>781</v>
      </c>
      <c r="B250">
        <v>1</v>
      </c>
      <c r="C250">
        <v>1</v>
      </c>
      <c r="D250" t="s">
        <v>1060</v>
      </c>
      <c r="E250" t="s">
        <v>1269</v>
      </c>
      <c r="F250">
        <v>5</v>
      </c>
      <c r="H250" t="s">
        <v>1424</v>
      </c>
      <c r="I250" t="s">
        <v>1614</v>
      </c>
      <c r="J250">
        <v>7</v>
      </c>
      <c r="M250" t="s">
        <v>1936</v>
      </c>
      <c r="N250">
        <v>8</v>
      </c>
      <c r="Q250" t="s">
        <v>2279</v>
      </c>
      <c r="R250">
        <v>5</v>
      </c>
      <c r="U250" t="s">
        <v>2624</v>
      </c>
      <c r="V250">
        <v>5</v>
      </c>
      <c r="Y250" t="s">
        <v>2933</v>
      </c>
      <c r="Z250">
        <v>4</v>
      </c>
      <c r="AC250" t="s">
        <v>3232</v>
      </c>
      <c r="AD250">
        <v>8</v>
      </c>
      <c r="AF250" t="s">
        <v>3357</v>
      </c>
      <c r="AG250" t="s">
        <v>3491</v>
      </c>
      <c r="AK250" t="s">
        <v>3728</v>
      </c>
      <c r="AM250">
        <v>8</v>
      </c>
      <c r="AO250" t="s">
        <v>4013</v>
      </c>
      <c r="AS250" t="s">
        <v>4290</v>
      </c>
      <c r="AT250">
        <v>6</v>
      </c>
      <c r="AV250" t="s">
        <v>4386</v>
      </c>
      <c r="AW250" t="s">
        <v>4536</v>
      </c>
      <c r="AY250">
        <v>6</v>
      </c>
      <c r="BA250" t="s">
        <v>4776</v>
      </c>
      <c r="BC250">
        <v>8</v>
      </c>
      <c r="BD250" t="s">
        <v>4880</v>
      </c>
      <c r="BG250" t="s">
        <v>5042</v>
      </c>
      <c r="BH250" t="s">
        <v>5268</v>
      </c>
      <c r="BI250" t="s">
        <v>5520</v>
      </c>
      <c r="BJ250" t="s">
        <v>5792</v>
      </c>
      <c r="BK250" t="s">
        <v>6074</v>
      </c>
      <c r="BL250" t="s">
        <v>6252</v>
      </c>
      <c r="BM250" t="s">
        <v>6414</v>
      </c>
      <c r="BN250" t="s">
        <v>6594</v>
      </c>
      <c r="BO250" t="s">
        <v>6754</v>
      </c>
      <c r="BP250" t="s">
        <v>6818</v>
      </c>
      <c r="BT250" t="s">
        <v>7063</v>
      </c>
      <c r="BU250" t="s">
        <v>7185</v>
      </c>
      <c r="BV250" t="s">
        <v>7291</v>
      </c>
      <c r="BW250" t="s">
        <v>7466</v>
      </c>
      <c r="BX250" t="s">
        <v>7594</v>
      </c>
      <c r="BZ250">
        <v>0</v>
      </c>
      <c r="CA250">
        <v>0</v>
      </c>
      <c r="CE250" t="s">
        <v>8049</v>
      </c>
      <c r="CF250" s="144">
        <v>43970.558854166666</v>
      </c>
      <c r="CG250" s="144">
        <v>43970.565636574072</v>
      </c>
      <c r="CH250" t="s">
        <v>8380</v>
      </c>
    </row>
    <row r="251" spans="1:86" ht="15" hidden="1" customHeight="1" x14ac:dyDescent="0.35">
      <c r="A251" t="s">
        <v>782</v>
      </c>
      <c r="B251">
        <v>1</v>
      </c>
      <c r="C251">
        <v>1</v>
      </c>
      <c r="D251" t="s">
        <v>1061</v>
      </c>
      <c r="E251" t="s">
        <v>1270</v>
      </c>
      <c r="I251" t="s">
        <v>1615</v>
      </c>
      <c r="M251" t="s">
        <v>1936</v>
      </c>
      <c r="N251">
        <v>5</v>
      </c>
      <c r="Q251" t="s">
        <v>2280</v>
      </c>
      <c r="S251">
        <v>8</v>
      </c>
      <c r="U251" t="s">
        <v>2624</v>
      </c>
      <c r="V251">
        <v>6</v>
      </c>
      <c r="Y251" t="s">
        <v>2933</v>
      </c>
      <c r="Z251">
        <v>8</v>
      </c>
      <c r="AC251" t="s">
        <v>3233</v>
      </c>
      <c r="AG251" t="s">
        <v>3492</v>
      </c>
      <c r="AH251">
        <v>6</v>
      </c>
      <c r="AK251" t="s">
        <v>3729</v>
      </c>
      <c r="AL251">
        <v>7</v>
      </c>
      <c r="AO251" t="s">
        <v>4014</v>
      </c>
      <c r="AQ251">
        <v>8</v>
      </c>
      <c r="AS251" t="s">
        <v>4290</v>
      </c>
      <c r="AT251">
        <v>8</v>
      </c>
      <c r="AW251" t="s">
        <v>4537</v>
      </c>
      <c r="AX251">
        <v>8</v>
      </c>
      <c r="BA251" t="s">
        <v>4776</v>
      </c>
      <c r="BC251">
        <v>6</v>
      </c>
      <c r="BE251" t="s">
        <v>4948</v>
      </c>
      <c r="BG251" t="s">
        <v>5042</v>
      </c>
      <c r="BH251" t="s">
        <v>5269</v>
      </c>
      <c r="BI251" t="s">
        <v>5521</v>
      </c>
      <c r="BJ251" t="s">
        <v>5793</v>
      </c>
      <c r="BK251" t="s">
        <v>6075</v>
      </c>
      <c r="BL251" t="s">
        <v>6252</v>
      </c>
      <c r="BM251" t="s">
        <v>6414</v>
      </c>
      <c r="BN251" t="s">
        <v>6595</v>
      </c>
      <c r="BO251" t="s">
        <v>6755</v>
      </c>
      <c r="BP251" t="s">
        <v>6818</v>
      </c>
      <c r="BT251" t="s">
        <v>7064</v>
      </c>
      <c r="BU251" t="s">
        <v>7185</v>
      </c>
      <c r="BV251" t="s">
        <v>7292</v>
      </c>
      <c r="BW251" t="s">
        <v>7466</v>
      </c>
      <c r="BX251" t="s">
        <v>7595</v>
      </c>
      <c r="BZ251">
        <v>0</v>
      </c>
      <c r="CA251">
        <v>0</v>
      </c>
      <c r="CE251" t="s">
        <v>8050</v>
      </c>
      <c r="CF251" s="144">
        <v>43970.557928240742</v>
      </c>
      <c r="CG251" s="144">
        <v>43970.562303240738</v>
      </c>
      <c r="CH251" t="s">
        <v>8381</v>
      </c>
    </row>
    <row r="252" spans="1:86" ht="15" hidden="1" customHeight="1" x14ac:dyDescent="0.35">
      <c r="A252" t="s">
        <v>783</v>
      </c>
      <c r="B252">
        <v>1</v>
      </c>
      <c r="C252">
        <v>1</v>
      </c>
      <c r="D252" t="s">
        <v>1061</v>
      </c>
      <c r="E252" t="s">
        <v>1270</v>
      </c>
      <c r="I252" t="s">
        <v>1616</v>
      </c>
      <c r="J252">
        <v>7</v>
      </c>
      <c r="L252" t="s">
        <v>1775</v>
      </c>
      <c r="M252" t="s">
        <v>1936</v>
      </c>
      <c r="N252">
        <v>7</v>
      </c>
      <c r="P252" t="s">
        <v>2070</v>
      </c>
      <c r="Q252" t="s">
        <v>2280</v>
      </c>
      <c r="S252">
        <v>6</v>
      </c>
      <c r="T252" t="s">
        <v>2435</v>
      </c>
      <c r="U252" t="s">
        <v>2624</v>
      </c>
      <c r="V252">
        <v>7</v>
      </c>
      <c r="X252" t="s">
        <v>2756</v>
      </c>
      <c r="Y252" t="s">
        <v>2933</v>
      </c>
      <c r="Z252">
        <v>8</v>
      </c>
      <c r="AB252" t="s">
        <v>3063</v>
      </c>
      <c r="AC252" t="s">
        <v>3233</v>
      </c>
      <c r="AG252" t="s">
        <v>3493</v>
      </c>
      <c r="AK252" t="s">
        <v>3729</v>
      </c>
      <c r="AL252">
        <v>7</v>
      </c>
      <c r="AN252" t="s">
        <v>3827</v>
      </c>
      <c r="AO252" t="s">
        <v>4015</v>
      </c>
      <c r="AS252" t="s">
        <v>4290</v>
      </c>
      <c r="AT252">
        <v>8</v>
      </c>
      <c r="AV252" t="s">
        <v>4387</v>
      </c>
      <c r="AW252" t="s">
        <v>4538</v>
      </c>
      <c r="BA252" t="s">
        <v>4776</v>
      </c>
      <c r="BC252">
        <v>7</v>
      </c>
      <c r="BD252" t="s">
        <v>4881</v>
      </c>
      <c r="BE252" t="s">
        <v>4948</v>
      </c>
      <c r="BG252" t="s">
        <v>5042</v>
      </c>
      <c r="BH252" t="s">
        <v>5269</v>
      </c>
      <c r="BI252" t="s">
        <v>5521</v>
      </c>
      <c r="BJ252" t="s">
        <v>5794</v>
      </c>
      <c r="BK252" t="s">
        <v>6076</v>
      </c>
      <c r="BL252" t="s">
        <v>6252</v>
      </c>
      <c r="BM252" t="s">
        <v>6414</v>
      </c>
      <c r="BN252" t="s">
        <v>6595</v>
      </c>
      <c r="BO252" t="s">
        <v>6755</v>
      </c>
      <c r="BP252" t="s">
        <v>6818</v>
      </c>
      <c r="BT252" t="s">
        <v>7065</v>
      </c>
      <c r="BU252" t="s">
        <v>7185</v>
      </c>
      <c r="BV252" t="s">
        <v>7293</v>
      </c>
      <c r="BW252" t="s">
        <v>7466</v>
      </c>
      <c r="BX252" t="s">
        <v>7595</v>
      </c>
      <c r="BZ252">
        <v>1</v>
      </c>
      <c r="CA252">
        <v>0</v>
      </c>
      <c r="CE252" t="s">
        <v>8051</v>
      </c>
      <c r="CF252" s="144">
        <v>43970.549525462964</v>
      </c>
      <c r="CG252" s="144">
        <v>43970.556608796294</v>
      </c>
      <c r="CH252" t="s">
        <v>8382</v>
      </c>
    </row>
    <row r="253" spans="1:86" ht="15" hidden="1" customHeight="1" x14ac:dyDescent="0.35">
      <c r="A253" t="s">
        <v>784</v>
      </c>
      <c r="B253">
        <v>1</v>
      </c>
      <c r="C253">
        <v>1</v>
      </c>
      <c r="D253" t="s">
        <v>1062</v>
      </c>
      <c r="E253" t="s">
        <v>1270</v>
      </c>
      <c r="I253" t="s">
        <v>1617</v>
      </c>
      <c r="M253" t="s">
        <v>1936</v>
      </c>
      <c r="N253">
        <v>7</v>
      </c>
      <c r="Q253" t="s">
        <v>2280</v>
      </c>
      <c r="S253">
        <v>5</v>
      </c>
      <c r="U253" t="s">
        <v>2625</v>
      </c>
      <c r="Y253" t="s">
        <v>2933</v>
      </c>
      <c r="Z253">
        <v>5</v>
      </c>
      <c r="AC253" t="s">
        <v>3234</v>
      </c>
      <c r="AE253">
        <v>6</v>
      </c>
      <c r="AF253" t="s">
        <v>3358</v>
      </c>
      <c r="AG253" t="s">
        <v>3494</v>
      </c>
      <c r="AH253">
        <v>7</v>
      </c>
      <c r="AK253" t="s">
        <v>3729</v>
      </c>
      <c r="AL253">
        <v>8</v>
      </c>
      <c r="AO253" t="s">
        <v>4016</v>
      </c>
      <c r="AQ253">
        <v>7</v>
      </c>
      <c r="AS253" t="s">
        <v>4290</v>
      </c>
      <c r="AT253">
        <v>7</v>
      </c>
      <c r="AV253" t="s">
        <v>4388</v>
      </c>
      <c r="AW253" t="s">
        <v>4539</v>
      </c>
      <c r="AX253">
        <v>7</v>
      </c>
      <c r="BA253" t="s">
        <v>4777</v>
      </c>
      <c r="BB253">
        <v>5</v>
      </c>
      <c r="BE253" t="s">
        <v>4948</v>
      </c>
      <c r="BG253" t="s">
        <v>5042</v>
      </c>
      <c r="BH253" t="s">
        <v>5270</v>
      </c>
      <c r="BI253" t="s">
        <v>5522</v>
      </c>
      <c r="BJ253" t="s">
        <v>5795</v>
      </c>
      <c r="BK253" t="s">
        <v>6077</v>
      </c>
      <c r="BL253" t="s">
        <v>6252</v>
      </c>
      <c r="BM253" t="s">
        <v>6414</v>
      </c>
      <c r="BN253" t="s">
        <v>6596</v>
      </c>
      <c r="BO253" t="s">
        <v>6756</v>
      </c>
      <c r="BP253" t="s">
        <v>6818</v>
      </c>
      <c r="BT253" t="s">
        <v>7065</v>
      </c>
      <c r="BU253" t="s">
        <v>7185</v>
      </c>
      <c r="BV253" t="s">
        <v>7294</v>
      </c>
      <c r="BW253" t="s">
        <v>7466</v>
      </c>
      <c r="BX253" t="s">
        <v>7595</v>
      </c>
      <c r="BZ253">
        <v>0</v>
      </c>
      <c r="CA253">
        <v>0</v>
      </c>
      <c r="CE253" t="s">
        <v>8051</v>
      </c>
      <c r="CF253" s="144">
        <v>43970.545810185184</v>
      </c>
      <c r="CG253" s="144">
        <v>43970.556469907409</v>
      </c>
      <c r="CH253" s="24" t="s">
        <v>8383</v>
      </c>
    </row>
    <row r="254" spans="1:86" ht="15" hidden="1" customHeight="1" x14ac:dyDescent="0.35">
      <c r="A254" t="s">
        <v>785</v>
      </c>
      <c r="B254">
        <v>1</v>
      </c>
      <c r="C254">
        <v>1</v>
      </c>
      <c r="D254" t="s">
        <v>1062</v>
      </c>
      <c r="E254" t="s">
        <v>1271</v>
      </c>
      <c r="F254">
        <v>6</v>
      </c>
      <c r="H254" t="s">
        <v>1425</v>
      </c>
      <c r="I254" t="s">
        <v>1617</v>
      </c>
      <c r="M254" t="s">
        <v>1937</v>
      </c>
      <c r="Q254" t="s">
        <v>2280</v>
      </c>
      <c r="S254">
        <v>6</v>
      </c>
      <c r="T254" t="s">
        <v>2436</v>
      </c>
      <c r="U254" t="s">
        <v>2625</v>
      </c>
      <c r="Y254" t="s">
        <v>2933</v>
      </c>
      <c r="Z254">
        <v>6</v>
      </c>
      <c r="AB254" t="s">
        <v>3064</v>
      </c>
      <c r="AC254" t="s">
        <v>3235</v>
      </c>
      <c r="AG254" t="s">
        <v>3495</v>
      </c>
      <c r="AK254" t="s">
        <v>3730</v>
      </c>
      <c r="AO254" t="s">
        <v>4017</v>
      </c>
      <c r="AS254" t="s">
        <v>4290</v>
      </c>
      <c r="AT254">
        <v>7</v>
      </c>
      <c r="AV254" t="s">
        <v>4389</v>
      </c>
      <c r="AW254" t="s">
        <v>4540</v>
      </c>
      <c r="BA254" t="s">
        <v>4778</v>
      </c>
      <c r="BC254">
        <v>7</v>
      </c>
      <c r="BD254" t="s">
        <v>4882</v>
      </c>
      <c r="BE254" t="s">
        <v>4948</v>
      </c>
      <c r="BG254" t="s">
        <v>5042</v>
      </c>
      <c r="BH254" t="s">
        <v>5271</v>
      </c>
      <c r="BI254" t="s">
        <v>5522</v>
      </c>
      <c r="BJ254" t="s">
        <v>5796</v>
      </c>
      <c r="BK254" t="s">
        <v>6077</v>
      </c>
      <c r="BL254" t="s">
        <v>6252</v>
      </c>
      <c r="BM254" t="s">
        <v>6414</v>
      </c>
      <c r="BN254" t="s">
        <v>6597</v>
      </c>
      <c r="BO254" t="s">
        <v>6757</v>
      </c>
      <c r="BP254" t="s">
        <v>6818</v>
      </c>
      <c r="BT254" t="s">
        <v>7065</v>
      </c>
      <c r="BU254" t="s">
        <v>7185</v>
      </c>
      <c r="BV254" t="s">
        <v>7295</v>
      </c>
      <c r="BW254" t="s">
        <v>7466</v>
      </c>
      <c r="BX254" t="s">
        <v>7595</v>
      </c>
      <c r="BZ254">
        <v>0</v>
      </c>
      <c r="CA254">
        <v>0</v>
      </c>
      <c r="CE254" t="s">
        <v>8051</v>
      </c>
      <c r="CF254" s="144">
        <v>43970.549479166664</v>
      </c>
      <c r="CG254" s="144">
        <v>43970.556157407409</v>
      </c>
      <c r="CH254" t="s">
        <v>8384</v>
      </c>
    </row>
    <row r="255" spans="1:86" ht="15" hidden="1" customHeight="1" x14ac:dyDescent="0.35">
      <c r="A255" t="s">
        <v>786</v>
      </c>
      <c r="B255">
        <v>1</v>
      </c>
      <c r="C255">
        <v>1</v>
      </c>
      <c r="D255" t="s">
        <v>1063</v>
      </c>
      <c r="E255" t="s">
        <v>1271</v>
      </c>
      <c r="F255">
        <v>6</v>
      </c>
      <c r="I255" t="s">
        <v>1617</v>
      </c>
      <c r="M255" t="s">
        <v>1937</v>
      </c>
      <c r="Q255" t="s">
        <v>2280</v>
      </c>
      <c r="S255">
        <v>7</v>
      </c>
      <c r="U255" t="s">
        <v>2626</v>
      </c>
      <c r="V255">
        <v>6</v>
      </c>
      <c r="Y255" t="s">
        <v>2933</v>
      </c>
      <c r="Z255">
        <v>7</v>
      </c>
      <c r="AC255" t="s">
        <v>3235</v>
      </c>
      <c r="AG255" t="s">
        <v>3495</v>
      </c>
      <c r="AK255" t="s">
        <v>3730</v>
      </c>
      <c r="AO255" t="s">
        <v>4017</v>
      </c>
      <c r="AS255" t="s">
        <v>4290</v>
      </c>
      <c r="AT255">
        <v>5</v>
      </c>
      <c r="AW255" t="s">
        <v>4541</v>
      </c>
      <c r="AY255">
        <v>5</v>
      </c>
      <c r="BA255" t="s">
        <v>4779</v>
      </c>
      <c r="BE255" t="s">
        <v>4948</v>
      </c>
      <c r="BG255" t="s">
        <v>5042</v>
      </c>
      <c r="BH255" t="s">
        <v>5271</v>
      </c>
      <c r="BI255" t="s">
        <v>5523</v>
      </c>
      <c r="BJ255" t="s">
        <v>5797</v>
      </c>
      <c r="BK255" t="s">
        <v>6078</v>
      </c>
      <c r="BL255" t="s">
        <v>6252</v>
      </c>
      <c r="BM255" t="s">
        <v>6414</v>
      </c>
      <c r="BN255" t="s">
        <v>6597</v>
      </c>
      <c r="BO255" t="s">
        <v>6757</v>
      </c>
      <c r="BP255" t="s">
        <v>6818</v>
      </c>
      <c r="BT255" t="s">
        <v>7065</v>
      </c>
      <c r="BU255" t="s">
        <v>7185</v>
      </c>
      <c r="BV255" t="s">
        <v>7296</v>
      </c>
      <c r="BW255" t="s">
        <v>7466</v>
      </c>
      <c r="BX255" t="s">
        <v>7595</v>
      </c>
      <c r="BZ255">
        <v>0</v>
      </c>
      <c r="CA255">
        <v>0</v>
      </c>
      <c r="CE255" t="s">
        <v>8051</v>
      </c>
      <c r="CF255" s="144">
        <v>43970.549247685187</v>
      </c>
      <c r="CG255" s="144">
        <v>43970.555439814816</v>
      </c>
      <c r="CH255" t="s">
        <v>8385</v>
      </c>
    </row>
    <row r="256" spans="1:86" ht="15" hidden="1" customHeight="1" x14ac:dyDescent="0.35">
      <c r="A256" t="s">
        <v>787</v>
      </c>
      <c r="B256">
        <v>1</v>
      </c>
      <c r="C256">
        <v>1</v>
      </c>
      <c r="D256" t="s">
        <v>1063</v>
      </c>
      <c r="E256" t="s">
        <v>1272</v>
      </c>
      <c r="I256" t="s">
        <v>1618</v>
      </c>
      <c r="J256">
        <v>5</v>
      </c>
      <c r="M256" t="s">
        <v>1938</v>
      </c>
      <c r="N256">
        <v>5</v>
      </c>
      <c r="Q256" t="s">
        <v>2281</v>
      </c>
      <c r="U256" t="s">
        <v>2627</v>
      </c>
      <c r="W256">
        <v>4</v>
      </c>
      <c r="Y256" t="s">
        <v>2934</v>
      </c>
      <c r="AC256" t="s">
        <v>3235</v>
      </c>
      <c r="AG256" t="s">
        <v>3495</v>
      </c>
      <c r="AK256" t="s">
        <v>3730</v>
      </c>
      <c r="AO256" t="s">
        <v>4018</v>
      </c>
      <c r="AQ256">
        <v>5</v>
      </c>
      <c r="AS256" t="s">
        <v>4290</v>
      </c>
      <c r="AT256">
        <v>6</v>
      </c>
      <c r="AW256" t="s">
        <v>4542</v>
      </c>
      <c r="BA256" t="s">
        <v>4780</v>
      </c>
      <c r="BC256">
        <v>6</v>
      </c>
      <c r="BE256" t="s">
        <v>4948</v>
      </c>
      <c r="BG256" t="s">
        <v>5042</v>
      </c>
      <c r="BH256" t="s">
        <v>5271</v>
      </c>
      <c r="BI256" t="s">
        <v>5523</v>
      </c>
      <c r="BJ256" t="s">
        <v>5798</v>
      </c>
      <c r="BK256" t="s">
        <v>6079</v>
      </c>
      <c r="BL256" t="s">
        <v>6253</v>
      </c>
      <c r="BM256" t="s">
        <v>6415</v>
      </c>
      <c r="BN256" t="s">
        <v>6597</v>
      </c>
      <c r="BO256" t="s">
        <v>6757</v>
      </c>
      <c r="BP256" t="s">
        <v>6818</v>
      </c>
      <c r="BT256" t="s">
        <v>7065</v>
      </c>
      <c r="BU256" t="s">
        <v>7186</v>
      </c>
      <c r="BV256" t="s">
        <v>7297</v>
      </c>
      <c r="BW256" t="s">
        <v>7466</v>
      </c>
      <c r="BX256" t="s">
        <v>7596</v>
      </c>
      <c r="BZ256">
        <v>1</v>
      </c>
      <c r="CA256">
        <v>0</v>
      </c>
      <c r="CE256" t="s">
        <v>8051</v>
      </c>
      <c r="CF256" s="144">
        <v>43970.475023148145</v>
      </c>
      <c r="CG256" s="144">
        <v>43970.479467592595</v>
      </c>
      <c r="CH256" t="s">
        <v>8386</v>
      </c>
    </row>
    <row r="257" spans="1:86" ht="15" hidden="1" customHeight="1" x14ac:dyDescent="0.35">
      <c r="A257" t="s">
        <v>788</v>
      </c>
      <c r="B257">
        <v>1</v>
      </c>
      <c r="C257">
        <v>1</v>
      </c>
      <c r="D257" t="s">
        <v>1064</v>
      </c>
      <c r="E257" t="s">
        <v>1273</v>
      </c>
      <c r="F257">
        <v>8</v>
      </c>
      <c r="I257" t="s">
        <v>1619</v>
      </c>
      <c r="K257">
        <v>8</v>
      </c>
      <c r="M257" t="s">
        <v>1938</v>
      </c>
      <c r="N257">
        <v>8</v>
      </c>
      <c r="Q257" t="s">
        <v>2282</v>
      </c>
      <c r="S257">
        <v>8</v>
      </c>
      <c r="U257" t="s">
        <v>2628</v>
      </c>
      <c r="V257">
        <v>8</v>
      </c>
      <c r="Y257" t="s">
        <v>2935</v>
      </c>
      <c r="Z257">
        <v>8</v>
      </c>
      <c r="AC257" t="s">
        <v>3236</v>
      </c>
      <c r="AD257">
        <v>8</v>
      </c>
      <c r="AG257" t="s">
        <v>3496</v>
      </c>
      <c r="AH257">
        <v>8</v>
      </c>
      <c r="AK257" t="s">
        <v>3730</v>
      </c>
      <c r="AO257" t="s">
        <v>4019</v>
      </c>
      <c r="AS257" t="s">
        <v>4291</v>
      </c>
      <c r="AW257" t="s">
        <v>4542</v>
      </c>
      <c r="BA257" t="s">
        <v>4781</v>
      </c>
      <c r="BE257" t="s">
        <v>4948</v>
      </c>
      <c r="BG257" t="s">
        <v>5042</v>
      </c>
      <c r="BH257" t="s">
        <v>5272</v>
      </c>
      <c r="BI257" t="s">
        <v>5523</v>
      </c>
      <c r="BJ257" t="s">
        <v>5799</v>
      </c>
      <c r="BK257" t="s">
        <v>6080</v>
      </c>
      <c r="BL257" t="s">
        <v>6254</v>
      </c>
      <c r="BM257" t="s">
        <v>6416</v>
      </c>
      <c r="BN257" t="s">
        <v>6598</v>
      </c>
      <c r="BO257" t="s">
        <v>6757</v>
      </c>
      <c r="BP257" t="s">
        <v>6818</v>
      </c>
      <c r="BT257" t="s">
        <v>7066</v>
      </c>
      <c r="BU257" t="s">
        <v>7187</v>
      </c>
      <c r="BV257" t="s">
        <v>7298</v>
      </c>
      <c r="BW257" t="s">
        <v>7467</v>
      </c>
      <c r="BX257" t="s">
        <v>7596</v>
      </c>
      <c r="BZ257">
        <v>0</v>
      </c>
      <c r="CA257">
        <v>0</v>
      </c>
      <c r="CE257" t="s">
        <v>8052</v>
      </c>
      <c r="CF257" s="144">
        <v>43970.3983912037</v>
      </c>
      <c r="CG257" s="144">
        <v>43970.402303240742</v>
      </c>
      <c r="CH257" t="s">
        <v>8387</v>
      </c>
    </row>
    <row r="258" spans="1:86" ht="15" hidden="1" customHeight="1" x14ac:dyDescent="0.35">
      <c r="A258" t="s">
        <v>789</v>
      </c>
      <c r="B258">
        <v>1</v>
      </c>
      <c r="C258">
        <v>1</v>
      </c>
      <c r="D258" t="s">
        <v>1065</v>
      </c>
      <c r="E258" t="s">
        <v>1274</v>
      </c>
      <c r="I258" t="s">
        <v>1620</v>
      </c>
      <c r="J258">
        <v>5</v>
      </c>
      <c r="L258" t="s">
        <v>1776</v>
      </c>
      <c r="M258" t="s">
        <v>1938</v>
      </c>
      <c r="N258">
        <v>7</v>
      </c>
      <c r="P258" t="s">
        <v>2071</v>
      </c>
      <c r="Q258" t="s">
        <v>2283</v>
      </c>
      <c r="R258">
        <v>6</v>
      </c>
      <c r="T258" t="s">
        <v>2437</v>
      </c>
      <c r="U258" t="s">
        <v>2628</v>
      </c>
      <c r="V258">
        <v>6</v>
      </c>
      <c r="X258" t="s">
        <v>2757</v>
      </c>
      <c r="Y258" t="s">
        <v>2936</v>
      </c>
      <c r="AC258" t="s">
        <v>3236</v>
      </c>
      <c r="AD258">
        <v>5</v>
      </c>
      <c r="AF258" t="s">
        <v>3359</v>
      </c>
      <c r="AG258" t="s">
        <v>3496</v>
      </c>
      <c r="AH258">
        <v>6</v>
      </c>
      <c r="AJ258" t="s">
        <v>3582</v>
      </c>
      <c r="AK258" t="s">
        <v>3730</v>
      </c>
      <c r="AO258" t="s">
        <v>4020</v>
      </c>
      <c r="AQ258">
        <v>5</v>
      </c>
      <c r="AR258" t="s">
        <v>4133</v>
      </c>
      <c r="AS258" t="s">
        <v>4291</v>
      </c>
      <c r="AW258" t="s">
        <v>4543</v>
      </c>
      <c r="AX258">
        <v>6</v>
      </c>
      <c r="AZ258" t="s">
        <v>4630</v>
      </c>
      <c r="BA258" t="s">
        <v>4781</v>
      </c>
      <c r="BE258" t="s">
        <v>4948</v>
      </c>
      <c r="BG258" t="s">
        <v>5042</v>
      </c>
      <c r="BH258" t="s">
        <v>5273</v>
      </c>
      <c r="BI258" t="s">
        <v>5523</v>
      </c>
      <c r="BJ258" t="s">
        <v>5799</v>
      </c>
      <c r="BK258" t="s">
        <v>6081</v>
      </c>
      <c r="BL258" t="s">
        <v>6255</v>
      </c>
      <c r="BM258" t="s">
        <v>6417</v>
      </c>
      <c r="BN258" t="s">
        <v>6599</v>
      </c>
      <c r="BO258" t="s">
        <v>6757</v>
      </c>
      <c r="BP258" t="s">
        <v>6818</v>
      </c>
      <c r="BT258" t="s">
        <v>7067</v>
      </c>
      <c r="BU258" t="s">
        <v>7188</v>
      </c>
      <c r="BV258" t="s">
        <v>7299</v>
      </c>
      <c r="BW258" t="s">
        <v>7468</v>
      </c>
      <c r="BX258" t="s">
        <v>7596</v>
      </c>
      <c r="BZ258">
        <v>0</v>
      </c>
      <c r="CA258">
        <v>0</v>
      </c>
      <c r="CE258" t="s">
        <v>8053</v>
      </c>
      <c r="CF258" s="144">
        <v>43970.356145833335</v>
      </c>
      <c r="CG258" s="144">
        <v>43970.365300925929</v>
      </c>
      <c r="CH258" t="s">
        <v>8388</v>
      </c>
    </row>
    <row r="259" spans="1:86" ht="15" hidden="1" customHeight="1" x14ac:dyDescent="0.35">
      <c r="A259" t="s">
        <v>790</v>
      </c>
      <c r="B259">
        <v>1</v>
      </c>
      <c r="C259">
        <v>1</v>
      </c>
      <c r="D259" t="s">
        <v>1066</v>
      </c>
      <c r="E259" t="s">
        <v>1275</v>
      </c>
      <c r="F259">
        <v>5</v>
      </c>
      <c r="I259" t="s">
        <v>1621</v>
      </c>
      <c r="M259" t="s">
        <v>1939</v>
      </c>
      <c r="Q259" t="s">
        <v>2284</v>
      </c>
      <c r="S259">
        <v>5</v>
      </c>
      <c r="U259" t="s">
        <v>2628</v>
      </c>
      <c r="V259">
        <v>5</v>
      </c>
      <c r="Y259" t="s">
        <v>2937</v>
      </c>
      <c r="Z259">
        <v>5</v>
      </c>
      <c r="AC259" t="s">
        <v>3237</v>
      </c>
      <c r="AG259" t="s">
        <v>3497</v>
      </c>
      <c r="AK259" t="s">
        <v>3730</v>
      </c>
      <c r="AO259" t="s">
        <v>4020</v>
      </c>
      <c r="AQ259">
        <v>5</v>
      </c>
      <c r="AS259" t="s">
        <v>4291</v>
      </c>
      <c r="AW259" t="s">
        <v>4544</v>
      </c>
      <c r="BA259" t="s">
        <v>4782</v>
      </c>
      <c r="BB259">
        <v>5</v>
      </c>
      <c r="BE259" t="s">
        <v>4948</v>
      </c>
      <c r="BG259" t="s">
        <v>5042</v>
      </c>
      <c r="BH259" t="s">
        <v>5274</v>
      </c>
      <c r="BI259" t="s">
        <v>5523</v>
      </c>
      <c r="BJ259" t="s">
        <v>5800</v>
      </c>
      <c r="BK259" t="s">
        <v>6081</v>
      </c>
      <c r="BL259" t="s">
        <v>6256</v>
      </c>
      <c r="BM259" t="s">
        <v>6418</v>
      </c>
      <c r="BN259" t="s">
        <v>6599</v>
      </c>
      <c r="BO259" t="s">
        <v>6757</v>
      </c>
      <c r="BP259" t="s">
        <v>6818</v>
      </c>
      <c r="BT259" t="s">
        <v>7067</v>
      </c>
      <c r="BU259" t="s">
        <v>7188</v>
      </c>
      <c r="BV259" t="s">
        <v>7300</v>
      </c>
      <c r="BW259" t="s">
        <v>7469</v>
      </c>
      <c r="BX259" t="s">
        <v>7597</v>
      </c>
      <c r="BZ259">
        <v>0</v>
      </c>
      <c r="CA259">
        <v>1</v>
      </c>
      <c r="CB259" t="s">
        <v>7678</v>
      </c>
      <c r="CC259" t="s">
        <v>7741</v>
      </c>
      <c r="CD259" t="s">
        <v>7827</v>
      </c>
      <c r="CE259" t="s">
        <v>8054</v>
      </c>
      <c r="CF259" s="144">
        <v>43970.322326388887</v>
      </c>
      <c r="CG259" s="144">
        <v>43970.327465277776</v>
      </c>
      <c r="CH259" t="s">
        <v>8389</v>
      </c>
    </row>
    <row r="260" spans="1:86" ht="15" hidden="1" customHeight="1" x14ac:dyDescent="0.35">
      <c r="A260" t="s">
        <v>791</v>
      </c>
      <c r="B260">
        <v>1</v>
      </c>
      <c r="C260">
        <v>1</v>
      </c>
      <c r="D260" t="s">
        <v>1067</v>
      </c>
      <c r="E260" t="s">
        <v>1275</v>
      </c>
      <c r="F260">
        <v>6</v>
      </c>
      <c r="I260" t="s">
        <v>1621</v>
      </c>
      <c r="M260" t="s">
        <v>1939</v>
      </c>
      <c r="Q260" t="s">
        <v>2285</v>
      </c>
      <c r="U260" t="s">
        <v>2629</v>
      </c>
      <c r="Y260" t="s">
        <v>2938</v>
      </c>
      <c r="AA260">
        <v>6</v>
      </c>
      <c r="AC260" t="s">
        <v>3238</v>
      </c>
      <c r="AE260">
        <v>7</v>
      </c>
      <c r="AG260" t="s">
        <v>3497</v>
      </c>
      <c r="AK260" t="s">
        <v>3731</v>
      </c>
      <c r="AL260">
        <v>6</v>
      </c>
      <c r="AO260" t="s">
        <v>4020</v>
      </c>
      <c r="AQ260">
        <v>7</v>
      </c>
      <c r="AS260" t="s">
        <v>4292</v>
      </c>
      <c r="AT260">
        <v>7</v>
      </c>
      <c r="AW260" t="s">
        <v>4545</v>
      </c>
      <c r="AY260">
        <v>7</v>
      </c>
      <c r="BA260" t="s">
        <v>4783</v>
      </c>
      <c r="BE260" t="s">
        <v>4948</v>
      </c>
      <c r="BG260" t="s">
        <v>5042</v>
      </c>
      <c r="BH260" t="s">
        <v>5275</v>
      </c>
      <c r="BI260" t="s">
        <v>5523</v>
      </c>
      <c r="BJ260" t="s">
        <v>5801</v>
      </c>
      <c r="BK260" t="s">
        <v>6082</v>
      </c>
      <c r="BL260" t="s">
        <v>6257</v>
      </c>
      <c r="BM260" t="s">
        <v>6419</v>
      </c>
      <c r="BN260" t="s">
        <v>6600</v>
      </c>
      <c r="BO260" t="s">
        <v>6757</v>
      </c>
      <c r="BP260" t="s">
        <v>6818</v>
      </c>
      <c r="BT260" t="s">
        <v>7067</v>
      </c>
      <c r="BU260" t="s">
        <v>7188</v>
      </c>
      <c r="BV260" t="s">
        <v>7301</v>
      </c>
      <c r="BW260" t="s">
        <v>7469</v>
      </c>
      <c r="BX260" t="s">
        <v>7597</v>
      </c>
      <c r="BZ260">
        <v>0</v>
      </c>
      <c r="CA260">
        <v>1</v>
      </c>
      <c r="CB260" t="s">
        <v>7678</v>
      </c>
      <c r="CC260" t="s">
        <v>7742</v>
      </c>
      <c r="CD260" t="s">
        <v>7828</v>
      </c>
      <c r="CE260" t="s">
        <v>8054</v>
      </c>
      <c r="CF260" s="144">
        <v>43970.243518518517</v>
      </c>
      <c r="CG260" s="144">
        <v>43970.247743055559</v>
      </c>
      <c r="CH260" t="s">
        <v>8390</v>
      </c>
    </row>
    <row r="261" spans="1:86" ht="15" hidden="1" customHeight="1" x14ac:dyDescent="0.35">
      <c r="A261" t="s">
        <v>792</v>
      </c>
      <c r="B261">
        <v>1</v>
      </c>
      <c r="C261">
        <v>1</v>
      </c>
      <c r="D261" t="s">
        <v>1068</v>
      </c>
      <c r="E261" t="s">
        <v>1275</v>
      </c>
      <c r="F261">
        <v>5</v>
      </c>
      <c r="I261" t="s">
        <v>1622</v>
      </c>
      <c r="K261">
        <v>6</v>
      </c>
      <c r="M261" t="s">
        <v>1940</v>
      </c>
      <c r="N261">
        <v>6</v>
      </c>
      <c r="Q261" t="s">
        <v>2286</v>
      </c>
      <c r="S261">
        <v>7</v>
      </c>
      <c r="U261" t="s">
        <v>2630</v>
      </c>
      <c r="W261">
        <v>6</v>
      </c>
      <c r="Y261" t="s">
        <v>2939</v>
      </c>
      <c r="Z261">
        <v>6</v>
      </c>
      <c r="AC261" t="s">
        <v>3238</v>
      </c>
      <c r="AE261">
        <v>7</v>
      </c>
      <c r="AG261" t="s">
        <v>3498</v>
      </c>
      <c r="AI261">
        <v>7</v>
      </c>
      <c r="AK261" t="s">
        <v>3732</v>
      </c>
      <c r="AM261">
        <v>7</v>
      </c>
      <c r="AO261" t="s">
        <v>4021</v>
      </c>
      <c r="AP261">
        <v>8</v>
      </c>
      <c r="AS261" t="s">
        <v>4292</v>
      </c>
      <c r="AT261">
        <v>6</v>
      </c>
      <c r="AW261" t="s">
        <v>4545</v>
      </c>
      <c r="AY261">
        <v>7</v>
      </c>
      <c r="BA261" t="s">
        <v>4784</v>
      </c>
      <c r="BC261">
        <v>7</v>
      </c>
      <c r="BE261" t="s">
        <v>4948</v>
      </c>
      <c r="BG261" t="s">
        <v>5042</v>
      </c>
      <c r="BH261" t="s">
        <v>5276</v>
      </c>
      <c r="BI261" t="s">
        <v>5523</v>
      </c>
      <c r="BJ261" t="s">
        <v>5801</v>
      </c>
      <c r="BK261" t="s">
        <v>6083</v>
      </c>
      <c r="BL261" t="s">
        <v>6258</v>
      </c>
      <c r="BM261" t="s">
        <v>6420</v>
      </c>
      <c r="BN261" t="s">
        <v>6600</v>
      </c>
      <c r="BO261" t="s">
        <v>6757</v>
      </c>
      <c r="BP261" t="s">
        <v>6818</v>
      </c>
      <c r="BT261" t="s">
        <v>7068</v>
      </c>
      <c r="BU261" t="s">
        <v>7188</v>
      </c>
      <c r="BV261" t="s">
        <v>7301</v>
      </c>
      <c r="BW261" t="s">
        <v>7470</v>
      </c>
      <c r="BX261" t="s">
        <v>7597</v>
      </c>
      <c r="BZ261">
        <v>0</v>
      </c>
      <c r="CA261">
        <v>0</v>
      </c>
      <c r="CE261" t="s">
        <v>8055</v>
      </c>
      <c r="CF261" s="144">
        <v>43969.908587962964</v>
      </c>
      <c r="CG261" s="144">
        <v>43969.912824074076</v>
      </c>
      <c r="CH261" t="s">
        <v>8391</v>
      </c>
    </row>
    <row r="262" spans="1:86" ht="15" hidden="1" customHeight="1" x14ac:dyDescent="0.35">
      <c r="A262" t="s">
        <v>793</v>
      </c>
      <c r="B262">
        <v>1</v>
      </c>
      <c r="C262">
        <v>1</v>
      </c>
      <c r="D262" t="s">
        <v>1069</v>
      </c>
      <c r="E262" t="s">
        <v>1275</v>
      </c>
      <c r="F262">
        <v>6</v>
      </c>
      <c r="H262" t="s">
        <v>1426</v>
      </c>
      <c r="I262" t="s">
        <v>1623</v>
      </c>
      <c r="M262" t="s">
        <v>1940</v>
      </c>
      <c r="N262">
        <v>6</v>
      </c>
      <c r="P262" t="s">
        <v>2072</v>
      </c>
      <c r="Q262" t="s">
        <v>2287</v>
      </c>
      <c r="U262" t="s">
        <v>2631</v>
      </c>
      <c r="Y262" t="s">
        <v>2940</v>
      </c>
      <c r="AC262" t="s">
        <v>3239</v>
      </c>
      <c r="AG262" t="s">
        <v>3499</v>
      </c>
      <c r="AK262" t="s">
        <v>3733</v>
      </c>
      <c r="AO262" t="s">
        <v>4022</v>
      </c>
      <c r="AS262" t="s">
        <v>4293</v>
      </c>
      <c r="AW262" t="s">
        <v>4546</v>
      </c>
      <c r="BA262" t="s">
        <v>4785</v>
      </c>
      <c r="BE262" t="s">
        <v>4948</v>
      </c>
      <c r="BG262" t="s">
        <v>5042</v>
      </c>
      <c r="BH262" t="s">
        <v>5277</v>
      </c>
      <c r="BI262" t="s">
        <v>5523</v>
      </c>
      <c r="BJ262" t="s">
        <v>5802</v>
      </c>
      <c r="BK262" t="s">
        <v>6083</v>
      </c>
      <c r="BL262" t="s">
        <v>6259</v>
      </c>
      <c r="BM262" t="s">
        <v>6421</v>
      </c>
      <c r="BN262" t="s">
        <v>6600</v>
      </c>
      <c r="BO262" t="s">
        <v>6757</v>
      </c>
      <c r="BP262" t="s">
        <v>6818</v>
      </c>
      <c r="BT262" t="s">
        <v>7069</v>
      </c>
      <c r="BU262" t="s">
        <v>7188</v>
      </c>
      <c r="BV262" t="s">
        <v>7302</v>
      </c>
      <c r="BW262" t="s">
        <v>7471</v>
      </c>
      <c r="BX262" t="s">
        <v>7598</v>
      </c>
      <c r="BZ262">
        <v>0</v>
      </c>
      <c r="CA262">
        <v>1</v>
      </c>
      <c r="CB262" t="s">
        <v>7679</v>
      </c>
      <c r="CC262" t="s">
        <v>7742</v>
      </c>
      <c r="CD262" t="s">
        <v>7828</v>
      </c>
      <c r="CE262" t="s">
        <v>8056</v>
      </c>
      <c r="CF262" s="144">
        <v>43969.425717592596</v>
      </c>
      <c r="CG262" s="144">
        <v>43969.434872685182</v>
      </c>
      <c r="CH262" t="s">
        <v>8392</v>
      </c>
    </row>
    <row r="263" spans="1:86" ht="15" hidden="1" customHeight="1" x14ac:dyDescent="0.35">
      <c r="A263" t="s">
        <v>794</v>
      </c>
      <c r="B263">
        <v>1</v>
      </c>
      <c r="C263">
        <v>1</v>
      </c>
      <c r="D263" t="s">
        <v>1070</v>
      </c>
      <c r="E263" t="s">
        <v>1275</v>
      </c>
      <c r="F263">
        <v>6</v>
      </c>
      <c r="H263" t="s">
        <v>1427</v>
      </c>
      <c r="I263" t="s">
        <v>1623</v>
      </c>
      <c r="M263" t="s">
        <v>1940</v>
      </c>
      <c r="N263">
        <v>6</v>
      </c>
      <c r="P263" t="s">
        <v>2073</v>
      </c>
      <c r="Q263" t="s">
        <v>2288</v>
      </c>
      <c r="S263">
        <v>6</v>
      </c>
      <c r="T263" t="s">
        <v>2438</v>
      </c>
      <c r="U263" t="s">
        <v>2632</v>
      </c>
      <c r="V263">
        <v>6</v>
      </c>
      <c r="X263" t="s">
        <v>2758</v>
      </c>
      <c r="Y263" t="s">
        <v>2941</v>
      </c>
      <c r="Z263">
        <v>6</v>
      </c>
      <c r="AC263" t="s">
        <v>3240</v>
      </c>
      <c r="AD263">
        <v>6</v>
      </c>
      <c r="AF263" t="s">
        <v>3360</v>
      </c>
      <c r="AG263" t="s">
        <v>3499</v>
      </c>
      <c r="AK263" t="s">
        <v>3734</v>
      </c>
      <c r="AM263">
        <v>6</v>
      </c>
      <c r="AO263" t="s">
        <v>4022</v>
      </c>
      <c r="AS263" t="s">
        <v>4293</v>
      </c>
      <c r="AW263" t="s">
        <v>4546</v>
      </c>
      <c r="BA263" t="s">
        <v>4785</v>
      </c>
      <c r="BE263" t="s">
        <v>4948</v>
      </c>
      <c r="BG263" t="s">
        <v>5042</v>
      </c>
      <c r="BH263" t="s">
        <v>5277</v>
      </c>
      <c r="BI263" t="s">
        <v>5523</v>
      </c>
      <c r="BJ263" t="s">
        <v>5803</v>
      </c>
      <c r="BK263" t="s">
        <v>6083</v>
      </c>
      <c r="BL263" t="s">
        <v>6259</v>
      </c>
      <c r="BM263" t="s">
        <v>6421</v>
      </c>
      <c r="BN263" t="s">
        <v>6600</v>
      </c>
      <c r="BO263" t="s">
        <v>6757</v>
      </c>
      <c r="BP263" t="s">
        <v>6818</v>
      </c>
      <c r="BT263" t="s">
        <v>7069</v>
      </c>
      <c r="BU263" t="s">
        <v>7189</v>
      </c>
      <c r="BV263" t="s">
        <v>7302</v>
      </c>
      <c r="BW263" t="s">
        <v>7472</v>
      </c>
      <c r="BX263" t="s">
        <v>7599</v>
      </c>
      <c r="BZ263">
        <v>0</v>
      </c>
      <c r="CA263">
        <v>1</v>
      </c>
      <c r="CB263" t="s">
        <v>7679</v>
      </c>
      <c r="CC263" t="s">
        <v>7743</v>
      </c>
      <c r="CD263" t="s">
        <v>7828</v>
      </c>
      <c r="CE263" t="s">
        <v>8057</v>
      </c>
      <c r="CF263" s="144">
        <v>43969.359444444446</v>
      </c>
      <c r="CG263" s="144">
        <v>43969.365833333337</v>
      </c>
      <c r="CH263" t="s">
        <v>8392</v>
      </c>
    </row>
    <row r="264" spans="1:86" ht="15" hidden="1" customHeight="1" x14ac:dyDescent="0.35">
      <c r="A264" t="s">
        <v>795</v>
      </c>
      <c r="B264">
        <v>1</v>
      </c>
      <c r="C264">
        <v>1</v>
      </c>
      <c r="D264" t="s">
        <v>1070</v>
      </c>
      <c r="E264" t="s">
        <v>1275</v>
      </c>
      <c r="F264">
        <v>3</v>
      </c>
      <c r="H264" t="s">
        <v>1428</v>
      </c>
      <c r="I264" t="s">
        <v>1624</v>
      </c>
      <c r="J264">
        <v>3</v>
      </c>
      <c r="L264" t="s">
        <v>1777</v>
      </c>
      <c r="M264" t="s">
        <v>1940</v>
      </c>
      <c r="N264">
        <v>4</v>
      </c>
      <c r="P264" t="s">
        <v>2074</v>
      </c>
      <c r="Q264" t="s">
        <v>2289</v>
      </c>
      <c r="R264">
        <v>5</v>
      </c>
      <c r="T264" t="s">
        <v>2439</v>
      </c>
      <c r="U264" t="s">
        <v>2632</v>
      </c>
      <c r="V264">
        <v>4</v>
      </c>
      <c r="X264" t="s">
        <v>2759</v>
      </c>
      <c r="Y264" t="s">
        <v>2942</v>
      </c>
      <c r="AA264">
        <v>8</v>
      </c>
      <c r="AB264" t="s">
        <v>3065</v>
      </c>
      <c r="AC264" t="s">
        <v>3240</v>
      </c>
      <c r="AD264">
        <v>5</v>
      </c>
      <c r="AF264" t="s">
        <v>3361</v>
      </c>
      <c r="AG264" t="s">
        <v>3500</v>
      </c>
      <c r="AI264">
        <v>5</v>
      </c>
      <c r="AJ264" t="s">
        <v>3583</v>
      </c>
      <c r="AK264" t="s">
        <v>3734</v>
      </c>
      <c r="AM264">
        <v>5</v>
      </c>
      <c r="AN264" t="s">
        <v>3828</v>
      </c>
      <c r="AO264" t="s">
        <v>4022</v>
      </c>
      <c r="AS264" t="s">
        <v>4293</v>
      </c>
      <c r="AW264" t="s">
        <v>4546</v>
      </c>
      <c r="BA264" t="s">
        <v>4785</v>
      </c>
      <c r="BE264" t="s">
        <v>4948</v>
      </c>
      <c r="BG264" t="s">
        <v>5042</v>
      </c>
      <c r="BH264" t="s">
        <v>5278</v>
      </c>
      <c r="BI264" t="s">
        <v>5523</v>
      </c>
      <c r="BJ264" t="s">
        <v>5804</v>
      </c>
      <c r="BK264" t="s">
        <v>6084</v>
      </c>
      <c r="BL264" t="s">
        <v>6260</v>
      </c>
      <c r="BM264" t="s">
        <v>6422</v>
      </c>
      <c r="BN264" t="s">
        <v>6600</v>
      </c>
      <c r="BO264" t="s">
        <v>6757</v>
      </c>
      <c r="BP264" t="s">
        <v>6818</v>
      </c>
      <c r="BT264" t="s">
        <v>7069</v>
      </c>
      <c r="BU264" t="s">
        <v>7190</v>
      </c>
      <c r="BV264" t="s">
        <v>7303</v>
      </c>
      <c r="BW264" t="s">
        <v>7473</v>
      </c>
      <c r="BX264" t="s">
        <v>7599</v>
      </c>
      <c r="BZ264">
        <v>0</v>
      </c>
      <c r="CA264">
        <v>1</v>
      </c>
      <c r="CB264" t="s">
        <v>7679</v>
      </c>
      <c r="CC264" t="s">
        <v>7744</v>
      </c>
      <c r="CD264" t="s">
        <v>7828</v>
      </c>
      <c r="CE264" t="s">
        <v>8057</v>
      </c>
      <c r="CF264" s="144">
        <v>43968.687523148146</v>
      </c>
      <c r="CG264" s="144">
        <v>43968.697118055556</v>
      </c>
      <c r="CH264" s="24" t="s">
        <v>8393</v>
      </c>
    </row>
    <row r="265" spans="1:86" ht="15" hidden="1" customHeight="1" x14ac:dyDescent="0.35">
      <c r="A265" t="s">
        <v>796</v>
      </c>
      <c r="B265">
        <v>1</v>
      </c>
      <c r="C265">
        <v>1</v>
      </c>
      <c r="D265" t="s">
        <v>1071</v>
      </c>
      <c r="E265" t="s">
        <v>1276</v>
      </c>
      <c r="I265" t="s">
        <v>1625</v>
      </c>
      <c r="M265" t="s">
        <v>1940</v>
      </c>
      <c r="N265">
        <v>8</v>
      </c>
      <c r="P265" t="s">
        <v>2075</v>
      </c>
      <c r="Q265" t="s">
        <v>2290</v>
      </c>
      <c r="U265" t="s">
        <v>2632</v>
      </c>
      <c r="V265">
        <v>8</v>
      </c>
      <c r="X265" t="s">
        <v>2760</v>
      </c>
      <c r="Y265" t="s">
        <v>2943</v>
      </c>
      <c r="Z265">
        <v>8</v>
      </c>
      <c r="AB265" t="s">
        <v>3066</v>
      </c>
      <c r="AC265" t="s">
        <v>3241</v>
      </c>
      <c r="AG265" t="s">
        <v>3501</v>
      </c>
      <c r="AK265" t="s">
        <v>3735</v>
      </c>
      <c r="AL265">
        <v>5</v>
      </c>
      <c r="AN265" t="s">
        <v>3829</v>
      </c>
      <c r="AO265" t="s">
        <v>4022</v>
      </c>
      <c r="AS265" t="s">
        <v>4294</v>
      </c>
      <c r="AT265">
        <v>7</v>
      </c>
      <c r="AV265" t="s">
        <v>4390</v>
      </c>
      <c r="AW265" t="s">
        <v>4546</v>
      </c>
      <c r="BA265" t="s">
        <v>4786</v>
      </c>
      <c r="BC265">
        <v>8</v>
      </c>
      <c r="BD265" t="s">
        <v>4883</v>
      </c>
      <c r="BE265" t="s">
        <v>4948</v>
      </c>
      <c r="BG265" t="s">
        <v>5042</v>
      </c>
      <c r="BH265" t="s">
        <v>5279</v>
      </c>
      <c r="BI265" t="s">
        <v>5523</v>
      </c>
      <c r="BJ265" t="s">
        <v>5805</v>
      </c>
      <c r="BK265" t="s">
        <v>6085</v>
      </c>
      <c r="BL265" t="s">
        <v>6261</v>
      </c>
      <c r="BM265" t="s">
        <v>6422</v>
      </c>
      <c r="BN265" t="s">
        <v>6601</v>
      </c>
      <c r="BO265" t="s">
        <v>6757</v>
      </c>
      <c r="BP265" t="s">
        <v>6818</v>
      </c>
      <c r="BT265" t="s">
        <v>7070</v>
      </c>
      <c r="BU265" t="s">
        <v>7190</v>
      </c>
      <c r="BV265" t="s">
        <v>7303</v>
      </c>
      <c r="BW265" t="s">
        <v>7473</v>
      </c>
      <c r="BX265" t="s">
        <v>7599</v>
      </c>
      <c r="BZ265">
        <v>0</v>
      </c>
      <c r="CA265">
        <v>0</v>
      </c>
      <c r="CE265" t="s">
        <v>8057</v>
      </c>
      <c r="CF265" s="144">
        <v>43967.615891203706</v>
      </c>
      <c r="CG265" s="144">
        <v>43967.622187499997</v>
      </c>
      <c r="CH265" s="24" t="s">
        <v>8394</v>
      </c>
    </row>
    <row r="266" spans="1:86" ht="15" hidden="1" customHeight="1" x14ac:dyDescent="0.35">
      <c r="A266" t="s">
        <v>797</v>
      </c>
      <c r="B266">
        <v>1</v>
      </c>
      <c r="C266">
        <v>1</v>
      </c>
      <c r="D266" t="s">
        <v>1072</v>
      </c>
      <c r="E266" t="s">
        <v>1277</v>
      </c>
      <c r="F266">
        <v>8</v>
      </c>
      <c r="H266" t="s">
        <v>1429</v>
      </c>
      <c r="I266" t="s">
        <v>1626</v>
      </c>
      <c r="J266">
        <v>8</v>
      </c>
      <c r="L266" t="s">
        <v>1778</v>
      </c>
      <c r="M266" t="s">
        <v>1941</v>
      </c>
      <c r="Q266" t="s">
        <v>2290</v>
      </c>
      <c r="U266" t="s">
        <v>2633</v>
      </c>
      <c r="Y266" t="s">
        <v>2944</v>
      </c>
      <c r="AC266" t="s">
        <v>3241</v>
      </c>
      <c r="AG266" t="s">
        <v>3501</v>
      </c>
      <c r="AK266" t="s">
        <v>3736</v>
      </c>
      <c r="AO266" t="s">
        <v>4022</v>
      </c>
      <c r="AS266" t="s">
        <v>4295</v>
      </c>
      <c r="AW266" t="s">
        <v>4546</v>
      </c>
      <c r="BA266" t="s">
        <v>4787</v>
      </c>
      <c r="BE266" t="s">
        <v>4948</v>
      </c>
      <c r="BG266" t="s">
        <v>5043</v>
      </c>
      <c r="BH266" t="s">
        <v>5280</v>
      </c>
      <c r="BI266" t="s">
        <v>5523</v>
      </c>
      <c r="BJ266" t="s">
        <v>5806</v>
      </c>
      <c r="BK266" t="s">
        <v>6085</v>
      </c>
      <c r="BL266" t="s">
        <v>6262</v>
      </c>
      <c r="BM266" t="s">
        <v>6422</v>
      </c>
      <c r="BN266" t="s">
        <v>6602</v>
      </c>
      <c r="BO266" t="s">
        <v>6757</v>
      </c>
      <c r="BP266" t="s">
        <v>6818</v>
      </c>
      <c r="BT266" t="s">
        <v>7071</v>
      </c>
      <c r="BU266" t="s">
        <v>7190</v>
      </c>
      <c r="BV266" t="s">
        <v>7303</v>
      </c>
      <c r="BW266" t="s">
        <v>7473</v>
      </c>
      <c r="BX266" t="s">
        <v>7599</v>
      </c>
      <c r="BZ266">
        <v>0</v>
      </c>
      <c r="CA266">
        <v>0</v>
      </c>
      <c r="CE266" t="s">
        <v>8057</v>
      </c>
      <c r="CF266" s="144">
        <v>43966.455659722225</v>
      </c>
      <c r="CG266" s="144">
        <v>43966.468819444446</v>
      </c>
      <c r="CH266" t="s">
        <v>8395</v>
      </c>
    </row>
    <row r="267" spans="1:86" ht="15" hidden="1" customHeight="1" x14ac:dyDescent="0.35">
      <c r="A267" t="s">
        <v>798</v>
      </c>
      <c r="B267">
        <v>1</v>
      </c>
      <c r="C267">
        <v>1</v>
      </c>
      <c r="D267" t="s">
        <v>1073</v>
      </c>
      <c r="E267" t="s">
        <v>1277</v>
      </c>
      <c r="F267">
        <v>8</v>
      </c>
      <c r="H267" t="s">
        <v>1430</v>
      </c>
      <c r="I267" t="s">
        <v>1627</v>
      </c>
      <c r="M267" t="s">
        <v>1941</v>
      </c>
      <c r="Q267" t="s">
        <v>2291</v>
      </c>
      <c r="S267">
        <v>8</v>
      </c>
      <c r="T267" t="s">
        <v>2440</v>
      </c>
      <c r="U267" t="s">
        <v>2634</v>
      </c>
      <c r="W267">
        <v>6</v>
      </c>
      <c r="X267" t="s">
        <v>2761</v>
      </c>
      <c r="Y267" t="s">
        <v>2944</v>
      </c>
      <c r="AC267" t="s">
        <v>3241</v>
      </c>
      <c r="AG267" t="s">
        <v>3501</v>
      </c>
      <c r="AK267" t="s">
        <v>3736</v>
      </c>
      <c r="AO267" t="s">
        <v>4022</v>
      </c>
      <c r="AS267" t="s">
        <v>4295</v>
      </c>
      <c r="AW267" t="s">
        <v>4546</v>
      </c>
      <c r="BA267" t="s">
        <v>4787</v>
      </c>
      <c r="BE267" t="s">
        <v>4948</v>
      </c>
      <c r="BG267" t="s">
        <v>5043</v>
      </c>
      <c r="BH267" t="s">
        <v>5280</v>
      </c>
      <c r="BI267" t="s">
        <v>5523</v>
      </c>
      <c r="BJ267" t="s">
        <v>5806</v>
      </c>
      <c r="BK267" t="s">
        <v>6085</v>
      </c>
      <c r="BL267" t="s">
        <v>6263</v>
      </c>
      <c r="BM267" t="s">
        <v>6423</v>
      </c>
      <c r="BN267" t="s">
        <v>6602</v>
      </c>
      <c r="BO267" t="s">
        <v>6757</v>
      </c>
      <c r="BP267" t="s">
        <v>6818</v>
      </c>
      <c r="BT267" t="s">
        <v>7072</v>
      </c>
      <c r="BU267" t="s">
        <v>7190</v>
      </c>
      <c r="BV267" t="s">
        <v>7303</v>
      </c>
      <c r="BW267" t="s">
        <v>7474</v>
      </c>
      <c r="BX267" t="s">
        <v>7599</v>
      </c>
      <c r="BZ267">
        <v>1</v>
      </c>
      <c r="CA267">
        <v>0</v>
      </c>
      <c r="CE267" t="s">
        <v>8057</v>
      </c>
      <c r="CF267" s="144">
        <v>43966.424085648148</v>
      </c>
      <c r="CG267" s="144">
        <v>43966.431643518517</v>
      </c>
      <c r="CH267" t="s">
        <v>8396</v>
      </c>
    </row>
    <row r="268" spans="1:86" ht="15" hidden="1" customHeight="1" x14ac:dyDescent="0.35">
      <c r="A268" t="s">
        <v>799</v>
      </c>
      <c r="B268">
        <v>1</v>
      </c>
      <c r="C268">
        <v>1</v>
      </c>
      <c r="D268" t="s">
        <v>1073</v>
      </c>
      <c r="E268" t="s">
        <v>1278</v>
      </c>
      <c r="I268" t="s">
        <v>1627</v>
      </c>
      <c r="M268" t="s">
        <v>1941</v>
      </c>
      <c r="Q268" t="s">
        <v>2292</v>
      </c>
      <c r="U268" t="s">
        <v>2635</v>
      </c>
      <c r="V268">
        <v>6</v>
      </c>
      <c r="Y268" t="s">
        <v>2945</v>
      </c>
      <c r="AA268">
        <v>6</v>
      </c>
      <c r="AC268" t="s">
        <v>3241</v>
      </c>
      <c r="AG268" t="s">
        <v>3502</v>
      </c>
      <c r="AH268">
        <v>5</v>
      </c>
      <c r="AK268" t="s">
        <v>3737</v>
      </c>
      <c r="AL268">
        <v>7</v>
      </c>
      <c r="AO268" t="s">
        <v>4022</v>
      </c>
      <c r="AS268" t="s">
        <v>4295</v>
      </c>
      <c r="AW268" t="s">
        <v>4546</v>
      </c>
      <c r="BA268" t="s">
        <v>4787</v>
      </c>
      <c r="BE268" t="s">
        <v>4948</v>
      </c>
      <c r="BG268" t="s">
        <v>5043</v>
      </c>
      <c r="BH268" t="s">
        <v>5281</v>
      </c>
      <c r="BI268" t="s">
        <v>5523</v>
      </c>
      <c r="BJ268" t="s">
        <v>5807</v>
      </c>
      <c r="BK268" t="s">
        <v>6086</v>
      </c>
      <c r="BL268" t="s">
        <v>6264</v>
      </c>
      <c r="BM268" t="s">
        <v>6423</v>
      </c>
      <c r="BN268" t="s">
        <v>6602</v>
      </c>
      <c r="BO268" t="s">
        <v>6757</v>
      </c>
      <c r="BP268" t="s">
        <v>6818</v>
      </c>
      <c r="BT268" t="s">
        <v>7073</v>
      </c>
      <c r="BU268" t="s">
        <v>7191</v>
      </c>
      <c r="BV268" t="s">
        <v>7304</v>
      </c>
      <c r="BW268" t="s">
        <v>7475</v>
      </c>
      <c r="BX268" t="s">
        <v>7600</v>
      </c>
      <c r="BZ268">
        <v>1</v>
      </c>
      <c r="CA268">
        <v>0</v>
      </c>
      <c r="CE268" t="s">
        <v>8058</v>
      </c>
      <c r="CF268" s="144">
        <v>43966.36042824074</v>
      </c>
      <c r="CG268" s="144">
        <v>43966.366111111114</v>
      </c>
      <c r="CH268" t="s">
        <v>8397</v>
      </c>
    </row>
    <row r="269" spans="1:86" ht="15" hidden="1" customHeight="1" x14ac:dyDescent="0.35">
      <c r="A269" t="s">
        <v>800</v>
      </c>
      <c r="B269">
        <v>1</v>
      </c>
      <c r="C269">
        <v>1</v>
      </c>
      <c r="D269" t="s">
        <v>1073</v>
      </c>
      <c r="E269" t="s">
        <v>1278</v>
      </c>
      <c r="I269" t="s">
        <v>1627</v>
      </c>
      <c r="M269" t="s">
        <v>1941</v>
      </c>
      <c r="Q269" t="s">
        <v>2292</v>
      </c>
      <c r="U269" t="s">
        <v>2636</v>
      </c>
      <c r="Y269" t="s">
        <v>2946</v>
      </c>
      <c r="AC269" t="s">
        <v>3241</v>
      </c>
      <c r="AG269" t="s">
        <v>3503</v>
      </c>
      <c r="AK269" t="s">
        <v>3738</v>
      </c>
      <c r="AO269" t="s">
        <v>4022</v>
      </c>
      <c r="AS269" t="s">
        <v>4295</v>
      </c>
      <c r="AW269" t="s">
        <v>4546</v>
      </c>
      <c r="BA269" t="s">
        <v>4787</v>
      </c>
      <c r="BE269" t="s">
        <v>4948</v>
      </c>
      <c r="BG269" t="s">
        <v>5044</v>
      </c>
      <c r="BH269" t="s">
        <v>5282</v>
      </c>
      <c r="BI269" t="s">
        <v>5524</v>
      </c>
      <c r="BJ269" t="s">
        <v>5808</v>
      </c>
      <c r="BK269" t="s">
        <v>6086</v>
      </c>
      <c r="BL269" t="s">
        <v>6264</v>
      </c>
      <c r="BM269" t="s">
        <v>6424</v>
      </c>
      <c r="BN269" t="s">
        <v>6603</v>
      </c>
      <c r="BO269" t="s">
        <v>6757</v>
      </c>
      <c r="BP269" t="s">
        <v>6818</v>
      </c>
      <c r="BT269" t="s">
        <v>7074</v>
      </c>
      <c r="BU269" t="s">
        <v>7192</v>
      </c>
      <c r="BV269" t="s">
        <v>7305</v>
      </c>
      <c r="BW269" t="s">
        <v>7475</v>
      </c>
      <c r="BX269" t="s">
        <v>7601</v>
      </c>
      <c r="BZ269">
        <v>0</v>
      </c>
      <c r="CA269">
        <v>0</v>
      </c>
      <c r="CE269" t="s">
        <v>8059</v>
      </c>
      <c r="CF269" s="144">
        <v>43966.339537037034</v>
      </c>
      <c r="CG269" s="144">
        <v>43966.343807870369</v>
      </c>
      <c r="CH269" t="s">
        <v>8397</v>
      </c>
    </row>
    <row r="270" spans="1:86" ht="15" hidden="1" customHeight="1" x14ac:dyDescent="0.35">
      <c r="A270" t="s">
        <v>801</v>
      </c>
      <c r="B270">
        <v>1</v>
      </c>
      <c r="C270">
        <v>1</v>
      </c>
      <c r="D270" t="s">
        <v>1073</v>
      </c>
      <c r="E270" t="s">
        <v>1279</v>
      </c>
      <c r="F270">
        <v>8</v>
      </c>
      <c r="H270" t="s">
        <v>1431</v>
      </c>
      <c r="I270" t="s">
        <v>1628</v>
      </c>
      <c r="J270">
        <v>8</v>
      </c>
      <c r="L270" t="s">
        <v>1779</v>
      </c>
      <c r="M270" t="s">
        <v>1942</v>
      </c>
      <c r="N270">
        <v>8</v>
      </c>
      <c r="P270" t="s">
        <v>2076</v>
      </c>
      <c r="Q270" t="s">
        <v>2293</v>
      </c>
      <c r="S270">
        <v>8</v>
      </c>
      <c r="T270" t="s">
        <v>2441</v>
      </c>
      <c r="U270" t="s">
        <v>2637</v>
      </c>
      <c r="V270">
        <v>8</v>
      </c>
      <c r="X270" t="s">
        <v>2762</v>
      </c>
      <c r="Y270" t="s">
        <v>2947</v>
      </c>
      <c r="Z270">
        <v>8</v>
      </c>
      <c r="AB270" t="s">
        <v>3067</v>
      </c>
      <c r="AC270" t="s">
        <v>3242</v>
      </c>
      <c r="AD270">
        <v>8</v>
      </c>
      <c r="AF270" t="s">
        <v>3362</v>
      </c>
      <c r="AG270" t="s">
        <v>3504</v>
      </c>
      <c r="AH270">
        <v>8</v>
      </c>
      <c r="AJ270" t="s">
        <v>3584</v>
      </c>
      <c r="AK270" t="s">
        <v>3739</v>
      </c>
      <c r="AL270">
        <v>8</v>
      </c>
      <c r="AN270" t="s">
        <v>3830</v>
      </c>
      <c r="AO270" t="s">
        <v>4023</v>
      </c>
      <c r="AP270">
        <v>8</v>
      </c>
      <c r="AR270" t="s">
        <v>4134</v>
      </c>
      <c r="AS270" t="s">
        <v>4296</v>
      </c>
      <c r="AT270">
        <v>8</v>
      </c>
      <c r="AV270" t="s">
        <v>4391</v>
      </c>
      <c r="AW270" t="s">
        <v>4547</v>
      </c>
      <c r="AY270">
        <v>8</v>
      </c>
      <c r="AZ270" t="s">
        <v>4631</v>
      </c>
      <c r="BA270" t="s">
        <v>4787</v>
      </c>
      <c r="BE270" t="s">
        <v>4948</v>
      </c>
      <c r="BG270" t="s">
        <v>5044</v>
      </c>
      <c r="BH270" t="s">
        <v>5283</v>
      </c>
      <c r="BI270" t="s">
        <v>5525</v>
      </c>
      <c r="BJ270" t="s">
        <v>5809</v>
      </c>
      <c r="BK270" t="s">
        <v>6086</v>
      </c>
      <c r="BL270" t="s">
        <v>6264</v>
      </c>
      <c r="BM270" t="s">
        <v>6424</v>
      </c>
      <c r="BN270" t="s">
        <v>6604</v>
      </c>
      <c r="BO270" t="s">
        <v>6758</v>
      </c>
      <c r="BP270" t="s">
        <v>6818</v>
      </c>
      <c r="BT270" t="s">
        <v>7075</v>
      </c>
      <c r="BU270" t="s">
        <v>7192</v>
      </c>
      <c r="BV270" t="s">
        <v>7305</v>
      </c>
      <c r="BW270" t="s">
        <v>7475</v>
      </c>
      <c r="BX270" t="s">
        <v>7601</v>
      </c>
      <c r="BZ270">
        <v>0</v>
      </c>
      <c r="CA270">
        <v>0</v>
      </c>
      <c r="CE270" t="s">
        <v>8060</v>
      </c>
      <c r="CF270" s="144">
        <v>43966.321921296294</v>
      </c>
      <c r="CG270" s="144">
        <v>43966.331388888888</v>
      </c>
      <c r="CH270" t="s">
        <v>8397</v>
      </c>
    </row>
    <row r="271" spans="1:86" ht="15" hidden="1" customHeight="1" x14ac:dyDescent="0.35">
      <c r="A271" t="s">
        <v>802</v>
      </c>
      <c r="B271">
        <v>1</v>
      </c>
      <c r="C271">
        <v>1</v>
      </c>
      <c r="D271" t="s">
        <v>1073</v>
      </c>
      <c r="E271" t="s">
        <v>1280</v>
      </c>
      <c r="I271" t="s">
        <v>1628</v>
      </c>
      <c r="J271">
        <v>5</v>
      </c>
      <c r="L271" t="s">
        <v>1780</v>
      </c>
      <c r="M271" t="s">
        <v>1942</v>
      </c>
      <c r="N271">
        <v>7</v>
      </c>
      <c r="P271" t="s">
        <v>2077</v>
      </c>
      <c r="Q271" t="s">
        <v>2294</v>
      </c>
      <c r="R271">
        <v>5</v>
      </c>
      <c r="T271" t="s">
        <v>2442</v>
      </c>
      <c r="U271" t="s">
        <v>2637</v>
      </c>
      <c r="V271">
        <v>7</v>
      </c>
      <c r="X271" t="s">
        <v>2763</v>
      </c>
      <c r="Y271" t="s">
        <v>2947</v>
      </c>
      <c r="Z271">
        <v>7</v>
      </c>
      <c r="AB271" t="s">
        <v>3068</v>
      </c>
      <c r="AC271" t="s">
        <v>3243</v>
      </c>
      <c r="AG271" t="s">
        <v>3505</v>
      </c>
      <c r="AK271" t="s">
        <v>3740</v>
      </c>
      <c r="AO271" t="s">
        <v>4024</v>
      </c>
      <c r="AS271" t="s">
        <v>4296</v>
      </c>
      <c r="AT271">
        <v>5</v>
      </c>
      <c r="AV271" t="s">
        <v>4392</v>
      </c>
      <c r="AW271" t="s">
        <v>4548</v>
      </c>
      <c r="BA271" t="s">
        <v>4787</v>
      </c>
      <c r="BE271" t="s">
        <v>4948</v>
      </c>
      <c r="BG271" t="s">
        <v>5044</v>
      </c>
      <c r="BH271" t="s">
        <v>5283</v>
      </c>
      <c r="BI271" t="s">
        <v>5526</v>
      </c>
      <c r="BJ271" t="s">
        <v>5810</v>
      </c>
      <c r="BK271" t="s">
        <v>6087</v>
      </c>
      <c r="BL271" t="s">
        <v>6265</v>
      </c>
      <c r="BM271" t="s">
        <v>6424</v>
      </c>
      <c r="BN271" t="s">
        <v>6604</v>
      </c>
      <c r="BO271" t="s">
        <v>6759</v>
      </c>
      <c r="BP271" t="s">
        <v>6818</v>
      </c>
      <c r="BT271" t="s">
        <v>7076</v>
      </c>
      <c r="BU271" t="s">
        <v>7192</v>
      </c>
      <c r="BV271" t="s">
        <v>7305</v>
      </c>
      <c r="BW271" t="s">
        <v>7476</v>
      </c>
      <c r="BX271" t="s">
        <v>7601</v>
      </c>
      <c r="BZ271">
        <v>0</v>
      </c>
      <c r="CA271">
        <v>0</v>
      </c>
      <c r="CE271" t="s">
        <v>8061</v>
      </c>
      <c r="CF271" s="144">
        <v>43965.612187500003</v>
      </c>
      <c r="CG271" s="144">
        <v>43965.619699074072</v>
      </c>
      <c r="CH271" t="s">
        <v>8398</v>
      </c>
    </row>
    <row r="272" spans="1:86" ht="15" hidden="1" customHeight="1" x14ac:dyDescent="0.35">
      <c r="A272" t="s">
        <v>803</v>
      </c>
      <c r="B272">
        <v>1</v>
      </c>
      <c r="C272">
        <v>1</v>
      </c>
      <c r="D272" t="s">
        <v>1073</v>
      </c>
      <c r="E272" t="s">
        <v>1280</v>
      </c>
      <c r="I272" t="s">
        <v>1629</v>
      </c>
      <c r="M272" t="s">
        <v>1943</v>
      </c>
      <c r="Q272" t="s">
        <v>2295</v>
      </c>
      <c r="S272">
        <v>5</v>
      </c>
      <c r="T272" t="s">
        <v>2443</v>
      </c>
      <c r="U272" t="s">
        <v>2638</v>
      </c>
      <c r="Y272" t="s">
        <v>2948</v>
      </c>
      <c r="AC272" t="s">
        <v>3243</v>
      </c>
      <c r="AG272" t="s">
        <v>3505</v>
      </c>
      <c r="AK272" t="s">
        <v>3740</v>
      </c>
      <c r="AO272" t="s">
        <v>4024</v>
      </c>
      <c r="AS272" t="s">
        <v>4297</v>
      </c>
      <c r="AW272" t="s">
        <v>4548</v>
      </c>
      <c r="BA272" t="s">
        <v>4787</v>
      </c>
      <c r="BE272" t="s">
        <v>4948</v>
      </c>
      <c r="BG272" t="s">
        <v>5044</v>
      </c>
      <c r="BH272" t="s">
        <v>5284</v>
      </c>
      <c r="BI272" t="s">
        <v>5527</v>
      </c>
      <c r="BJ272" t="s">
        <v>5811</v>
      </c>
      <c r="BK272" t="s">
        <v>6087</v>
      </c>
      <c r="BL272" t="s">
        <v>6266</v>
      </c>
      <c r="BM272" t="s">
        <v>6424</v>
      </c>
      <c r="BN272" t="s">
        <v>6604</v>
      </c>
      <c r="BO272" t="s">
        <v>6759</v>
      </c>
      <c r="BP272" t="s">
        <v>6818</v>
      </c>
      <c r="BT272" t="s">
        <v>7076</v>
      </c>
      <c r="BU272" t="s">
        <v>7192</v>
      </c>
      <c r="BV272" t="s">
        <v>7306</v>
      </c>
      <c r="BW272" t="s">
        <v>7477</v>
      </c>
      <c r="BX272" t="s">
        <v>7601</v>
      </c>
      <c r="BZ272">
        <v>0</v>
      </c>
      <c r="CA272">
        <v>1</v>
      </c>
      <c r="CB272" t="s">
        <v>7679</v>
      </c>
      <c r="CC272" t="s">
        <v>7745</v>
      </c>
      <c r="CD272" t="s">
        <v>7829</v>
      </c>
      <c r="CE272" t="s">
        <v>8062</v>
      </c>
      <c r="CF272" s="144">
        <v>43965.50880787037</v>
      </c>
      <c r="CG272" s="144">
        <v>43965.514097222222</v>
      </c>
      <c r="CH272" t="s">
        <v>8399</v>
      </c>
    </row>
    <row r="273" spans="1:86" ht="15" hidden="1" customHeight="1" x14ac:dyDescent="0.35">
      <c r="A273" t="s">
        <v>804</v>
      </c>
      <c r="B273">
        <v>1</v>
      </c>
      <c r="C273">
        <v>1</v>
      </c>
      <c r="D273" t="s">
        <v>1074</v>
      </c>
      <c r="E273" t="s">
        <v>1280</v>
      </c>
      <c r="I273" t="s">
        <v>1630</v>
      </c>
      <c r="J273">
        <v>7</v>
      </c>
      <c r="L273" t="s">
        <v>1781</v>
      </c>
      <c r="M273" t="s">
        <v>1943</v>
      </c>
      <c r="Q273" t="s">
        <v>2296</v>
      </c>
      <c r="R273">
        <v>7</v>
      </c>
      <c r="T273" t="s">
        <v>2444</v>
      </c>
      <c r="U273" t="s">
        <v>2638</v>
      </c>
      <c r="Y273" t="s">
        <v>2949</v>
      </c>
      <c r="AA273">
        <v>7</v>
      </c>
      <c r="AB273" t="s">
        <v>3069</v>
      </c>
      <c r="AC273" t="s">
        <v>3244</v>
      </c>
      <c r="AD273">
        <v>7</v>
      </c>
      <c r="AG273" t="s">
        <v>3506</v>
      </c>
      <c r="AH273">
        <v>7</v>
      </c>
      <c r="AK273" t="s">
        <v>3740</v>
      </c>
      <c r="AO273" t="s">
        <v>4025</v>
      </c>
      <c r="AQ273">
        <v>7</v>
      </c>
      <c r="AR273" t="s">
        <v>4135</v>
      </c>
      <c r="AS273" t="s">
        <v>4297</v>
      </c>
      <c r="AW273" t="s">
        <v>4549</v>
      </c>
      <c r="AX273">
        <v>7</v>
      </c>
      <c r="BA273" t="s">
        <v>4788</v>
      </c>
      <c r="BB273">
        <v>7</v>
      </c>
      <c r="BE273" t="s">
        <v>4948</v>
      </c>
      <c r="BG273" t="s">
        <v>5044</v>
      </c>
      <c r="BH273" t="s">
        <v>5285</v>
      </c>
      <c r="BI273" t="s">
        <v>5527</v>
      </c>
      <c r="BJ273" t="s">
        <v>5812</v>
      </c>
      <c r="BK273" t="s">
        <v>6087</v>
      </c>
      <c r="BL273" t="s">
        <v>6266</v>
      </c>
      <c r="BM273" t="s">
        <v>6424</v>
      </c>
      <c r="BN273" t="s">
        <v>6605</v>
      </c>
      <c r="BO273" t="s">
        <v>6759</v>
      </c>
      <c r="BP273" t="s">
        <v>6818</v>
      </c>
      <c r="BT273" t="s">
        <v>7077</v>
      </c>
      <c r="BU273" t="s">
        <v>7192</v>
      </c>
      <c r="BV273" t="s">
        <v>7306</v>
      </c>
      <c r="BW273" t="s">
        <v>7478</v>
      </c>
      <c r="BX273" t="s">
        <v>7601</v>
      </c>
      <c r="BZ273">
        <v>1</v>
      </c>
      <c r="CA273">
        <v>1</v>
      </c>
      <c r="CB273" t="s">
        <v>7680</v>
      </c>
      <c r="CC273" t="s">
        <v>7746</v>
      </c>
      <c r="CD273" t="s">
        <v>7830</v>
      </c>
      <c r="CE273" t="s">
        <v>8063</v>
      </c>
      <c r="CF273" s="144">
        <v>43965.473877314813</v>
      </c>
      <c r="CG273" s="144">
        <v>43965.481400462966</v>
      </c>
      <c r="CH273" t="s">
        <v>8400</v>
      </c>
    </row>
    <row r="274" spans="1:86" ht="15" hidden="1" customHeight="1" x14ac:dyDescent="0.35">
      <c r="A274" t="s">
        <v>805</v>
      </c>
      <c r="B274">
        <v>1</v>
      </c>
      <c r="C274">
        <v>1</v>
      </c>
      <c r="D274" t="s">
        <v>1075</v>
      </c>
      <c r="E274" t="s">
        <v>1281</v>
      </c>
      <c r="F274">
        <v>8</v>
      </c>
      <c r="H274" t="s">
        <v>1432</v>
      </c>
      <c r="I274" t="s">
        <v>1631</v>
      </c>
      <c r="M274" t="s">
        <v>1944</v>
      </c>
      <c r="N274">
        <v>8</v>
      </c>
      <c r="P274" t="s">
        <v>2078</v>
      </c>
      <c r="Q274" t="s">
        <v>2297</v>
      </c>
      <c r="S274">
        <v>8</v>
      </c>
      <c r="T274" t="s">
        <v>2445</v>
      </c>
      <c r="U274" t="s">
        <v>2639</v>
      </c>
      <c r="W274">
        <v>8</v>
      </c>
      <c r="X274" t="s">
        <v>2764</v>
      </c>
      <c r="Y274" t="s">
        <v>2950</v>
      </c>
      <c r="AC274" t="s">
        <v>3245</v>
      </c>
      <c r="AG274" t="s">
        <v>3507</v>
      </c>
      <c r="AK274" t="s">
        <v>3740</v>
      </c>
      <c r="AO274" t="s">
        <v>4025</v>
      </c>
      <c r="AQ274">
        <v>8</v>
      </c>
      <c r="AR274" t="s">
        <v>4136</v>
      </c>
      <c r="AS274" t="s">
        <v>4298</v>
      </c>
      <c r="AT274">
        <v>8</v>
      </c>
      <c r="AV274" t="s">
        <v>4393</v>
      </c>
      <c r="AW274" t="s">
        <v>4550</v>
      </c>
      <c r="BA274" t="s">
        <v>4789</v>
      </c>
      <c r="BC274">
        <v>8</v>
      </c>
      <c r="BD274" t="s">
        <v>4884</v>
      </c>
      <c r="BE274" t="s">
        <v>4948</v>
      </c>
      <c r="BG274" t="s">
        <v>5044</v>
      </c>
      <c r="BH274" t="s">
        <v>5286</v>
      </c>
      <c r="BI274" t="s">
        <v>5527</v>
      </c>
      <c r="BJ274" t="s">
        <v>5813</v>
      </c>
      <c r="BK274" t="s">
        <v>6088</v>
      </c>
      <c r="BL274" t="s">
        <v>6266</v>
      </c>
      <c r="BM274" t="s">
        <v>6424</v>
      </c>
      <c r="BN274" t="s">
        <v>6606</v>
      </c>
      <c r="BO274" t="s">
        <v>6760</v>
      </c>
      <c r="BP274" t="s">
        <v>6819</v>
      </c>
      <c r="BQ274" t="s">
        <v>6843</v>
      </c>
      <c r="BR274" t="s">
        <v>6860</v>
      </c>
      <c r="BS274" t="s">
        <v>6875</v>
      </c>
      <c r="BT274" t="s">
        <v>7078</v>
      </c>
      <c r="BU274" t="s">
        <v>7192</v>
      </c>
      <c r="BV274" t="s">
        <v>7307</v>
      </c>
      <c r="BW274" t="s">
        <v>7479</v>
      </c>
      <c r="BX274" t="s">
        <v>7601</v>
      </c>
      <c r="BZ274">
        <v>0</v>
      </c>
      <c r="CA274">
        <v>0</v>
      </c>
      <c r="CE274" t="s">
        <v>8063</v>
      </c>
      <c r="CF274" s="144">
        <v>43965.427719907406</v>
      </c>
      <c r="CG274" s="144">
        <v>43965.438333333332</v>
      </c>
      <c r="CH274" t="s">
        <v>8401</v>
      </c>
    </row>
    <row r="275" spans="1:86" ht="15" hidden="1" customHeight="1" x14ac:dyDescent="0.35">
      <c r="A275" t="s">
        <v>806</v>
      </c>
      <c r="B275">
        <v>1</v>
      </c>
      <c r="C275">
        <v>1</v>
      </c>
      <c r="D275" t="s">
        <v>1076</v>
      </c>
      <c r="E275" t="s">
        <v>1281</v>
      </c>
      <c r="F275">
        <v>5</v>
      </c>
      <c r="H275" t="s">
        <v>1433</v>
      </c>
      <c r="I275" t="s">
        <v>1632</v>
      </c>
      <c r="K275">
        <v>5</v>
      </c>
      <c r="L275" t="s">
        <v>1782</v>
      </c>
      <c r="M275" t="s">
        <v>1944</v>
      </c>
      <c r="N275">
        <v>5</v>
      </c>
      <c r="P275" t="s">
        <v>2079</v>
      </c>
      <c r="Q275" t="s">
        <v>2297</v>
      </c>
      <c r="S275">
        <v>6</v>
      </c>
      <c r="T275" t="s">
        <v>2446</v>
      </c>
      <c r="U275" t="s">
        <v>2640</v>
      </c>
      <c r="Y275" t="s">
        <v>2951</v>
      </c>
      <c r="Z275">
        <v>5</v>
      </c>
      <c r="AB275" t="s">
        <v>3070</v>
      </c>
      <c r="AC275" t="s">
        <v>3246</v>
      </c>
      <c r="AD275">
        <v>4</v>
      </c>
      <c r="AF275" t="s">
        <v>3363</v>
      </c>
      <c r="AG275" t="s">
        <v>3507</v>
      </c>
      <c r="AK275" t="s">
        <v>3740</v>
      </c>
      <c r="AO275" t="s">
        <v>4025</v>
      </c>
      <c r="AQ275">
        <v>4</v>
      </c>
      <c r="AR275" t="s">
        <v>4137</v>
      </c>
      <c r="AS275" t="s">
        <v>4298</v>
      </c>
      <c r="AT275">
        <v>4</v>
      </c>
      <c r="AV275" t="s">
        <v>4394</v>
      </c>
      <c r="AW275" t="s">
        <v>4550</v>
      </c>
      <c r="BA275" t="s">
        <v>4790</v>
      </c>
      <c r="BB275">
        <v>5</v>
      </c>
      <c r="BD275" t="s">
        <v>4885</v>
      </c>
      <c r="BE275" t="s">
        <v>4948</v>
      </c>
      <c r="BG275" t="s">
        <v>5044</v>
      </c>
      <c r="BH275" t="s">
        <v>5287</v>
      </c>
      <c r="BI275" t="s">
        <v>5527</v>
      </c>
      <c r="BJ275" t="s">
        <v>5814</v>
      </c>
      <c r="BK275" t="s">
        <v>6089</v>
      </c>
      <c r="BL275" t="s">
        <v>6267</v>
      </c>
      <c r="BM275" t="s">
        <v>6424</v>
      </c>
      <c r="BN275" t="s">
        <v>6607</v>
      </c>
      <c r="BO275" t="s">
        <v>6761</v>
      </c>
      <c r="BP275" t="s">
        <v>6820</v>
      </c>
      <c r="BT275" t="s">
        <v>7078</v>
      </c>
      <c r="BU275" t="s">
        <v>7192</v>
      </c>
      <c r="BV275" t="s">
        <v>7307</v>
      </c>
      <c r="BW275" t="s">
        <v>7479</v>
      </c>
      <c r="BX275" t="s">
        <v>7601</v>
      </c>
      <c r="BZ275">
        <v>0</v>
      </c>
      <c r="CA275">
        <v>0</v>
      </c>
      <c r="CE275" t="s">
        <v>8064</v>
      </c>
      <c r="CF275" s="144">
        <v>43965.388090277775</v>
      </c>
      <c r="CG275" s="144">
        <v>43965.398298611108</v>
      </c>
      <c r="CH275" t="s">
        <v>8402</v>
      </c>
    </row>
    <row r="276" spans="1:86" ht="15" hidden="1" customHeight="1" x14ac:dyDescent="0.35">
      <c r="A276" t="s">
        <v>807</v>
      </c>
      <c r="B276">
        <v>1</v>
      </c>
      <c r="C276">
        <v>1</v>
      </c>
      <c r="D276" t="s">
        <v>1077</v>
      </c>
      <c r="E276" t="s">
        <v>1282</v>
      </c>
      <c r="I276" t="s">
        <v>1633</v>
      </c>
      <c r="M276" t="s">
        <v>1945</v>
      </c>
      <c r="Q276" t="s">
        <v>2298</v>
      </c>
      <c r="U276" t="s">
        <v>2640</v>
      </c>
      <c r="Y276" t="s">
        <v>2952</v>
      </c>
      <c r="AC276" t="s">
        <v>3247</v>
      </c>
      <c r="AG276" t="s">
        <v>3507</v>
      </c>
      <c r="AK276" t="s">
        <v>3740</v>
      </c>
      <c r="AO276" t="s">
        <v>4026</v>
      </c>
      <c r="AS276" t="s">
        <v>4299</v>
      </c>
      <c r="AW276" t="s">
        <v>4550</v>
      </c>
      <c r="BA276" t="s">
        <v>4791</v>
      </c>
      <c r="BE276" t="s">
        <v>4948</v>
      </c>
      <c r="BG276" t="s">
        <v>5044</v>
      </c>
      <c r="BH276" t="s">
        <v>5288</v>
      </c>
      <c r="BI276" t="s">
        <v>5527</v>
      </c>
      <c r="BJ276" t="s">
        <v>5815</v>
      </c>
      <c r="BK276" t="s">
        <v>6089</v>
      </c>
      <c r="BL276" t="s">
        <v>6268</v>
      </c>
      <c r="BM276" t="s">
        <v>6424</v>
      </c>
      <c r="BN276" t="s">
        <v>6607</v>
      </c>
      <c r="BO276" t="s">
        <v>6761</v>
      </c>
      <c r="BP276" t="s">
        <v>6820</v>
      </c>
      <c r="BT276" t="s">
        <v>7078</v>
      </c>
      <c r="BU276" t="s">
        <v>7192</v>
      </c>
      <c r="BV276" t="s">
        <v>7308</v>
      </c>
      <c r="BW276" t="s">
        <v>7480</v>
      </c>
      <c r="BX276" t="s">
        <v>7602</v>
      </c>
      <c r="BZ276">
        <v>0</v>
      </c>
      <c r="CA276">
        <v>1</v>
      </c>
      <c r="CB276" t="s">
        <v>7681</v>
      </c>
      <c r="CC276" t="s">
        <v>7747</v>
      </c>
      <c r="CD276" t="s">
        <v>7831</v>
      </c>
      <c r="CE276" t="s">
        <v>8064</v>
      </c>
      <c r="CF276" s="144">
        <v>43965.386874999997</v>
      </c>
      <c r="CG276" s="144">
        <v>43965.391562500001</v>
      </c>
      <c r="CH276" t="s">
        <v>8402</v>
      </c>
    </row>
    <row r="277" spans="1:86" ht="15" hidden="1" customHeight="1" x14ac:dyDescent="0.35">
      <c r="A277" t="s">
        <v>808</v>
      </c>
      <c r="B277">
        <v>1</v>
      </c>
      <c r="C277">
        <v>1</v>
      </c>
      <c r="D277" t="s">
        <v>1078</v>
      </c>
      <c r="E277" t="s">
        <v>1283</v>
      </c>
      <c r="F277">
        <v>7</v>
      </c>
      <c r="I277" t="s">
        <v>1634</v>
      </c>
      <c r="J277">
        <v>8</v>
      </c>
      <c r="M277" t="s">
        <v>1945</v>
      </c>
      <c r="Q277" t="s">
        <v>2299</v>
      </c>
      <c r="R277">
        <v>5</v>
      </c>
      <c r="U277" t="s">
        <v>2640</v>
      </c>
      <c r="Y277" t="s">
        <v>2953</v>
      </c>
      <c r="AA277">
        <v>5</v>
      </c>
      <c r="AC277" t="s">
        <v>3247</v>
      </c>
      <c r="AG277" t="s">
        <v>3508</v>
      </c>
      <c r="AH277">
        <v>8</v>
      </c>
      <c r="AJ277" t="s">
        <v>3585</v>
      </c>
      <c r="AK277" t="s">
        <v>3741</v>
      </c>
      <c r="AL277">
        <v>6</v>
      </c>
      <c r="AO277" t="s">
        <v>4026</v>
      </c>
      <c r="AS277" t="s">
        <v>4300</v>
      </c>
      <c r="AT277">
        <v>6</v>
      </c>
      <c r="AW277" t="s">
        <v>4551</v>
      </c>
      <c r="AY277">
        <v>7</v>
      </c>
      <c r="BA277" t="s">
        <v>4792</v>
      </c>
      <c r="BC277">
        <v>6</v>
      </c>
      <c r="BE277" t="s">
        <v>4948</v>
      </c>
      <c r="BG277" t="s">
        <v>5044</v>
      </c>
      <c r="BH277" t="s">
        <v>5289</v>
      </c>
      <c r="BI277" t="s">
        <v>5528</v>
      </c>
      <c r="BJ277" t="s">
        <v>5816</v>
      </c>
      <c r="BK277" t="s">
        <v>6090</v>
      </c>
      <c r="BL277" t="s">
        <v>6268</v>
      </c>
      <c r="BM277" t="s">
        <v>6424</v>
      </c>
      <c r="BN277" t="s">
        <v>6608</v>
      </c>
      <c r="BO277" t="s">
        <v>6761</v>
      </c>
      <c r="BP277" t="s">
        <v>6820</v>
      </c>
      <c r="BT277" t="s">
        <v>7078</v>
      </c>
      <c r="BU277" t="s">
        <v>7192</v>
      </c>
      <c r="BV277" t="s">
        <v>7309</v>
      </c>
      <c r="BW277" t="s">
        <v>7481</v>
      </c>
      <c r="BX277" t="s">
        <v>7603</v>
      </c>
      <c r="BZ277">
        <v>0</v>
      </c>
      <c r="CA277">
        <v>1</v>
      </c>
      <c r="CB277" t="s">
        <v>7681</v>
      </c>
      <c r="CC277" t="s">
        <v>7748</v>
      </c>
      <c r="CD277" t="s">
        <v>7832</v>
      </c>
      <c r="CE277" t="s">
        <v>8065</v>
      </c>
      <c r="CF277" s="144">
        <v>43965.308611111112</v>
      </c>
      <c r="CG277" s="144">
        <v>43965.316712962966</v>
      </c>
      <c r="CH277" t="s">
        <v>8403</v>
      </c>
    </row>
    <row r="278" spans="1:86" ht="15" hidden="1" customHeight="1" x14ac:dyDescent="0.35">
      <c r="A278" t="s">
        <v>809</v>
      </c>
      <c r="B278">
        <v>1</v>
      </c>
      <c r="C278">
        <v>1</v>
      </c>
      <c r="D278" t="s">
        <v>1078</v>
      </c>
      <c r="E278" t="s">
        <v>1283</v>
      </c>
      <c r="F278">
        <v>7</v>
      </c>
      <c r="H278" t="s">
        <v>1434</v>
      </c>
      <c r="I278" t="s">
        <v>1635</v>
      </c>
      <c r="M278" t="s">
        <v>1945</v>
      </c>
      <c r="Q278" t="s">
        <v>2300</v>
      </c>
      <c r="S278">
        <v>6</v>
      </c>
      <c r="T278" t="s">
        <v>2447</v>
      </c>
      <c r="U278" t="s">
        <v>2641</v>
      </c>
      <c r="W278">
        <v>6</v>
      </c>
      <c r="X278" t="s">
        <v>2765</v>
      </c>
      <c r="Y278" t="s">
        <v>2953</v>
      </c>
      <c r="AA278">
        <v>4</v>
      </c>
      <c r="AB278" t="s">
        <v>3071</v>
      </c>
      <c r="AC278" t="s">
        <v>3247</v>
      </c>
      <c r="AG278" t="s">
        <v>3509</v>
      </c>
      <c r="AK278" t="s">
        <v>3742</v>
      </c>
      <c r="AO278" t="s">
        <v>4027</v>
      </c>
      <c r="AQ278">
        <v>6</v>
      </c>
      <c r="AR278" t="s">
        <v>4138</v>
      </c>
      <c r="AS278" t="s">
        <v>4301</v>
      </c>
      <c r="AW278" t="s">
        <v>4552</v>
      </c>
      <c r="BA278" t="s">
        <v>4792</v>
      </c>
      <c r="BC278">
        <v>6</v>
      </c>
      <c r="BD278" t="s">
        <v>4886</v>
      </c>
      <c r="BE278" t="s">
        <v>4948</v>
      </c>
      <c r="BG278" t="s">
        <v>5045</v>
      </c>
      <c r="BH278" t="s">
        <v>5290</v>
      </c>
      <c r="BI278" t="s">
        <v>5529</v>
      </c>
      <c r="BJ278" t="s">
        <v>5817</v>
      </c>
      <c r="BK278" t="s">
        <v>6091</v>
      </c>
      <c r="BL278" t="s">
        <v>6269</v>
      </c>
      <c r="BM278" t="s">
        <v>6424</v>
      </c>
      <c r="BN278" t="s">
        <v>6609</v>
      </c>
      <c r="BO278" t="s">
        <v>6761</v>
      </c>
      <c r="BP278" t="s">
        <v>6820</v>
      </c>
      <c r="BT278" t="s">
        <v>7079</v>
      </c>
      <c r="BU278" t="s">
        <v>7192</v>
      </c>
      <c r="BV278" t="s">
        <v>7310</v>
      </c>
      <c r="BW278" t="s">
        <v>7482</v>
      </c>
      <c r="BX278" t="s">
        <v>7603</v>
      </c>
      <c r="BZ278">
        <v>0</v>
      </c>
      <c r="CA278">
        <v>1</v>
      </c>
      <c r="CB278" t="s">
        <v>7681</v>
      </c>
      <c r="CC278" t="s">
        <v>7748</v>
      </c>
      <c r="CD278" t="s">
        <v>7833</v>
      </c>
      <c r="CE278" t="s">
        <v>8065</v>
      </c>
      <c r="CF278" s="144">
        <v>43964.667638888888</v>
      </c>
      <c r="CG278" s="144">
        <v>43964.677662037036</v>
      </c>
      <c r="CH278" t="s">
        <v>8404</v>
      </c>
    </row>
    <row r="279" spans="1:86" ht="15" hidden="1" customHeight="1" x14ac:dyDescent="0.35">
      <c r="A279" t="s">
        <v>810</v>
      </c>
      <c r="B279">
        <v>1</v>
      </c>
      <c r="C279">
        <v>1</v>
      </c>
      <c r="D279" t="s">
        <v>1078</v>
      </c>
      <c r="E279" t="s">
        <v>1284</v>
      </c>
      <c r="I279" t="s">
        <v>1635</v>
      </c>
      <c r="M279" t="s">
        <v>1946</v>
      </c>
      <c r="N279">
        <v>7</v>
      </c>
      <c r="P279" t="s">
        <v>2080</v>
      </c>
      <c r="Q279" t="s">
        <v>2301</v>
      </c>
      <c r="U279" t="s">
        <v>2642</v>
      </c>
      <c r="Y279" t="s">
        <v>2954</v>
      </c>
      <c r="AB279" s="22"/>
      <c r="AC279" t="s">
        <v>3247</v>
      </c>
      <c r="AG279" t="s">
        <v>3509</v>
      </c>
      <c r="AK279" t="s">
        <v>3742</v>
      </c>
      <c r="AO279" t="s">
        <v>4028</v>
      </c>
      <c r="AS279" t="s">
        <v>4301</v>
      </c>
      <c r="AW279" t="s">
        <v>4552</v>
      </c>
      <c r="BA279" t="s">
        <v>4793</v>
      </c>
      <c r="BE279" t="s">
        <v>4948</v>
      </c>
      <c r="BG279" t="s">
        <v>5046</v>
      </c>
      <c r="BH279" t="s">
        <v>5290</v>
      </c>
      <c r="BI279" t="s">
        <v>5530</v>
      </c>
      <c r="BJ279" t="s">
        <v>5817</v>
      </c>
      <c r="BK279" t="s">
        <v>6091</v>
      </c>
      <c r="BL279" t="s">
        <v>6270</v>
      </c>
      <c r="BM279" t="s">
        <v>6425</v>
      </c>
      <c r="BN279" t="s">
        <v>6609</v>
      </c>
      <c r="BO279" t="s">
        <v>6761</v>
      </c>
      <c r="BP279" t="s">
        <v>6820</v>
      </c>
      <c r="BT279" t="s">
        <v>7080</v>
      </c>
      <c r="BU279" t="s">
        <v>7192</v>
      </c>
      <c r="BV279" t="s">
        <v>7311</v>
      </c>
      <c r="BW279" t="s">
        <v>7483</v>
      </c>
      <c r="BX279" t="s">
        <v>7603</v>
      </c>
      <c r="BZ279">
        <v>0</v>
      </c>
      <c r="CA279">
        <v>0</v>
      </c>
      <c r="CE279" t="s">
        <v>8066</v>
      </c>
      <c r="CF279" s="144">
        <v>43964.649143518516</v>
      </c>
      <c r="CG279" s="144">
        <v>43964.656018518515</v>
      </c>
      <c r="CH279" t="s">
        <v>8405</v>
      </c>
    </row>
    <row r="280" spans="1:86" ht="15" hidden="1" customHeight="1" x14ac:dyDescent="0.35">
      <c r="A280" t="s">
        <v>811</v>
      </c>
      <c r="B280">
        <v>1</v>
      </c>
      <c r="C280">
        <v>1</v>
      </c>
      <c r="D280" t="s">
        <v>1079</v>
      </c>
      <c r="E280" t="s">
        <v>1285</v>
      </c>
      <c r="F280">
        <v>6</v>
      </c>
      <c r="H280" t="s">
        <v>1435</v>
      </c>
      <c r="I280" t="s">
        <v>1635</v>
      </c>
      <c r="M280" t="s">
        <v>1946</v>
      </c>
      <c r="N280">
        <v>7</v>
      </c>
      <c r="P280" t="s">
        <v>2081</v>
      </c>
      <c r="Q280" t="s">
        <v>2302</v>
      </c>
      <c r="S280">
        <v>5</v>
      </c>
      <c r="T280" t="s">
        <v>2448</v>
      </c>
      <c r="U280" t="s">
        <v>2643</v>
      </c>
      <c r="W280">
        <v>6</v>
      </c>
      <c r="X280" t="s">
        <v>2766</v>
      </c>
      <c r="Y280" t="s">
        <v>2955</v>
      </c>
      <c r="AA280">
        <v>5</v>
      </c>
      <c r="AB280" t="s">
        <v>3072</v>
      </c>
      <c r="AC280" t="s">
        <v>3248</v>
      </c>
      <c r="AE280">
        <v>4</v>
      </c>
      <c r="AF280" t="s">
        <v>3364</v>
      </c>
      <c r="AG280" t="s">
        <v>3509</v>
      </c>
      <c r="AK280" t="s">
        <v>3742</v>
      </c>
      <c r="AO280" t="s">
        <v>4029</v>
      </c>
      <c r="AQ280">
        <v>6</v>
      </c>
      <c r="AR280" t="s">
        <v>4139</v>
      </c>
      <c r="AS280" t="s">
        <v>4302</v>
      </c>
      <c r="AT280">
        <v>5</v>
      </c>
      <c r="AV280" t="s">
        <v>4395</v>
      </c>
      <c r="AW280" t="s">
        <v>4552</v>
      </c>
      <c r="BA280" t="s">
        <v>4794</v>
      </c>
      <c r="BC280">
        <v>6</v>
      </c>
      <c r="BD280" t="s">
        <v>4887</v>
      </c>
      <c r="BE280" t="s">
        <v>4948</v>
      </c>
      <c r="BG280" t="s">
        <v>5047</v>
      </c>
      <c r="BH280" t="s">
        <v>5290</v>
      </c>
      <c r="BI280" t="s">
        <v>5531</v>
      </c>
      <c r="BJ280" t="s">
        <v>5818</v>
      </c>
      <c r="BK280" t="s">
        <v>6091</v>
      </c>
      <c r="BL280" t="s">
        <v>6271</v>
      </c>
      <c r="BM280" t="s">
        <v>6426</v>
      </c>
      <c r="BN280" t="s">
        <v>6609</v>
      </c>
      <c r="BO280" t="s">
        <v>6761</v>
      </c>
      <c r="BP280" t="s">
        <v>6820</v>
      </c>
      <c r="BT280" t="s">
        <v>7081</v>
      </c>
      <c r="BU280" t="s">
        <v>7192</v>
      </c>
      <c r="BV280" t="s">
        <v>7312</v>
      </c>
      <c r="BW280" t="s">
        <v>7484</v>
      </c>
      <c r="BX280" t="s">
        <v>7603</v>
      </c>
      <c r="BZ280">
        <v>0</v>
      </c>
      <c r="CA280">
        <v>1</v>
      </c>
      <c r="CB280" t="s">
        <v>7681</v>
      </c>
      <c r="CC280" t="s">
        <v>7748</v>
      </c>
      <c r="CD280" t="s">
        <v>7834</v>
      </c>
      <c r="CE280" t="s">
        <v>8067</v>
      </c>
      <c r="CF280" s="144">
        <v>43964.62158564815</v>
      </c>
      <c r="CG280" s="144">
        <v>43964.630046296297</v>
      </c>
      <c r="CH280" t="s">
        <v>8406</v>
      </c>
    </row>
    <row r="281" spans="1:86" ht="15" hidden="1" customHeight="1" x14ac:dyDescent="0.35">
      <c r="A281" t="s">
        <v>812</v>
      </c>
      <c r="B281">
        <v>1</v>
      </c>
      <c r="C281">
        <v>1</v>
      </c>
      <c r="D281" t="s">
        <v>1080</v>
      </c>
      <c r="E281" t="s">
        <v>1285</v>
      </c>
      <c r="F281">
        <v>5</v>
      </c>
      <c r="H281" t="s">
        <v>1436</v>
      </c>
      <c r="I281" t="s">
        <v>1636</v>
      </c>
      <c r="J281">
        <v>5</v>
      </c>
      <c r="L281" t="s">
        <v>1783</v>
      </c>
      <c r="M281" t="s">
        <v>1947</v>
      </c>
      <c r="O281">
        <v>4</v>
      </c>
      <c r="P281" t="s">
        <v>2082</v>
      </c>
      <c r="Q281" t="s">
        <v>2303</v>
      </c>
      <c r="U281" t="s">
        <v>2644</v>
      </c>
      <c r="Y281" t="s">
        <v>2956</v>
      </c>
      <c r="AC281" t="s">
        <v>3249</v>
      </c>
      <c r="AG281" t="s">
        <v>3509</v>
      </c>
      <c r="AK281" t="s">
        <v>3742</v>
      </c>
      <c r="AO281" t="s">
        <v>4029</v>
      </c>
      <c r="AQ281">
        <v>7</v>
      </c>
      <c r="AR281" t="s">
        <v>4140</v>
      </c>
      <c r="AS281" t="s">
        <v>4303</v>
      </c>
      <c r="AW281" t="s">
        <v>4552</v>
      </c>
      <c r="BA281" t="s">
        <v>4794</v>
      </c>
      <c r="BC281">
        <v>5</v>
      </c>
      <c r="BD281" t="s">
        <v>4888</v>
      </c>
      <c r="BE281" t="s">
        <v>4948</v>
      </c>
      <c r="BG281" t="s">
        <v>5047</v>
      </c>
      <c r="BH281" t="s">
        <v>5290</v>
      </c>
      <c r="BI281" t="s">
        <v>5531</v>
      </c>
      <c r="BJ281" t="s">
        <v>5818</v>
      </c>
      <c r="BK281" t="s">
        <v>6092</v>
      </c>
      <c r="BL281" t="s">
        <v>6271</v>
      </c>
      <c r="BM281" t="s">
        <v>6426</v>
      </c>
      <c r="BN281" t="s">
        <v>6609</v>
      </c>
      <c r="BO281" t="s">
        <v>6761</v>
      </c>
      <c r="BP281" t="s">
        <v>6820</v>
      </c>
      <c r="BT281" t="s">
        <v>7082</v>
      </c>
      <c r="BU281" t="s">
        <v>7192</v>
      </c>
      <c r="BV281" t="s">
        <v>7313</v>
      </c>
      <c r="BW281" t="s">
        <v>7484</v>
      </c>
      <c r="BX281" t="s">
        <v>7603</v>
      </c>
      <c r="BZ281">
        <v>0</v>
      </c>
      <c r="CA281">
        <v>1</v>
      </c>
      <c r="CB281" t="s">
        <v>7681</v>
      </c>
      <c r="CC281" t="s">
        <v>7749</v>
      </c>
      <c r="CD281" t="s">
        <v>7834</v>
      </c>
      <c r="CE281" t="s">
        <v>8067</v>
      </c>
      <c r="CF281" s="144">
        <v>43964.610671296294</v>
      </c>
      <c r="CG281" s="144">
        <v>43964.621261574073</v>
      </c>
      <c r="CH281" t="s">
        <v>8406</v>
      </c>
    </row>
    <row r="282" spans="1:86" ht="15" hidden="1" customHeight="1" x14ac:dyDescent="0.35">
      <c r="A282" t="s">
        <v>813</v>
      </c>
      <c r="B282">
        <v>1</v>
      </c>
      <c r="C282">
        <v>1</v>
      </c>
      <c r="D282" t="s">
        <v>1080</v>
      </c>
      <c r="E282" t="s">
        <v>1286</v>
      </c>
      <c r="I282" t="s">
        <v>1637</v>
      </c>
      <c r="M282" t="s">
        <v>1948</v>
      </c>
      <c r="Q282" t="s">
        <v>2303</v>
      </c>
      <c r="U282" t="s">
        <v>2644</v>
      </c>
      <c r="Y282" t="s">
        <v>2956</v>
      </c>
      <c r="AC282" t="s">
        <v>3249</v>
      </c>
      <c r="AG282" t="s">
        <v>3509</v>
      </c>
      <c r="AK282" t="s">
        <v>3742</v>
      </c>
      <c r="AO282" t="s">
        <v>4030</v>
      </c>
      <c r="AS282" t="s">
        <v>4303</v>
      </c>
      <c r="AW282" t="s">
        <v>4552</v>
      </c>
      <c r="BA282" t="s">
        <v>4795</v>
      </c>
      <c r="BE282" t="s">
        <v>4948</v>
      </c>
      <c r="BG282" t="s">
        <v>5048</v>
      </c>
      <c r="BH282" t="s">
        <v>5291</v>
      </c>
      <c r="BI282" t="s">
        <v>5532</v>
      </c>
      <c r="BJ282" t="s">
        <v>5819</v>
      </c>
      <c r="BK282" t="s">
        <v>6092</v>
      </c>
      <c r="BL282" t="s">
        <v>6271</v>
      </c>
      <c r="BM282" t="s">
        <v>6427</v>
      </c>
      <c r="BN282" t="s">
        <v>6610</v>
      </c>
      <c r="BP282" t="s">
        <v>6821</v>
      </c>
      <c r="BQ282" t="s">
        <v>6843</v>
      </c>
      <c r="BR282" t="s">
        <v>6861</v>
      </c>
      <c r="BS282" t="s">
        <v>6876</v>
      </c>
      <c r="BT282" t="s">
        <v>7083</v>
      </c>
      <c r="BU282" t="s">
        <v>7193</v>
      </c>
      <c r="BV282" t="s">
        <v>7314</v>
      </c>
      <c r="BW282" t="s">
        <v>7485</v>
      </c>
      <c r="BX282" t="s">
        <v>7604</v>
      </c>
      <c r="BZ282">
        <v>0</v>
      </c>
      <c r="CA282">
        <v>0</v>
      </c>
      <c r="CE282" t="s">
        <v>8068</v>
      </c>
      <c r="CF282" s="144">
        <v>43964.541261574072</v>
      </c>
      <c r="CG282" s="144">
        <v>43964.542916666665</v>
      </c>
      <c r="CH282" t="s">
        <v>8407</v>
      </c>
    </row>
    <row r="283" spans="1:86" ht="15" hidden="1" customHeight="1" x14ac:dyDescent="0.35">
      <c r="A283" t="s">
        <v>814</v>
      </c>
      <c r="B283">
        <v>1</v>
      </c>
      <c r="C283">
        <v>1</v>
      </c>
      <c r="D283" t="s">
        <v>1081</v>
      </c>
      <c r="E283" t="s">
        <v>1287</v>
      </c>
      <c r="F283">
        <v>7</v>
      </c>
      <c r="I283" t="s">
        <v>1637</v>
      </c>
      <c r="M283" t="s">
        <v>1948</v>
      </c>
      <c r="Q283" t="s">
        <v>2304</v>
      </c>
      <c r="S283">
        <v>5</v>
      </c>
      <c r="U283" t="s">
        <v>2645</v>
      </c>
      <c r="W283">
        <v>8</v>
      </c>
      <c r="Y283" t="s">
        <v>2957</v>
      </c>
      <c r="AA283">
        <v>7</v>
      </c>
      <c r="AC283" t="s">
        <v>3249</v>
      </c>
      <c r="AG283" t="s">
        <v>3510</v>
      </c>
      <c r="AH283">
        <v>5</v>
      </c>
      <c r="AK283" t="s">
        <v>3743</v>
      </c>
      <c r="AM283">
        <v>4</v>
      </c>
      <c r="AO283" t="s">
        <v>4030</v>
      </c>
      <c r="AS283" t="s">
        <v>4304</v>
      </c>
      <c r="AT283">
        <v>5</v>
      </c>
      <c r="AW283" t="s">
        <v>4553</v>
      </c>
      <c r="AX283">
        <v>5</v>
      </c>
      <c r="BA283" t="s">
        <v>4795</v>
      </c>
      <c r="BE283" t="s">
        <v>4948</v>
      </c>
      <c r="BG283" t="s">
        <v>5048</v>
      </c>
      <c r="BH283" t="s">
        <v>5292</v>
      </c>
      <c r="BI283" t="s">
        <v>5533</v>
      </c>
      <c r="BJ283" t="s">
        <v>5820</v>
      </c>
      <c r="BK283" t="s">
        <v>6093</v>
      </c>
      <c r="BL283" t="s">
        <v>6272</v>
      </c>
      <c r="BM283" t="s">
        <v>6428</v>
      </c>
      <c r="BN283" t="s">
        <v>6611</v>
      </c>
      <c r="BO283" t="s">
        <v>6761</v>
      </c>
      <c r="BP283" t="s">
        <v>6822</v>
      </c>
      <c r="BT283" t="s">
        <v>7084</v>
      </c>
      <c r="BU283" t="s">
        <v>7194</v>
      </c>
      <c r="BV283" t="s">
        <v>7315</v>
      </c>
      <c r="BW283" t="s">
        <v>7486</v>
      </c>
      <c r="BX283" t="s">
        <v>7605</v>
      </c>
      <c r="BZ283">
        <v>0</v>
      </c>
      <c r="CA283">
        <v>1</v>
      </c>
      <c r="CB283" t="s">
        <v>7682</v>
      </c>
      <c r="CC283" t="s">
        <v>7750</v>
      </c>
      <c r="CD283" t="s">
        <v>7834</v>
      </c>
      <c r="CE283" t="s">
        <v>8069</v>
      </c>
      <c r="CF283" s="144">
        <v>43964.5156712963</v>
      </c>
      <c r="CG283" s="144">
        <v>43964.521319444444</v>
      </c>
      <c r="CH283" t="s">
        <v>8407</v>
      </c>
    </row>
    <row r="284" spans="1:86" ht="15" hidden="1" customHeight="1" x14ac:dyDescent="0.35">
      <c r="A284" t="s">
        <v>815</v>
      </c>
      <c r="B284">
        <v>1</v>
      </c>
      <c r="C284">
        <v>1</v>
      </c>
      <c r="D284" t="s">
        <v>1081</v>
      </c>
      <c r="E284" t="s">
        <v>1287</v>
      </c>
      <c r="F284">
        <v>4</v>
      </c>
      <c r="I284" t="s">
        <v>1638</v>
      </c>
      <c r="K284">
        <v>5</v>
      </c>
      <c r="M284" t="s">
        <v>1948</v>
      </c>
      <c r="Q284" t="s">
        <v>2304</v>
      </c>
      <c r="S284">
        <v>5</v>
      </c>
      <c r="U284" t="s">
        <v>2645</v>
      </c>
      <c r="W284">
        <v>6</v>
      </c>
      <c r="Y284" t="s">
        <v>2958</v>
      </c>
      <c r="AC284" t="s">
        <v>3249</v>
      </c>
      <c r="AG284" t="s">
        <v>3510</v>
      </c>
      <c r="AH284">
        <v>6</v>
      </c>
      <c r="AK284" t="s">
        <v>3744</v>
      </c>
      <c r="AL284">
        <v>8</v>
      </c>
      <c r="AO284" t="s">
        <v>4031</v>
      </c>
      <c r="AP284">
        <v>1</v>
      </c>
      <c r="AS284" t="s">
        <v>4305</v>
      </c>
      <c r="AW284" t="s">
        <v>4554</v>
      </c>
      <c r="AY284">
        <v>3</v>
      </c>
      <c r="BA284" t="s">
        <v>4796</v>
      </c>
      <c r="BC284">
        <v>5</v>
      </c>
      <c r="BE284" t="s">
        <v>4948</v>
      </c>
      <c r="BG284" t="s">
        <v>5049</v>
      </c>
      <c r="BH284" t="s">
        <v>5293</v>
      </c>
      <c r="BI284" t="s">
        <v>5534</v>
      </c>
      <c r="BJ284" t="s">
        <v>5821</v>
      </c>
      <c r="BK284" t="s">
        <v>6094</v>
      </c>
      <c r="BL284" t="s">
        <v>6273</v>
      </c>
      <c r="BM284" t="s">
        <v>6428</v>
      </c>
      <c r="BN284" t="s">
        <v>6611</v>
      </c>
      <c r="BO284" t="s">
        <v>6761</v>
      </c>
      <c r="BP284" t="s">
        <v>6822</v>
      </c>
      <c r="BT284" t="s">
        <v>7085</v>
      </c>
      <c r="BU284" t="s">
        <v>7194</v>
      </c>
      <c r="BV284" t="s">
        <v>7316</v>
      </c>
      <c r="BW284" t="s">
        <v>7486</v>
      </c>
      <c r="BX284" t="s">
        <v>7605</v>
      </c>
      <c r="BZ284">
        <v>0</v>
      </c>
      <c r="CA284">
        <v>1</v>
      </c>
      <c r="CB284" t="s">
        <v>7683</v>
      </c>
      <c r="CC284" t="s">
        <v>7751</v>
      </c>
      <c r="CD284" t="s">
        <v>7835</v>
      </c>
      <c r="CE284" t="s">
        <v>8070</v>
      </c>
      <c r="CF284" s="144">
        <v>43964.501504629632</v>
      </c>
      <c r="CG284" s="144">
        <v>43964.515555555554</v>
      </c>
      <c r="CH284" t="s">
        <v>8408</v>
      </c>
    </row>
    <row r="285" spans="1:86" ht="15" hidden="1" customHeight="1" x14ac:dyDescent="0.35">
      <c r="A285" t="s">
        <v>816</v>
      </c>
      <c r="B285">
        <v>1</v>
      </c>
      <c r="C285">
        <v>1</v>
      </c>
      <c r="D285" t="s">
        <v>1081</v>
      </c>
      <c r="E285" t="s">
        <v>1288</v>
      </c>
      <c r="I285" t="s">
        <v>1638</v>
      </c>
      <c r="K285">
        <v>5</v>
      </c>
      <c r="M285" t="s">
        <v>1948</v>
      </c>
      <c r="Q285" t="s">
        <v>2305</v>
      </c>
      <c r="U285" t="s">
        <v>2645</v>
      </c>
      <c r="W285">
        <v>5</v>
      </c>
      <c r="Y285" t="s">
        <v>2958</v>
      </c>
      <c r="AC285" t="s">
        <v>3249</v>
      </c>
      <c r="AG285" t="s">
        <v>3511</v>
      </c>
      <c r="AK285" t="s">
        <v>3745</v>
      </c>
      <c r="AO285" t="s">
        <v>4032</v>
      </c>
      <c r="AS285" t="s">
        <v>4306</v>
      </c>
      <c r="AT285">
        <v>7</v>
      </c>
      <c r="AW285" t="s">
        <v>4555</v>
      </c>
      <c r="BA285" t="s">
        <v>4796</v>
      </c>
      <c r="BC285">
        <v>7</v>
      </c>
      <c r="BE285" t="s">
        <v>4948</v>
      </c>
      <c r="BG285" t="s">
        <v>5049</v>
      </c>
      <c r="BH285" t="s">
        <v>5294</v>
      </c>
      <c r="BI285" t="s">
        <v>5535</v>
      </c>
      <c r="BJ285" t="s">
        <v>5822</v>
      </c>
      <c r="BK285" t="s">
        <v>6095</v>
      </c>
      <c r="BL285" t="s">
        <v>6274</v>
      </c>
      <c r="BM285" t="s">
        <v>6428</v>
      </c>
      <c r="BN285" t="s">
        <v>6611</v>
      </c>
      <c r="BO285" t="s">
        <v>6761</v>
      </c>
      <c r="BP285" t="s">
        <v>6822</v>
      </c>
      <c r="BT285" t="s">
        <v>7086</v>
      </c>
      <c r="BU285" t="s">
        <v>7194</v>
      </c>
      <c r="BV285" t="s">
        <v>7316</v>
      </c>
      <c r="BW285" t="s">
        <v>7486</v>
      </c>
      <c r="BX285" t="s">
        <v>7605</v>
      </c>
      <c r="BZ285">
        <v>0</v>
      </c>
      <c r="CA285">
        <v>1</v>
      </c>
      <c r="CB285" t="s">
        <v>7683</v>
      </c>
      <c r="CD285" t="s">
        <v>7836</v>
      </c>
      <c r="CE285" t="s">
        <v>8071</v>
      </c>
      <c r="CF285" s="144">
        <v>43964.507916666669</v>
      </c>
      <c r="CG285" s="144">
        <v>43964.512349537035</v>
      </c>
      <c r="CH285" s="24" t="s">
        <v>8409</v>
      </c>
    </row>
    <row r="286" spans="1:86" ht="15" hidden="1" customHeight="1" x14ac:dyDescent="0.35">
      <c r="A286" t="s">
        <v>817</v>
      </c>
      <c r="B286">
        <v>1</v>
      </c>
      <c r="C286">
        <v>1</v>
      </c>
      <c r="D286" t="s">
        <v>1082</v>
      </c>
      <c r="E286" t="s">
        <v>1289</v>
      </c>
      <c r="F286">
        <v>6</v>
      </c>
      <c r="H286" t="s">
        <v>1437</v>
      </c>
      <c r="I286" t="s">
        <v>1639</v>
      </c>
      <c r="M286" t="s">
        <v>1949</v>
      </c>
      <c r="N286">
        <v>6</v>
      </c>
      <c r="Q286" t="s">
        <v>2305</v>
      </c>
      <c r="U286" t="s">
        <v>2646</v>
      </c>
      <c r="V286">
        <v>6</v>
      </c>
      <c r="Y286" t="s">
        <v>2959</v>
      </c>
      <c r="Z286">
        <v>6</v>
      </c>
      <c r="AC286" t="s">
        <v>3249</v>
      </c>
      <c r="AG286" t="s">
        <v>3512</v>
      </c>
      <c r="AH286">
        <v>7</v>
      </c>
      <c r="AJ286" t="s">
        <v>3586</v>
      </c>
      <c r="AK286" t="s">
        <v>3746</v>
      </c>
      <c r="AL286">
        <v>6</v>
      </c>
      <c r="AO286" t="s">
        <v>4032</v>
      </c>
      <c r="AS286" t="s">
        <v>4307</v>
      </c>
      <c r="AU286">
        <v>7</v>
      </c>
      <c r="AW286" t="s">
        <v>4555</v>
      </c>
      <c r="BA286" t="s">
        <v>4797</v>
      </c>
      <c r="BB286">
        <v>6</v>
      </c>
      <c r="BE286" t="s">
        <v>4948</v>
      </c>
      <c r="BG286" t="s">
        <v>5049</v>
      </c>
      <c r="BH286" t="s">
        <v>5295</v>
      </c>
      <c r="BI286" t="s">
        <v>5535</v>
      </c>
      <c r="BJ286" t="s">
        <v>5823</v>
      </c>
      <c r="BK286" t="s">
        <v>6095</v>
      </c>
      <c r="BL286" t="s">
        <v>6274</v>
      </c>
      <c r="BM286" t="s">
        <v>6428</v>
      </c>
      <c r="BN286" t="s">
        <v>6611</v>
      </c>
      <c r="BO286" t="s">
        <v>6761</v>
      </c>
      <c r="BP286" t="s">
        <v>6822</v>
      </c>
      <c r="BT286" t="s">
        <v>7087</v>
      </c>
      <c r="BU286" t="s">
        <v>7194</v>
      </c>
      <c r="BV286" t="s">
        <v>7317</v>
      </c>
      <c r="BW286" t="s">
        <v>7486</v>
      </c>
      <c r="BX286" t="s">
        <v>7605</v>
      </c>
      <c r="BZ286">
        <v>0</v>
      </c>
      <c r="CA286">
        <v>1</v>
      </c>
      <c r="CB286" t="s">
        <v>7683</v>
      </c>
      <c r="CC286" t="s">
        <v>7752</v>
      </c>
      <c r="CD286" t="s">
        <v>7836</v>
      </c>
      <c r="CE286" t="s">
        <v>8072</v>
      </c>
      <c r="CF286" s="144">
        <v>43964.462222222224</v>
      </c>
      <c r="CG286" s="144">
        <v>43964.471608796295</v>
      </c>
      <c r="CH286" t="s">
        <v>8410</v>
      </c>
    </row>
    <row r="287" spans="1:86" ht="15" hidden="1" customHeight="1" x14ac:dyDescent="0.35">
      <c r="A287" t="s">
        <v>818</v>
      </c>
      <c r="B287">
        <v>1</v>
      </c>
      <c r="C287">
        <v>1</v>
      </c>
      <c r="D287" t="s">
        <v>1082</v>
      </c>
      <c r="E287" t="s">
        <v>1290</v>
      </c>
      <c r="I287" t="s">
        <v>1639</v>
      </c>
      <c r="M287" t="s">
        <v>1949</v>
      </c>
      <c r="N287">
        <v>6</v>
      </c>
      <c r="P287" t="s">
        <v>2083</v>
      </c>
      <c r="Q287" t="s">
        <v>2305</v>
      </c>
      <c r="U287" t="s">
        <v>2647</v>
      </c>
      <c r="W287">
        <v>7</v>
      </c>
      <c r="X287" t="s">
        <v>2767</v>
      </c>
      <c r="Y287" t="s">
        <v>2960</v>
      </c>
      <c r="AC287" t="s">
        <v>3250</v>
      </c>
      <c r="AD287">
        <v>6</v>
      </c>
      <c r="AF287" t="s">
        <v>3365</v>
      </c>
      <c r="AG287" t="s">
        <v>3513</v>
      </c>
      <c r="AK287" t="s">
        <v>3747</v>
      </c>
      <c r="AM287">
        <v>6</v>
      </c>
      <c r="AN287" t="s">
        <v>3831</v>
      </c>
      <c r="AO287" t="s">
        <v>4032</v>
      </c>
      <c r="BE287" t="s">
        <v>4948</v>
      </c>
      <c r="BG287" t="s">
        <v>5049</v>
      </c>
      <c r="BH287" t="s">
        <v>5295</v>
      </c>
      <c r="BI287" t="s">
        <v>5535</v>
      </c>
      <c r="BJ287" t="s">
        <v>5824</v>
      </c>
      <c r="BK287" t="s">
        <v>6096</v>
      </c>
      <c r="BL287" t="s">
        <v>6274</v>
      </c>
      <c r="BM287" t="s">
        <v>6428</v>
      </c>
      <c r="BN287" t="s">
        <v>6611</v>
      </c>
      <c r="BO287" t="s">
        <v>6761</v>
      </c>
      <c r="BP287" t="s">
        <v>6822</v>
      </c>
      <c r="BT287" t="s">
        <v>7087</v>
      </c>
      <c r="BU287" t="s">
        <v>7194</v>
      </c>
      <c r="BV287" t="s">
        <v>7318</v>
      </c>
      <c r="BW287" t="s">
        <v>7487</v>
      </c>
      <c r="BX287" t="s">
        <v>7605</v>
      </c>
      <c r="BZ287">
        <v>0</v>
      </c>
      <c r="CA287">
        <v>1</v>
      </c>
      <c r="CB287" t="s">
        <v>7684</v>
      </c>
      <c r="CC287" t="s">
        <v>7753</v>
      </c>
      <c r="CD287" t="s">
        <v>7837</v>
      </c>
      <c r="CE287" t="s">
        <v>8073</v>
      </c>
      <c r="CF287" s="144">
        <v>43936.535312499997</v>
      </c>
      <c r="CG287" s="144">
        <v>43936.546076388891</v>
      </c>
      <c r="CH287" t="s">
        <v>8411</v>
      </c>
    </row>
    <row r="288" spans="1:86" ht="15" hidden="1" customHeight="1" x14ac:dyDescent="0.35">
      <c r="A288" t="s">
        <v>819</v>
      </c>
      <c r="B288">
        <v>1</v>
      </c>
      <c r="C288">
        <v>1</v>
      </c>
      <c r="D288" t="s">
        <v>1082</v>
      </c>
      <c r="E288" t="s">
        <v>1290</v>
      </c>
      <c r="I288" t="s">
        <v>1639</v>
      </c>
      <c r="M288" t="s">
        <v>1949</v>
      </c>
      <c r="N288">
        <v>5</v>
      </c>
      <c r="Q288" t="s">
        <v>2305</v>
      </c>
      <c r="U288" t="s">
        <v>2648</v>
      </c>
      <c r="Y288" t="s">
        <v>2960</v>
      </c>
      <c r="AC288" t="s">
        <v>3251</v>
      </c>
      <c r="AG288" t="s">
        <v>3513</v>
      </c>
      <c r="AK288" t="s">
        <v>3748</v>
      </c>
      <c r="AL288">
        <v>6</v>
      </c>
      <c r="AO288" t="s">
        <v>4032</v>
      </c>
      <c r="BE288" t="s">
        <v>4948</v>
      </c>
      <c r="BG288" t="s">
        <v>5049</v>
      </c>
      <c r="BH288" t="s">
        <v>5296</v>
      </c>
      <c r="BI288" t="s">
        <v>5535</v>
      </c>
      <c r="BJ288" t="s">
        <v>5825</v>
      </c>
      <c r="BK288" t="s">
        <v>6097</v>
      </c>
      <c r="BL288" t="s">
        <v>6274</v>
      </c>
      <c r="BM288" t="s">
        <v>6428</v>
      </c>
      <c r="BN288" t="s">
        <v>6611</v>
      </c>
      <c r="BO288" t="s">
        <v>6761</v>
      </c>
      <c r="BP288" t="s">
        <v>6822</v>
      </c>
      <c r="BT288" t="s">
        <v>7087</v>
      </c>
      <c r="BU288" t="s">
        <v>7194</v>
      </c>
      <c r="BV288" t="s">
        <v>7318</v>
      </c>
      <c r="BW288" t="s">
        <v>7487</v>
      </c>
      <c r="BX288" t="s">
        <v>7605</v>
      </c>
      <c r="BZ288">
        <v>0</v>
      </c>
      <c r="CA288">
        <v>1</v>
      </c>
      <c r="CB288" t="s">
        <v>7685</v>
      </c>
      <c r="CC288" t="s">
        <v>7753</v>
      </c>
      <c r="CD288" t="s">
        <v>7838</v>
      </c>
      <c r="CE288" t="s">
        <v>8073</v>
      </c>
      <c r="CF288" s="144">
        <v>43924.564351851855</v>
      </c>
      <c r="CG288" s="144">
        <v>43924.569976851853</v>
      </c>
      <c r="CH288" t="s">
        <v>8412</v>
      </c>
    </row>
    <row r="289" spans="1:86" ht="15" hidden="1" customHeight="1" x14ac:dyDescent="0.35">
      <c r="A289" t="s">
        <v>820</v>
      </c>
      <c r="B289">
        <v>1</v>
      </c>
      <c r="C289">
        <v>1</v>
      </c>
      <c r="D289" t="s">
        <v>1083</v>
      </c>
      <c r="E289" t="s">
        <v>1290</v>
      </c>
      <c r="I289" t="s">
        <v>1640</v>
      </c>
      <c r="K289">
        <v>6</v>
      </c>
      <c r="M289" t="s">
        <v>1950</v>
      </c>
      <c r="O289">
        <v>5</v>
      </c>
      <c r="Q289" t="s">
        <v>2306</v>
      </c>
      <c r="S289">
        <v>6</v>
      </c>
      <c r="U289" t="s">
        <v>2649</v>
      </c>
      <c r="W289">
        <v>6</v>
      </c>
      <c r="Y289" t="s">
        <v>2961</v>
      </c>
      <c r="Z289">
        <v>6</v>
      </c>
      <c r="AC289" t="s">
        <v>3251</v>
      </c>
      <c r="AG289" t="s">
        <v>3513</v>
      </c>
      <c r="AK289" t="s">
        <v>3749</v>
      </c>
      <c r="AO289" t="s">
        <v>4032</v>
      </c>
      <c r="AS289" t="s">
        <v>4308</v>
      </c>
      <c r="AW289" t="s">
        <v>4555</v>
      </c>
      <c r="BA289" t="s">
        <v>4798</v>
      </c>
      <c r="BC289">
        <v>6</v>
      </c>
      <c r="BE289" t="s">
        <v>4948</v>
      </c>
      <c r="BG289" t="s">
        <v>5049</v>
      </c>
      <c r="BH289" t="s">
        <v>5297</v>
      </c>
      <c r="BI289" t="s">
        <v>5535</v>
      </c>
      <c r="BJ289" t="s">
        <v>5826</v>
      </c>
      <c r="BK289" t="s">
        <v>6097</v>
      </c>
      <c r="BL289" t="s">
        <v>6274</v>
      </c>
      <c r="BM289" t="s">
        <v>6428</v>
      </c>
      <c r="BN289" t="s">
        <v>6611</v>
      </c>
      <c r="BO289" t="s">
        <v>6761</v>
      </c>
      <c r="BP289" t="s">
        <v>6822</v>
      </c>
      <c r="BT289" t="s">
        <v>7087</v>
      </c>
      <c r="BU289" t="s">
        <v>7194</v>
      </c>
      <c r="BV289" t="s">
        <v>7318</v>
      </c>
      <c r="BW289" t="s">
        <v>7488</v>
      </c>
      <c r="BX289" t="s">
        <v>7605</v>
      </c>
      <c r="BZ289">
        <v>0</v>
      </c>
      <c r="CA289">
        <v>1</v>
      </c>
      <c r="CB289" t="s">
        <v>7686</v>
      </c>
      <c r="CC289" t="s">
        <v>7753</v>
      </c>
      <c r="CD289" t="s">
        <v>7838</v>
      </c>
      <c r="CE289" t="s">
        <v>8074</v>
      </c>
      <c r="CF289" s="144">
        <v>43924.356793981482</v>
      </c>
      <c r="CG289" s="144">
        <v>43924.380069444444</v>
      </c>
      <c r="CH289" t="s">
        <v>8413</v>
      </c>
    </row>
    <row r="290" spans="1:86" ht="15" hidden="1" customHeight="1" x14ac:dyDescent="0.35">
      <c r="A290" t="s">
        <v>821</v>
      </c>
      <c r="B290">
        <v>1</v>
      </c>
      <c r="C290">
        <v>1</v>
      </c>
      <c r="D290" t="s">
        <v>1083</v>
      </c>
      <c r="E290" t="s">
        <v>1290</v>
      </c>
      <c r="I290" t="s">
        <v>1641</v>
      </c>
      <c r="M290" t="s">
        <v>1951</v>
      </c>
      <c r="N290">
        <v>6</v>
      </c>
      <c r="Q290" t="s">
        <v>2306</v>
      </c>
      <c r="S290">
        <v>5</v>
      </c>
      <c r="U290" t="s">
        <v>2650</v>
      </c>
      <c r="Y290" t="s">
        <v>2962</v>
      </c>
      <c r="AC290" t="s">
        <v>3251</v>
      </c>
      <c r="AG290" t="s">
        <v>3513</v>
      </c>
      <c r="AK290" t="s">
        <v>3749</v>
      </c>
      <c r="AO290" t="s">
        <v>4032</v>
      </c>
      <c r="AS290" t="s">
        <v>4308</v>
      </c>
      <c r="AW290" t="s">
        <v>4555</v>
      </c>
      <c r="BA290" t="s">
        <v>4799</v>
      </c>
      <c r="BE290" t="s">
        <v>4948</v>
      </c>
      <c r="BG290" t="s">
        <v>5049</v>
      </c>
      <c r="BH290" t="s">
        <v>5297</v>
      </c>
      <c r="BI290" t="s">
        <v>5535</v>
      </c>
      <c r="BJ290" t="s">
        <v>5827</v>
      </c>
      <c r="BK290" t="s">
        <v>6097</v>
      </c>
      <c r="BL290" t="s">
        <v>6274</v>
      </c>
      <c r="BM290" t="s">
        <v>6428</v>
      </c>
      <c r="BN290" t="s">
        <v>6611</v>
      </c>
      <c r="BO290" t="s">
        <v>6761</v>
      </c>
      <c r="BP290" t="s">
        <v>6822</v>
      </c>
      <c r="BT290" t="s">
        <v>7087</v>
      </c>
      <c r="BU290" t="s">
        <v>7194</v>
      </c>
      <c r="BV290" t="s">
        <v>7318</v>
      </c>
      <c r="BW290" t="s">
        <v>7488</v>
      </c>
      <c r="BX290" t="s">
        <v>7605</v>
      </c>
      <c r="BZ290">
        <v>0</v>
      </c>
      <c r="CA290">
        <v>1</v>
      </c>
      <c r="CB290" t="s">
        <v>7686</v>
      </c>
      <c r="CC290" t="s">
        <v>7753</v>
      </c>
      <c r="CD290" t="s">
        <v>7838</v>
      </c>
      <c r="CE290" t="s">
        <v>8074</v>
      </c>
      <c r="CF290" s="144">
        <v>43924.320057870369</v>
      </c>
      <c r="CG290" s="144">
        <v>43924.322488425925</v>
      </c>
      <c r="CH290" t="s">
        <v>8413</v>
      </c>
    </row>
    <row r="291" spans="1:86" ht="15" hidden="1" customHeight="1" x14ac:dyDescent="0.35">
      <c r="A291" t="s">
        <v>822</v>
      </c>
      <c r="B291">
        <v>1</v>
      </c>
      <c r="C291">
        <v>1</v>
      </c>
      <c r="D291" t="s">
        <v>1083</v>
      </c>
      <c r="E291" t="s">
        <v>1290</v>
      </c>
      <c r="I291" t="s">
        <v>1641</v>
      </c>
      <c r="M291" t="s">
        <v>1952</v>
      </c>
      <c r="Q291" t="s">
        <v>2307</v>
      </c>
      <c r="U291" t="s">
        <v>2650</v>
      </c>
      <c r="Y291" t="s">
        <v>2962</v>
      </c>
      <c r="AC291" t="s">
        <v>3251</v>
      </c>
      <c r="AG291" t="s">
        <v>3513</v>
      </c>
      <c r="AK291" t="s">
        <v>3749</v>
      </c>
      <c r="AO291" t="s">
        <v>4032</v>
      </c>
      <c r="AS291" t="s">
        <v>4308</v>
      </c>
      <c r="AW291" t="s">
        <v>4555</v>
      </c>
      <c r="BA291" t="s">
        <v>4799</v>
      </c>
      <c r="BE291" t="s">
        <v>4948</v>
      </c>
      <c r="BG291" t="s">
        <v>5049</v>
      </c>
      <c r="BH291" t="s">
        <v>5297</v>
      </c>
      <c r="BI291" t="s">
        <v>5535</v>
      </c>
      <c r="BJ291" t="s">
        <v>5828</v>
      </c>
      <c r="BK291" t="s">
        <v>6097</v>
      </c>
      <c r="BL291" t="s">
        <v>6274</v>
      </c>
      <c r="BM291" t="s">
        <v>6428</v>
      </c>
      <c r="BN291" t="s">
        <v>6611</v>
      </c>
      <c r="BO291" t="s">
        <v>6761</v>
      </c>
      <c r="BP291" t="s">
        <v>6822</v>
      </c>
      <c r="BT291" t="s">
        <v>7088</v>
      </c>
      <c r="BU291" t="s">
        <v>7194</v>
      </c>
      <c r="BV291" t="s">
        <v>7318</v>
      </c>
      <c r="BW291" t="s">
        <v>7488</v>
      </c>
      <c r="BX291" t="s">
        <v>7605</v>
      </c>
      <c r="BZ291">
        <v>0</v>
      </c>
      <c r="CA291">
        <v>1</v>
      </c>
      <c r="CB291" t="s">
        <v>7686</v>
      </c>
      <c r="CC291" t="s">
        <v>7754</v>
      </c>
      <c r="CD291" t="s">
        <v>7838</v>
      </c>
      <c r="CE291" t="s">
        <v>8074</v>
      </c>
      <c r="CF291" s="144">
        <v>43922.442453703705</v>
      </c>
      <c r="CG291" s="144">
        <v>43922.445416666669</v>
      </c>
      <c r="CH291" t="s">
        <v>8413</v>
      </c>
    </row>
    <row r="292" spans="1:86" ht="15" hidden="1" customHeight="1" x14ac:dyDescent="0.35">
      <c r="A292" t="s">
        <v>823</v>
      </c>
      <c r="B292">
        <v>1</v>
      </c>
      <c r="C292">
        <v>1</v>
      </c>
      <c r="D292" t="s">
        <v>1084</v>
      </c>
      <c r="E292" t="s">
        <v>1291</v>
      </c>
      <c r="F292">
        <v>5</v>
      </c>
      <c r="H292" t="s">
        <v>1438</v>
      </c>
      <c r="I292" t="s">
        <v>1641</v>
      </c>
      <c r="M292" t="s">
        <v>1952</v>
      </c>
      <c r="Q292" t="s">
        <v>2307</v>
      </c>
      <c r="U292" t="s">
        <v>2650</v>
      </c>
      <c r="Y292" t="s">
        <v>2962</v>
      </c>
      <c r="AC292" t="s">
        <v>3251</v>
      </c>
      <c r="AG292" t="s">
        <v>3513</v>
      </c>
      <c r="AK292" t="s">
        <v>3749</v>
      </c>
      <c r="AO292" t="s">
        <v>4032</v>
      </c>
      <c r="BE292" t="s">
        <v>4948</v>
      </c>
      <c r="BG292" t="s">
        <v>5049</v>
      </c>
      <c r="BH292" t="s">
        <v>5298</v>
      </c>
      <c r="BI292" t="s">
        <v>5535</v>
      </c>
      <c r="BJ292" t="s">
        <v>5828</v>
      </c>
      <c r="BK292" t="s">
        <v>6097</v>
      </c>
      <c r="BL292" t="s">
        <v>6275</v>
      </c>
      <c r="BM292" t="s">
        <v>6429</v>
      </c>
      <c r="BN292" t="s">
        <v>6611</v>
      </c>
      <c r="BO292" t="s">
        <v>6761</v>
      </c>
      <c r="BP292" t="s">
        <v>6822</v>
      </c>
      <c r="BT292" t="s">
        <v>7089</v>
      </c>
      <c r="BU292" t="s">
        <v>7194</v>
      </c>
      <c r="BV292" t="s">
        <v>7318</v>
      </c>
      <c r="BW292" t="s">
        <v>7489</v>
      </c>
      <c r="BX292" t="s">
        <v>7605</v>
      </c>
      <c r="BZ292">
        <v>0</v>
      </c>
      <c r="CA292">
        <v>1</v>
      </c>
      <c r="CB292" t="s">
        <v>7687</v>
      </c>
      <c r="CC292" t="s">
        <v>7755</v>
      </c>
      <c r="CD292" t="s">
        <v>7838</v>
      </c>
      <c r="CE292" t="s">
        <v>8074</v>
      </c>
      <c r="CF292" s="144">
        <v>43922.307997685188</v>
      </c>
      <c r="CG292" s="144">
        <v>43922.317187499997</v>
      </c>
      <c r="CH292" t="s">
        <v>8414</v>
      </c>
    </row>
    <row r="293" spans="1:86" ht="15" hidden="1" customHeight="1" x14ac:dyDescent="0.35">
      <c r="A293" t="s">
        <v>824</v>
      </c>
      <c r="B293">
        <v>1</v>
      </c>
      <c r="C293">
        <v>1</v>
      </c>
      <c r="D293" t="s">
        <v>1084</v>
      </c>
      <c r="E293" t="s">
        <v>1292</v>
      </c>
      <c r="I293" t="s">
        <v>1641</v>
      </c>
      <c r="M293" t="s">
        <v>1952</v>
      </c>
      <c r="Q293" t="s">
        <v>2307</v>
      </c>
      <c r="U293" t="s">
        <v>2650</v>
      </c>
      <c r="Y293" t="s">
        <v>2962</v>
      </c>
      <c r="AC293" t="s">
        <v>3251</v>
      </c>
      <c r="AG293" t="s">
        <v>3513</v>
      </c>
      <c r="AK293" t="s">
        <v>3749</v>
      </c>
      <c r="AO293" t="s">
        <v>4032</v>
      </c>
      <c r="BE293" t="s">
        <v>4948</v>
      </c>
      <c r="BG293" t="s">
        <v>5050</v>
      </c>
      <c r="BH293" t="s">
        <v>5298</v>
      </c>
      <c r="BI293" t="s">
        <v>5536</v>
      </c>
      <c r="BJ293" t="s">
        <v>5829</v>
      </c>
      <c r="BK293" t="s">
        <v>6098</v>
      </c>
      <c r="BL293" t="s">
        <v>6275</v>
      </c>
      <c r="BM293" t="s">
        <v>6430</v>
      </c>
      <c r="BN293" t="s">
        <v>6611</v>
      </c>
      <c r="BO293" t="s">
        <v>6761</v>
      </c>
      <c r="BP293" t="s">
        <v>6822</v>
      </c>
      <c r="BT293" t="s">
        <v>7090</v>
      </c>
      <c r="BU293" t="s">
        <v>7194</v>
      </c>
      <c r="BV293" t="s">
        <v>7319</v>
      </c>
      <c r="BW293" t="s">
        <v>7490</v>
      </c>
      <c r="BX293" t="s">
        <v>7606</v>
      </c>
      <c r="BZ293">
        <v>0</v>
      </c>
      <c r="CA293">
        <v>1</v>
      </c>
      <c r="CB293" t="s">
        <v>7687</v>
      </c>
      <c r="CC293" t="s">
        <v>7755</v>
      </c>
      <c r="CD293" t="s">
        <v>7838</v>
      </c>
      <c r="CE293" t="s">
        <v>8074</v>
      </c>
      <c r="CF293" s="144">
        <v>43921.417511574073</v>
      </c>
      <c r="CG293" s="144">
        <v>43921.423252314817</v>
      </c>
      <c r="CH293" t="s">
        <v>8415</v>
      </c>
    </row>
    <row r="294" spans="1:86" ht="15" hidden="1" customHeight="1" x14ac:dyDescent="0.35">
      <c r="A294" t="s">
        <v>825</v>
      </c>
      <c r="B294">
        <v>1</v>
      </c>
      <c r="C294">
        <v>1</v>
      </c>
      <c r="D294" t="s">
        <v>1085</v>
      </c>
      <c r="E294" t="s">
        <v>1292</v>
      </c>
      <c r="I294" t="s">
        <v>1641</v>
      </c>
      <c r="M294" t="s">
        <v>1952</v>
      </c>
      <c r="Q294" t="s">
        <v>2307</v>
      </c>
      <c r="U294" t="s">
        <v>2650</v>
      </c>
      <c r="Y294" t="s">
        <v>2962</v>
      </c>
      <c r="AC294" t="s">
        <v>3251</v>
      </c>
      <c r="AG294" t="s">
        <v>3513</v>
      </c>
      <c r="AK294" t="s">
        <v>3749</v>
      </c>
      <c r="AO294" t="s">
        <v>4032</v>
      </c>
      <c r="AS294" t="s">
        <v>4308</v>
      </c>
      <c r="AW294" t="s">
        <v>4555</v>
      </c>
      <c r="BA294" t="s">
        <v>4799</v>
      </c>
      <c r="BE294" t="s">
        <v>4948</v>
      </c>
      <c r="BG294" t="s">
        <v>5051</v>
      </c>
      <c r="BH294" t="s">
        <v>5299</v>
      </c>
      <c r="BI294" t="s">
        <v>5537</v>
      </c>
      <c r="BJ294" t="s">
        <v>5830</v>
      </c>
      <c r="BK294" t="s">
        <v>6099</v>
      </c>
      <c r="BL294" t="s">
        <v>6276</v>
      </c>
      <c r="BM294" t="s">
        <v>6430</v>
      </c>
      <c r="BN294" t="s">
        <v>6611</v>
      </c>
      <c r="BO294" t="s">
        <v>6761</v>
      </c>
      <c r="BP294" t="s">
        <v>6822</v>
      </c>
      <c r="BT294" t="s">
        <v>7091</v>
      </c>
      <c r="BU294" t="s">
        <v>7194</v>
      </c>
      <c r="BV294" t="s">
        <v>7320</v>
      </c>
      <c r="BW294" t="s">
        <v>7491</v>
      </c>
      <c r="BX294" t="s">
        <v>7607</v>
      </c>
      <c r="BZ294">
        <v>0</v>
      </c>
      <c r="CA294">
        <v>1</v>
      </c>
      <c r="CB294" t="s">
        <v>7688</v>
      </c>
      <c r="CC294" t="s">
        <v>7755</v>
      </c>
      <c r="CD294" t="s">
        <v>7838</v>
      </c>
      <c r="CE294" t="s">
        <v>8074</v>
      </c>
      <c r="CF294" s="144">
        <v>43920.430312500001</v>
      </c>
      <c r="CG294" s="144">
        <v>43920.433912037035</v>
      </c>
      <c r="CH294" t="s">
        <v>8416</v>
      </c>
    </row>
    <row r="295" spans="1:86" ht="15" hidden="1" customHeight="1" x14ac:dyDescent="0.35">
      <c r="A295" t="s">
        <v>826</v>
      </c>
      <c r="B295">
        <v>1</v>
      </c>
      <c r="C295">
        <v>1</v>
      </c>
      <c r="D295" t="s">
        <v>1086</v>
      </c>
      <c r="E295" t="s">
        <v>1293</v>
      </c>
      <c r="F295">
        <v>7</v>
      </c>
      <c r="H295" t="s">
        <v>1439</v>
      </c>
      <c r="I295" t="s">
        <v>1642</v>
      </c>
      <c r="J295">
        <v>7</v>
      </c>
      <c r="L295" t="s">
        <v>1784</v>
      </c>
      <c r="M295" t="s">
        <v>1953</v>
      </c>
      <c r="N295">
        <v>5</v>
      </c>
      <c r="P295" t="s">
        <v>2084</v>
      </c>
      <c r="Q295" t="s">
        <v>2307</v>
      </c>
      <c r="U295" t="s">
        <v>2650</v>
      </c>
      <c r="Y295" t="s">
        <v>2962</v>
      </c>
      <c r="AC295" t="s">
        <v>3252</v>
      </c>
      <c r="AE295">
        <v>5</v>
      </c>
      <c r="AG295" t="s">
        <v>3514</v>
      </c>
      <c r="AH295">
        <v>6</v>
      </c>
      <c r="AJ295" t="s">
        <v>3587</v>
      </c>
      <c r="AK295" t="s">
        <v>3749</v>
      </c>
      <c r="AO295" t="s">
        <v>4032</v>
      </c>
      <c r="BE295" t="s">
        <v>4948</v>
      </c>
      <c r="BG295" t="s">
        <v>5051</v>
      </c>
      <c r="BH295" t="s">
        <v>5300</v>
      </c>
      <c r="BI295" t="s">
        <v>5537</v>
      </c>
      <c r="BJ295" t="s">
        <v>5831</v>
      </c>
      <c r="BK295" t="s">
        <v>6099</v>
      </c>
      <c r="BL295" t="s">
        <v>6276</v>
      </c>
      <c r="BM295" t="s">
        <v>6430</v>
      </c>
      <c r="BN295" t="s">
        <v>6611</v>
      </c>
      <c r="BO295" t="s">
        <v>6761</v>
      </c>
      <c r="BP295" t="s">
        <v>6822</v>
      </c>
      <c r="BT295" t="s">
        <v>7091</v>
      </c>
      <c r="BU295" t="s">
        <v>7194</v>
      </c>
      <c r="BV295" t="s">
        <v>7321</v>
      </c>
      <c r="BW295" t="s">
        <v>7492</v>
      </c>
      <c r="BX295" t="s">
        <v>7607</v>
      </c>
      <c r="BZ295">
        <v>0</v>
      </c>
      <c r="CA295">
        <v>1</v>
      </c>
      <c r="CB295" t="s">
        <v>7689</v>
      </c>
      <c r="CC295" t="s">
        <v>7756</v>
      </c>
      <c r="CD295" t="s">
        <v>7838</v>
      </c>
      <c r="CE295" t="s">
        <v>8074</v>
      </c>
      <c r="CF295" s="144">
        <v>43917.578541666669</v>
      </c>
      <c r="CG295" s="144">
        <v>43917.595763888887</v>
      </c>
      <c r="CH295" t="s">
        <v>8417</v>
      </c>
    </row>
    <row r="296" spans="1:86" ht="15" hidden="1" customHeight="1" x14ac:dyDescent="0.35">
      <c r="A296" t="s">
        <v>827</v>
      </c>
      <c r="B296">
        <v>1</v>
      </c>
      <c r="C296">
        <v>1</v>
      </c>
      <c r="D296" t="s">
        <v>1087</v>
      </c>
      <c r="E296" t="s">
        <v>1293</v>
      </c>
      <c r="F296">
        <v>2</v>
      </c>
      <c r="H296" t="s">
        <v>1440</v>
      </c>
      <c r="I296" t="s">
        <v>1642</v>
      </c>
      <c r="J296">
        <v>5</v>
      </c>
      <c r="L296" t="s">
        <v>1785</v>
      </c>
      <c r="M296" t="s">
        <v>1953</v>
      </c>
      <c r="N296">
        <v>7</v>
      </c>
      <c r="P296" t="s">
        <v>2085</v>
      </c>
      <c r="Q296" t="s">
        <v>2308</v>
      </c>
      <c r="R296">
        <v>5</v>
      </c>
      <c r="T296" t="s">
        <v>2449</v>
      </c>
      <c r="U296" t="s">
        <v>2651</v>
      </c>
      <c r="V296">
        <v>6</v>
      </c>
      <c r="X296" t="s">
        <v>2768</v>
      </c>
      <c r="Y296" t="s">
        <v>2963</v>
      </c>
      <c r="Z296">
        <v>4</v>
      </c>
      <c r="AB296" t="s">
        <v>3073</v>
      </c>
      <c r="AC296" t="s">
        <v>3253</v>
      </c>
      <c r="AG296" t="s">
        <v>3515</v>
      </c>
      <c r="AK296" t="s">
        <v>3749</v>
      </c>
      <c r="AO296" t="s">
        <v>4032</v>
      </c>
      <c r="AS296" t="s">
        <v>4309</v>
      </c>
      <c r="AT296">
        <v>7</v>
      </c>
      <c r="AV296" t="s">
        <v>4396</v>
      </c>
      <c r="AW296" t="s">
        <v>4555</v>
      </c>
      <c r="BA296" t="s">
        <v>4799</v>
      </c>
      <c r="BE296" t="s">
        <v>4948</v>
      </c>
      <c r="BG296" t="s">
        <v>5051</v>
      </c>
      <c r="BH296" t="s">
        <v>5301</v>
      </c>
      <c r="BI296" t="s">
        <v>5537</v>
      </c>
      <c r="BJ296" t="s">
        <v>5832</v>
      </c>
      <c r="BK296" t="s">
        <v>6099</v>
      </c>
      <c r="BL296" t="s">
        <v>6276</v>
      </c>
      <c r="BM296" t="s">
        <v>6430</v>
      </c>
      <c r="BN296" t="s">
        <v>6611</v>
      </c>
      <c r="BO296" t="s">
        <v>6761</v>
      </c>
      <c r="BP296" t="s">
        <v>6822</v>
      </c>
      <c r="BT296" t="s">
        <v>7092</v>
      </c>
      <c r="BU296" t="s">
        <v>7194</v>
      </c>
      <c r="BV296" t="s">
        <v>7322</v>
      </c>
      <c r="BW296" t="s">
        <v>7492</v>
      </c>
      <c r="BX296" t="s">
        <v>7607</v>
      </c>
      <c r="BZ296">
        <v>0</v>
      </c>
      <c r="CA296">
        <v>0</v>
      </c>
      <c r="CE296" t="s">
        <v>8074</v>
      </c>
      <c r="CF296" s="144">
        <v>43916.729733796295</v>
      </c>
      <c r="CG296" s="144">
        <v>43916.737002314818</v>
      </c>
      <c r="CH296" t="s">
        <v>8418</v>
      </c>
    </row>
    <row r="297" spans="1:86" ht="15" hidden="1" customHeight="1" x14ac:dyDescent="0.35">
      <c r="A297" t="s">
        <v>828</v>
      </c>
      <c r="B297">
        <v>1</v>
      </c>
      <c r="C297">
        <v>1</v>
      </c>
      <c r="D297" t="s">
        <v>1087</v>
      </c>
      <c r="E297" t="s">
        <v>1293</v>
      </c>
      <c r="F297">
        <v>5</v>
      </c>
      <c r="H297" t="s">
        <v>1441</v>
      </c>
      <c r="I297" t="s">
        <v>1643</v>
      </c>
      <c r="K297">
        <v>5</v>
      </c>
      <c r="L297" t="s">
        <v>1786</v>
      </c>
      <c r="M297" t="s">
        <v>1953</v>
      </c>
      <c r="N297">
        <v>5</v>
      </c>
      <c r="P297" t="s">
        <v>2086</v>
      </c>
      <c r="Q297" t="s">
        <v>2309</v>
      </c>
      <c r="S297">
        <v>5</v>
      </c>
      <c r="T297" t="s">
        <v>2450</v>
      </c>
      <c r="U297" t="s">
        <v>2652</v>
      </c>
      <c r="W297">
        <v>6</v>
      </c>
      <c r="X297" t="s">
        <v>2769</v>
      </c>
      <c r="Y297" t="s">
        <v>2963</v>
      </c>
      <c r="Z297">
        <v>5</v>
      </c>
      <c r="AB297" t="s">
        <v>3074</v>
      </c>
      <c r="AC297" t="s">
        <v>3254</v>
      </c>
      <c r="AE297">
        <v>5</v>
      </c>
      <c r="AF297" t="s">
        <v>3366</v>
      </c>
      <c r="AG297" t="s">
        <v>3516</v>
      </c>
      <c r="AI297">
        <v>5</v>
      </c>
      <c r="AJ297" t="s">
        <v>3588</v>
      </c>
      <c r="AK297" t="s">
        <v>3750</v>
      </c>
      <c r="AM297">
        <v>5</v>
      </c>
      <c r="AN297" t="s">
        <v>3832</v>
      </c>
      <c r="AO297" t="s">
        <v>4033</v>
      </c>
      <c r="AP297">
        <v>5</v>
      </c>
      <c r="AR297" t="s">
        <v>4141</v>
      </c>
      <c r="BE297" t="s">
        <v>4948</v>
      </c>
      <c r="BG297" t="s">
        <v>5051</v>
      </c>
      <c r="BH297" t="s">
        <v>5301</v>
      </c>
      <c r="BI297" t="s">
        <v>5537</v>
      </c>
      <c r="BJ297" t="s">
        <v>5833</v>
      </c>
      <c r="BK297" t="s">
        <v>6099</v>
      </c>
      <c r="BL297" t="s">
        <v>6277</v>
      </c>
      <c r="BM297" t="s">
        <v>6430</v>
      </c>
      <c r="BN297" t="s">
        <v>6611</v>
      </c>
      <c r="BO297" t="s">
        <v>6761</v>
      </c>
      <c r="BP297" t="s">
        <v>6822</v>
      </c>
      <c r="BT297" t="s">
        <v>7093</v>
      </c>
      <c r="BU297" t="s">
        <v>7194</v>
      </c>
      <c r="BV297" t="s">
        <v>7322</v>
      </c>
      <c r="BW297" t="s">
        <v>7493</v>
      </c>
      <c r="BX297" t="s">
        <v>7607</v>
      </c>
      <c r="BZ297">
        <v>0</v>
      </c>
      <c r="CA297">
        <v>0</v>
      </c>
      <c r="CE297" t="s">
        <v>8075</v>
      </c>
      <c r="CF297" s="144">
        <v>43916.724143518521</v>
      </c>
      <c r="CG297" s="144">
        <v>43916.727881944447</v>
      </c>
      <c r="CH297" t="s">
        <v>8419</v>
      </c>
    </row>
    <row r="298" spans="1:86" ht="15" hidden="1" customHeight="1" x14ac:dyDescent="0.35">
      <c r="A298" t="s">
        <v>829</v>
      </c>
      <c r="B298">
        <v>1</v>
      </c>
      <c r="C298">
        <v>1</v>
      </c>
      <c r="D298" t="s">
        <v>1087</v>
      </c>
      <c r="E298" t="s">
        <v>1293</v>
      </c>
      <c r="F298">
        <v>7</v>
      </c>
      <c r="H298" t="s">
        <v>1442</v>
      </c>
      <c r="I298" t="s">
        <v>1644</v>
      </c>
      <c r="J298">
        <v>6</v>
      </c>
      <c r="L298" t="s">
        <v>1787</v>
      </c>
      <c r="M298" t="s">
        <v>1953</v>
      </c>
      <c r="N298">
        <v>6</v>
      </c>
      <c r="P298" t="s">
        <v>2087</v>
      </c>
      <c r="Q298" t="s">
        <v>2309</v>
      </c>
      <c r="S298">
        <v>4</v>
      </c>
      <c r="T298" t="s">
        <v>2451</v>
      </c>
      <c r="U298" t="s">
        <v>2653</v>
      </c>
      <c r="V298">
        <v>4</v>
      </c>
      <c r="X298" t="s">
        <v>2770</v>
      </c>
      <c r="Y298" t="s">
        <v>2963</v>
      </c>
      <c r="Z298">
        <v>3</v>
      </c>
      <c r="AB298" t="s">
        <v>3075</v>
      </c>
      <c r="AC298" t="s">
        <v>3254</v>
      </c>
      <c r="AE298">
        <v>4</v>
      </c>
      <c r="AF298" t="s">
        <v>3367</v>
      </c>
      <c r="AG298" t="s">
        <v>3517</v>
      </c>
      <c r="AK298" t="s">
        <v>3751</v>
      </c>
      <c r="AO298" t="s">
        <v>4034</v>
      </c>
      <c r="BE298" t="s">
        <v>4948</v>
      </c>
      <c r="BG298" t="s">
        <v>5051</v>
      </c>
      <c r="BH298" t="s">
        <v>5302</v>
      </c>
      <c r="BI298" t="s">
        <v>5537</v>
      </c>
      <c r="BJ298" t="s">
        <v>5834</v>
      </c>
      <c r="BK298" t="s">
        <v>6099</v>
      </c>
      <c r="BL298" t="s">
        <v>6278</v>
      </c>
      <c r="BM298" t="s">
        <v>6431</v>
      </c>
      <c r="BN298" t="s">
        <v>6611</v>
      </c>
      <c r="BO298" t="s">
        <v>6761</v>
      </c>
      <c r="BP298" t="s">
        <v>6822</v>
      </c>
      <c r="BT298" t="s">
        <v>7094</v>
      </c>
      <c r="BU298" t="s">
        <v>7194</v>
      </c>
      <c r="BV298" t="s">
        <v>7322</v>
      </c>
      <c r="BW298" t="s">
        <v>7494</v>
      </c>
      <c r="BX298" t="s">
        <v>7607</v>
      </c>
      <c r="BZ298">
        <v>0</v>
      </c>
      <c r="CA298">
        <v>1</v>
      </c>
      <c r="CB298" t="s">
        <v>7689</v>
      </c>
      <c r="CC298" t="s">
        <v>7756</v>
      </c>
      <c r="CD298" t="s">
        <v>7838</v>
      </c>
      <c r="CE298" t="s">
        <v>8076</v>
      </c>
      <c r="CF298" s="144">
        <v>43916.527083333334</v>
      </c>
      <c r="CG298" s="144">
        <v>43916.535775462966</v>
      </c>
      <c r="CH298" t="s">
        <v>8420</v>
      </c>
    </row>
    <row r="299" spans="1:86" ht="15" hidden="1" customHeight="1" x14ac:dyDescent="0.35">
      <c r="A299" t="s">
        <v>830</v>
      </c>
      <c r="B299">
        <v>1</v>
      </c>
      <c r="C299">
        <v>1</v>
      </c>
      <c r="D299" t="s">
        <v>1088</v>
      </c>
      <c r="E299" t="s">
        <v>1293</v>
      </c>
      <c r="F299">
        <v>8</v>
      </c>
      <c r="I299" t="s">
        <v>1644</v>
      </c>
      <c r="J299">
        <v>8</v>
      </c>
      <c r="M299" t="s">
        <v>1954</v>
      </c>
      <c r="O299">
        <v>8</v>
      </c>
      <c r="Q299" t="s">
        <v>2310</v>
      </c>
      <c r="U299" t="s">
        <v>2654</v>
      </c>
      <c r="W299">
        <v>8</v>
      </c>
      <c r="Y299" t="s">
        <v>2964</v>
      </c>
      <c r="AA299">
        <v>8</v>
      </c>
      <c r="AC299" t="s">
        <v>3255</v>
      </c>
      <c r="AG299" t="s">
        <v>3517</v>
      </c>
      <c r="AK299" t="s">
        <v>3751</v>
      </c>
      <c r="AO299" t="s">
        <v>4034</v>
      </c>
      <c r="AS299" t="s">
        <v>4310</v>
      </c>
      <c r="AW299" t="s">
        <v>4555</v>
      </c>
      <c r="BA299" t="s">
        <v>4799</v>
      </c>
      <c r="BE299" t="s">
        <v>4948</v>
      </c>
      <c r="BG299" t="s">
        <v>5052</v>
      </c>
      <c r="BH299" t="s">
        <v>5302</v>
      </c>
      <c r="BI299" t="s">
        <v>5538</v>
      </c>
      <c r="BJ299" t="s">
        <v>5835</v>
      </c>
      <c r="BK299" t="s">
        <v>6099</v>
      </c>
      <c r="BL299" t="s">
        <v>6278</v>
      </c>
      <c r="BM299" t="s">
        <v>6432</v>
      </c>
      <c r="BN299" t="s">
        <v>6611</v>
      </c>
      <c r="BO299" t="s">
        <v>6761</v>
      </c>
      <c r="BP299" t="s">
        <v>6823</v>
      </c>
      <c r="BQ299" t="s">
        <v>6844</v>
      </c>
      <c r="BR299" t="s">
        <v>6861</v>
      </c>
      <c r="BS299" t="s">
        <v>6876</v>
      </c>
      <c r="BT299" t="s">
        <v>7095</v>
      </c>
      <c r="BU299" t="s">
        <v>7195</v>
      </c>
      <c r="BV299" t="s">
        <v>7323</v>
      </c>
      <c r="BW299" t="s">
        <v>7495</v>
      </c>
      <c r="BX299" t="s">
        <v>7607</v>
      </c>
      <c r="BZ299">
        <v>0</v>
      </c>
      <c r="CA299">
        <v>1</v>
      </c>
      <c r="CB299" t="s">
        <v>7690</v>
      </c>
      <c r="CC299" t="s">
        <v>7757</v>
      </c>
      <c r="CD299" t="s">
        <v>7839</v>
      </c>
      <c r="CE299" t="s">
        <v>8077</v>
      </c>
      <c r="CF299" s="144">
        <v>43916.494652777779</v>
      </c>
      <c r="CG299" s="144">
        <v>43916.505624999998</v>
      </c>
      <c r="CH299" t="s">
        <v>8420</v>
      </c>
    </row>
    <row r="300" spans="1:86" ht="15" hidden="1" customHeight="1" x14ac:dyDescent="0.35">
      <c r="A300" t="s">
        <v>831</v>
      </c>
      <c r="B300">
        <v>1</v>
      </c>
      <c r="C300">
        <v>1</v>
      </c>
      <c r="D300" t="s">
        <v>1089</v>
      </c>
      <c r="E300" t="s">
        <v>1293</v>
      </c>
      <c r="F300">
        <v>6</v>
      </c>
      <c r="H300" t="s">
        <v>1443</v>
      </c>
      <c r="I300" t="s">
        <v>1644</v>
      </c>
      <c r="J300">
        <v>6</v>
      </c>
      <c r="M300" t="s">
        <v>1955</v>
      </c>
      <c r="N300">
        <v>6</v>
      </c>
      <c r="P300" t="s">
        <v>2088</v>
      </c>
      <c r="Q300" t="s">
        <v>2311</v>
      </c>
      <c r="R300">
        <v>5</v>
      </c>
      <c r="T300" t="s">
        <v>2452</v>
      </c>
      <c r="U300" t="s">
        <v>2655</v>
      </c>
      <c r="Y300" t="s">
        <v>2965</v>
      </c>
      <c r="Z300">
        <v>5</v>
      </c>
      <c r="AB300" t="s">
        <v>3076</v>
      </c>
      <c r="AC300" t="s">
        <v>3255</v>
      </c>
      <c r="AG300" t="s">
        <v>3517</v>
      </c>
      <c r="AK300" t="s">
        <v>3751</v>
      </c>
      <c r="AO300" t="s">
        <v>4034</v>
      </c>
      <c r="AS300" t="s">
        <v>4310</v>
      </c>
      <c r="AW300" t="s">
        <v>4555</v>
      </c>
      <c r="BA300" t="s">
        <v>4799</v>
      </c>
      <c r="BE300" t="s">
        <v>4948</v>
      </c>
      <c r="BG300" t="s">
        <v>5053</v>
      </c>
      <c r="BH300" t="s">
        <v>5303</v>
      </c>
      <c r="BI300" t="s">
        <v>5538</v>
      </c>
      <c r="BJ300" t="s">
        <v>5836</v>
      </c>
      <c r="BK300" t="s">
        <v>6100</v>
      </c>
      <c r="BL300" t="s">
        <v>6279</v>
      </c>
      <c r="BM300" t="s">
        <v>6432</v>
      </c>
      <c r="BN300" t="s">
        <v>6611</v>
      </c>
      <c r="BO300" t="s">
        <v>6761</v>
      </c>
      <c r="BP300" t="s">
        <v>6824</v>
      </c>
      <c r="BT300" t="s">
        <v>7096</v>
      </c>
      <c r="BU300" t="s">
        <v>7196</v>
      </c>
      <c r="BV300" t="s">
        <v>7324</v>
      </c>
      <c r="BW300" t="s">
        <v>7495</v>
      </c>
      <c r="BX300" t="s">
        <v>7607</v>
      </c>
      <c r="BZ300">
        <v>0</v>
      </c>
      <c r="CA300">
        <v>1</v>
      </c>
      <c r="CB300" t="s">
        <v>7691</v>
      </c>
      <c r="CC300" t="s">
        <v>7758</v>
      </c>
      <c r="CD300" t="s">
        <v>7840</v>
      </c>
      <c r="CE300" t="s">
        <v>8078</v>
      </c>
      <c r="CF300" s="144">
        <v>43916.472916666666</v>
      </c>
      <c r="CG300" s="144">
        <v>43916.479664351849</v>
      </c>
      <c r="CH300" t="s">
        <v>8420</v>
      </c>
    </row>
    <row r="301" spans="1:86" ht="15" hidden="1" customHeight="1" x14ac:dyDescent="0.35">
      <c r="A301" t="s">
        <v>832</v>
      </c>
      <c r="B301">
        <v>1</v>
      </c>
      <c r="C301">
        <v>1</v>
      </c>
      <c r="D301" t="s">
        <v>1089</v>
      </c>
      <c r="E301" t="s">
        <v>1294</v>
      </c>
      <c r="I301" t="s">
        <v>1644</v>
      </c>
      <c r="J301">
        <v>5</v>
      </c>
      <c r="M301" t="s">
        <v>1955</v>
      </c>
      <c r="N301">
        <v>5</v>
      </c>
      <c r="Q301" t="s">
        <v>2311</v>
      </c>
      <c r="R301">
        <v>5</v>
      </c>
      <c r="U301" t="s">
        <v>2656</v>
      </c>
      <c r="V301">
        <v>5</v>
      </c>
      <c r="Y301" t="s">
        <v>2965</v>
      </c>
      <c r="Z301">
        <v>4</v>
      </c>
      <c r="AC301" t="s">
        <v>3255</v>
      </c>
      <c r="AG301" t="s">
        <v>3517</v>
      </c>
      <c r="AK301" t="s">
        <v>3751</v>
      </c>
      <c r="AO301" t="s">
        <v>4035</v>
      </c>
      <c r="AQ301">
        <v>4</v>
      </c>
      <c r="AS301" t="s">
        <v>4310</v>
      </c>
      <c r="AW301" t="s">
        <v>4556</v>
      </c>
      <c r="AX301">
        <v>4</v>
      </c>
      <c r="BA301" t="s">
        <v>4800</v>
      </c>
      <c r="BB301">
        <v>4</v>
      </c>
      <c r="BE301" t="s">
        <v>4948</v>
      </c>
      <c r="BG301" t="s">
        <v>5053</v>
      </c>
      <c r="BH301" t="s">
        <v>5304</v>
      </c>
      <c r="BI301" t="s">
        <v>5539</v>
      </c>
      <c r="BJ301" t="s">
        <v>5837</v>
      </c>
      <c r="BK301" t="s">
        <v>6101</v>
      </c>
      <c r="BL301" t="s">
        <v>6280</v>
      </c>
      <c r="BM301" t="s">
        <v>6432</v>
      </c>
      <c r="BN301" t="s">
        <v>6611</v>
      </c>
      <c r="BO301" t="s">
        <v>6761</v>
      </c>
      <c r="BP301" t="s">
        <v>6824</v>
      </c>
      <c r="BT301" t="s">
        <v>7096</v>
      </c>
      <c r="BU301" t="s">
        <v>7196</v>
      </c>
      <c r="BV301" t="s">
        <v>7325</v>
      </c>
      <c r="BW301" t="s">
        <v>7495</v>
      </c>
      <c r="BX301" t="s">
        <v>7607</v>
      </c>
      <c r="BZ301">
        <v>0</v>
      </c>
      <c r="CA301">
        <v>1</v>
      </c>
      <c r="CB301" t="s">
        <v>7691</v>
      </c>
      <c r="CC301" t="s">
        <v>7758</v>
      </c>
      <c r="CD301" t="s">
        <v>7840</v>
      </c>
      <c r="CE301" t="s">
        <v>8079</v>
      </c>
      <c r="CF301" s="144">
        <v>43916.289606481485</v>
      </c>
      <c r="CG301" s="144">
        <v>43916.470902777779</v>
      </c>
      <c r="CH301" t="s">
        <v>8421</v>
      </c>
    </row>
    <row r="302" spans="1:86" ht="15" hidden="1" customHeight="1" x14ac:dyDescent="0.35">
      <c r="A302" t="s">
        <v>833</v>
      </c>
      <c r="B302">
        <v>1</v>
      </c>
      <c r="C302">
        <v>1</v>
      </c>
      <c r="D302" t="s">
        <v>1089</v>
      </c>
      <c r="E302" t="s">
        <v>1295</v>
      </c>
      <c r="F302">
        <v>6</v>
      </c>
      <c r="H302" t="s">
        <v>1444</v>
      </c>
      <c r="I302" t="s">
        <v>1645</v>
      </c>
      <c r="K302">
        <v>8</v>
      </c>
      <c r="L302" t="s">
        <v>1788</v>
      </c>
      <c r="M302" t="s">
        <v>1955</v>
      </c>
      <c r="N302">
        <v>8</v>
      </c>
      <c r="P302" t="s">
        <v>2089</v>
      </c>
      <c r="Q302" t="s">
        <v>2312</v>
      </c>
      <c r="S302">
        <v>8</v>
      </c>
      <c r="T302" t="s">
        <v>2453</v>
      </c>
      <c r="U302" t="s">
        <v>2657</v>
      </c>
      <c r="W302">
        <v>7</v>
      </c>
      <c r="X302" t="s">
        <v>2771</v>
      </c>
      <c r="Y302" t="s">
        <v>2965</v>
      </c>
      <c r="Z302">
        <v>8</v>
      </c>
      <c r="AB302" t="s">
        <v>3077</v>
      </c>
      <c r="AC302" t="s">
        <v>3255</v>
      </c>
      <c r="AG302" t="s">
        <v>3517</v>
      </c>
      <c r="AK302" t="s">
        <v>3752</v>
      </c>
      <c r="AL302">
        <v>8</v>
      </c>
      <c r="AN302" t="s">
        <v>3833</v>
      </c>
      <c r="AO302" t="s">
        <v>4036</v>
      </c>
      <c r="AP302">
        <v>8</v>
      </c>
      <c r="AR302" t="s">
        <v>4142</v>
      </c>
      <c r="AS302" t="s">
        <v>4310</v>
      </c>
      <c r="AW302" t="s">
        <v>4557</v>
      </c>
      <c r="BA302" t="s">
        <v>4801</v>
      </c>
      <c r="BC302">
        <v>8</v>
      </c>
      <c r="BD302" t="s">
        <v>4889</v>
      </c>
      <c r="BE302" t="s">
        <v>4948</v>
      </c>
      <c r="BG302" t="s">
        <v>5053</v>
      </c>
      <c r="BH302" t="s">
        <v>5304</v>
      </c>
      <c r="BI302" t="s">
        <v>5540</v>
      </c>
      <c r="BJ302" t="s">
        <v>5838</v>
      </c>
      <c r="BK302" t="s">
        <v>6101</v>
      </c>
      <c r="BL302" t="s">
        <v>6281</v>
      </c>
      <c r="BM302" t="s">
        <v>6432</v>
      </c>
      <c r="BN302" t="s">
        <v>6611</v>
      </c>
      <c r="BO302" t="s">
        <v>6761</v>
      </c>
      <c r="BP302" t="s">
        <v>6824</v>
      </c>
      <c r="BT302" t="s">
        <v>7096</v>
      </c>
      <c r="BU302" t="s">
        <v>7196</v>
      </c>
      <c r="BV302" t="s">
        <v>7325</v>
      </c>
      <c r="BW302" t="s">
        <v>7496</v>
      </c>
      <c r="BX302" t="s">
        <v>7607</v>
      </c>
      <c r="BZ302">
        <v>0</v>
      </c>
      <c r="CA302">
        <v>1</v>
      </c>
      <c r="CB302" t="s">
        <v>7691</v>
      </c>
      <c r="CC302" t="s">
        <v>7758</v>
      </c>
      <c r="CD302" t="s">
        <v>7840</v>
      </c>
      <c r="CE302" t="s">
        <v>8080</v>
      </c>
      <c r="CF302" s="144">
        <v>43916.413055555553</v>
      </c>
      <c r="CG302" s="144">
        <v>43916.453101851854</v>
      </c>
      <c r="CH302" s="24" t="s">
        <v>8422</v>
      </c>
    </row>
    <row r="303" spans="1:86" ht="15" hidden="1" customHeight="1" x14ac:dyDescent="0.35">
      <c r="A303" t="s">
        <v>834</v>
      </c>
      <c r="B303">
        <v>1</v>
      </c>
      <c r="C303">
        <v>1</v>
      </c>
      <c r="D303" t="s">
        <v>1090</v>
      </c>
      <c r="E303" t="s">
        <v>1296</v>
      </c>
      <c r="I303" t="s">
        <v>1646</v>
      </c>
      <c r="M303" t="s">
        <v>1956</v>
      </c>
      <c r="O303">
        <v>6</v>
      </c>
      <c r="P303" t="s">
        <v>2090</v>
      </c>
      <c r="Q303" t="s">
        <v>2312</v>
      </c>
      <c r="S303">
        <v>6</v>
      </c>
      <c r="T303" t="s">
        <v>2454</v>
      </c>
      <c r="U303" t="s">
        <v>2657</v>
      </c>
      <c r="W303">
        <v>6</v>
      </c>
      <c r="X303" t="s">
        <v>2772</v>
      </c>
      <c r="Y303" t="s">
        <v>2966</v>
      </c>
      <c r="AC303" t="s">
        <v>3255</v>
      </c>
      <c r="AG303" t="s">
        <v>3517</v>
      </c>
      <c r="AK303" t="s">
        <v>3753</v>
      </c>
      <c r="AO303" t="s">
        <v>4037</v>
      </c>
      <c r="AQ303">
        <v>6</v>
      </c>
      <c r="AR303" t="s">
        <v>4143</v>
      </c>
      <c r="AS303" t="s">
        <v>4310</v>
      </c>
      <c r="AW303" t="s">
        <v>4557</v>
      </c>
      <c r="BA303" t="s">
        <v>4802</v>
      </c>
      <c r="BE303" t="s">
        <v>4948</v>
      </c>
      <c r="BG303" t="s">
        <v>5053</v>
      </c>
      <c r="BH303" t="s">
        <v>5305</v>
      </c>
      <c r="BI303" t="s">
        <v>5541</v>
      </c>
      <c r="BJ303" t="s">
        <v>5839</v>
      </c>
      <c r="BK303" t="s">
        <v>6101</v>
      </c>
      <c r="BL303" t="s">
        <v>6281</v>
      </c>
      <c r="BM303" t="s">
        <v>6432</v>
      </c>
      <c r="BN303" t="s">
        <v>6611</v>
      </c>
      <c r="BO303" t="s">
        <v>6761</v>
      </c>
      <c r="BP303" t="s">
        <v>6824</v>
      </c>
      <c r="BT303" t="s">
        <v>7096</v>
      </c>
      <c r="BU303" t="s">
        <v>7196</v>
      </c>
      <c r="BV303" t="s">
        <v>7325</v>
      </c>
      <c r="BW303" t="s">
        <v>7497</v>
      </c>
      <c r="BX303" t="s">
        <v>7607</v>
      </c>
      <c r="BZ303">
        <v>0</v>
      </c>
      <c r="CA303">
        <v>1</v>
      </c>
      <c r="CB303" t="s">
        <v>7691</v>
      </c>
      <c r="CC303" t="s">
        <v>7758</v>
      </c>
      <c r="CD303" t="s">
        <v>7840</v>
      </c>
      <c r="CE303" t="s">
        <v>8081</v>
      </c>
      <c r="CF303" s="144">
        <v>43916.438692129632</v>
      </c>
      <c r="CG303" s="144">
        <v>43916.447256944448</v>
      </c>
      <c r="CH303" t="s">
        <v>8423</v>
      </c>
    </row>
    <row r="304" spans="1:86" ht="15" hidden="1" customHeight="1" x14ac:dyDescent="0.35">
      <c r="A304" t="s">
        <v>835</v>
      </c>
      <c r="B304">
        <v>1</v>
      </c>
      <c r="C304">
        <v>1</v>
      </c>
      <c r="D304" t="s">
        <v>1091</v>
      </c>
      <c r="E304" t="s">
        <v>1296</v>
      </c>
      <c r="I304" t="s">
        <v>1646</v>
      </c>
      <c r="M304" t="s">
        <v>1957</v>
      </c>
      <c r="Q304" t="s">
        <v>2313</v>
      </c>
      <c r="U304" t="s">
        <v>2658</v>
      </c>
      <c r="Y304" t="s">
        <v>2966</v>
      </c>
      <c r="AC304" t="s">
        <v>3256</v>
      </c>
      <c r="AE304">
        <v>7</v>
      </c>
      <c r="AG304" t="s">
        <v>3517</v>
      </c>
      <c r="AK304" t="s">
        <v>3754</v>
      </c>
      <c r="AL304">
        <v>6</v>
      </c>
      <c r="AO304" t="s">
        <v>4037</v>
      </c>
      <c r="AQ304">
        <v>5</v>
      </c>
      <c r="AS304" t="s">
        <v>4310</v>
      </c>
      <c r="AW304" t="s">
        <v>4557</v>
      </c>
      <c r="BA304" t="s">
        <v>4802</v>
      </c>
      <c r="BE304" t="s">
        <v>4948</v>
      </c>
      <c r="BG304" t="s">
        <v>5053</v>
      </c>
      <c r="BH304" t="s">
        <v>5306</v>
      </c>
      <c r="BI304" t="s">
        <v>5541</v>
      </c>
      <c r="BJ304" t="s">
        <v>5840</v>
      </c>
      <c r="BK304" t="s">
        <v>6101</v>
      </c>
      <c r="BL304" t="s">
        <v>6282</v>
      </c>
      <c r="BM304" t="s">
        <v>6432</v>
      </c>
      <c r="BN304" t="s">
        <v>6611</v>
      </c>
      <c r="BO304" t="s">
        <v>6761</v>
      </c>
      <c r="BP304" t="s">
        <v>6824</v>
      </c>
      <c r="BT304" t="s">
        <v>7096</v>
      </c>
      <c r="BU304" t="s">
        <v>7196</v>
      </c>
      <c r="BV304" t="s">
        <v>7326</v>
      </c>
      <c r="BW304" t="s">
        <v>7497</v>
      </c>
      <c r="BX304" t="s">
        <v>7607</v>
      </c>
      <c r="BZ304">
        <v>0</v>
      </c>
      <c r="CA304">
        <v>1</v>
      </c>
      <c r="CB304" t="s">
        <v>7691</v>
      </c>
      <c r="CC304" t="s">
        <v>7758</v>
      </c>
      <c r="CE304" t="s">
        <v>8081</v>
      </c>
      <c r="CF304" s="144">
        <v>43916.30908564815</v>
      </c>
      <c r="CG304" s="144">
        <v>43916.318506944444</v>
      </c>
      <c r="CH304" t="s">
        <v>8424</v>
      </c>
    </row>
    <row r="305" spans="1:86" ht="15" hidden="1" customHeight="1" x14ac:dyDescent="0.35">
      <c r="A305" t="s">
        <v>836</v>
      </c>
      <c r="B305">
        <v>1</v>
      </c>
      <c r="C305">
        <v>1</v>
      </c>
      <c r="D305" t="s">
        <v>1092</v>
      </c>
      <c r="E305" t="s">
        <v>1297</v>
      </c>
      <c r="G305">
        <v>5</v>
      </c>
      <c r="H305" t="s">
        <v>1445</v>
      </c>
      <c r="I305" t="s">
        <v>1647</v>
      </c>
      <c r="J305">
        <v>5</v>
      </c>
      <c r="L305" t="s">
        <v>1789</v>
      </c>
      <c r="M305" t="s">
        <v>1958</v>
      </c>
      <c r="P305" t="s">
        <v>2091</v>
      </c>
      <c r="Q305" t="s">
        <v>2314</v>
      </c>
      <c r="S305">
        <v>4</v>
      </c>
      <c r="T305" t="s">
        <v>2455</v>
      </c>
      <c r="U305" t="s">
        <v>2659</v>
      </c>
      <c r="V305">
        <v>4</v>
      </c>
      <c r="X305" t="s">
        <v>2773</v>
      </c>
      <c r="Y305" t="s">
        <v>2967</v>
      </c>
      <c r="Z305">
        <v>4</v>
      </c>
      <c r="AB305" t="s">
        <v>3078</v>
      </c>
      <c r="AC305" t="s">
        <v>3257</v>
      </c>
      <c r="AD305">
        <v>5</v>
      </c>
      <c r="AF305" t="s">
        <v>3368</v>
      </c>
      <c r="AG305" t="s">
        <v>3518</v>
      </c>
      <c r="AH305">
        <v>4</v>
      </c>
      <c r="AJ305" t="s">
        <v>3589</v>
      </c>
      <c r="AK305" t="s">
        <v>3754</v>
      </c>
      <c r="AL305">
        <v>5</v>
      </c>
      <c r="AN305" t="s">
        <v>3834</v>
      </c>
      <c r="AO305" t="s">
        <v>4037</v>
      </c>
      <c r="AQ305">
        <v>5</v>
      </c>
      <c r="AR305" t="s">
        <v>4144</v>
      </c>
      <c r="AS305" t="s">
        <v>4311</v>
      </c>
      <c r="AT305">
        <v>4</v>
      </c>
      <c r="AV305" t="s">
        <v>4397</v>
      </c>
      <c r="AW305" t="s">
        <v>4558</v>
      </c>
      <c r="AY305">
        <v>4</v>
      </c>
      <c r="AZ305" t="s">
        <v>4632</v>
      </c>
      <c r="BA305" t="s">
        <v>4803</v>
      </c>
      <c r="BB305">
        <v>4</v>
      </c>
      <c r="BD305" t="s">
        <v>4890</v>
      </c>
      <c r="BE305" t="s">
        <v>4948</v>
      </c>
      <c r="BG305" t="s">
        <v>5054</v>
      </c>
      <c r="BH305" t="s">
        <v>5306</v>
      </c>
      <c r="BI305" t="s">
        <v>5541</v>
      </c>
      <c r="BJ305" t="s">
        <v>5841</v>
      </c>
      <c r="BK305" t="s">
        <v>6102</v>
      </c>
      <c r="BL305" t="s">
        <v>6282</v>
      </c>
      <c r="BM305" t="s">
        <v>6432</v>
      </c>
      <c r="BN305" t="s">
        <v>6611</v>
      </c>
      <c r="BO305" t="s">
        <v>6761</v>
      </c>
      <c r="BP305" t="s">
        <v>6824</v>
      </c>
      <c r="BT305" t="s">
        <v>7097</v>
      </c>
      <c r="BU305" t="s">
        <v>7196</v>
      </c>
      <c r="BV305" t="s">
        <v>7327</v>
      </c>
      <c r="BW305" t="s">
        <v>7498</v>
      </c>
      <c r="BX305" t="s">
        <v>7607</v>
      </c>
      <c r="BZ305">
        <v>0</v>
      </c>
      <c r="CA305">
        <v>1</v>
      </c>
      <c r="CB305" t="s">
        <v>7692</v>
      </c>
      <c r="CC305" t="s">
        <v>7759</v>
      </c>
      <c r="CD305" t="s">
        <v>7840</v>
      </c>
      <c r="CE305" t="s">
        <v>8082</v>
      </c>
      <c r="CF305" s="144">
        <v>43915.557951388888</v>
      </c>
      <c r="CG305" s="144">
        <v>43915.567893518521</v>
      </c>
      <c r="CH305" t="s">
        <v>8425</v>
      </c>
    </row>
    <row r="306" spans="1:86" ht="15" hidden="1" customHeight="1" x14ac:dyDescent="0.35">
      <c r="A306" t="s">
        <v>837</v>
      </c>
      <c r="B306">
        <v>1</v>
      </c>
      <c r="C306">
        <v>1</v>
      </c>
      <c r="D306" t="s">
        <v>1092</v>
      </c>
      <c r="E306" t="s">
        <v>1298</v>
      </c>
      <c r="F306">
        <v>5</v>
      </c>
      <c r="H306" t="s">
        <v>1446</v>
      </c>
      <c r="I306" t="s">
        <v>1648</v>
      </c>
      <c r="M306" t="s">
        <v>1959</v>
      </c>
      <c r="Q306" t="s">
        <v>2315</v>
      </c>
      <c r="U306" t="s">
        <v>2660</v>
      </c>
      <c r="Y306" t="s">
        <v>2968</v>
      </c>
      <c r="AC306" t="s">
        <v>3257</v>
      </c>
      <c r="AD306">
        <v>5</v>
      </c>
      <c r="AF306" t="s">
        <v>3369</v>
      </c>
      <c r="AG306" t="s">
        <v>3519</v>
      </c>
      <c r="AK306" t="s">
        <v>3755</v>
      </c>
      <c r="AO306" t="s">
        <v>4037</v>
      </c>
      <c r="AQ306">
        <v>6</v>
      </c>
      <c r="AR306" t="s">
        <v>4145</v>
      </c>
      <c r="BE306" t="s">
        <v>4948</v>
      </c>
      <c r="BG306" t="s">
        <v>5055</v>
      </c>
      <c r="BH306" t="s">
        <v>5307</v>
      </c>
      <c r="BI306" t="s">
        <v>5541</v>
      </c>
      <c r="BJ306" t="s">
        <v>5842</v>
      </c>
      <c r="BK306" t="s">
        <v>6103</v>
      </c>
      <c r="BL306" t="s">
        <v>6283</v>
      </c>
      <c r="BM306" t="s">
        <v>6433</v>
      </c>
      <c r="BN306" t="s">
        <v>6611</v>
      </c>
      <c r="BO306" t="s">
        <v>6761</v>
      </c>
      <c r="BP306" t="s">
        <v>6824</v>
      </c>
      <c r="BT306" t="s">
        <v>7098</v>
      </c>
      <c r="BU306" t="s">
        <v>7196</v>
      </c>
      <c r="BV306" t="s">
        <v>7327</v>
      </c>
      <c r="BW306" t="s">
        <v>7498</v>
      </c>
      <c r="BX306" t="s">
        <v>7607</v>
      </c>
      <c r="BZ306">
        <v>0</v>
      </c>
      <c r="CA306">
        <v>1</v>
      </c>
      <c r="CB306" t="s">
        <v>7693</v>
      </c>
      <c r="CC306" t="s">
        <v>7760</v>
      </c>
      <c r="CD306" t="s">
        <v>7841</v>
      </c>
      <c r="CE306" t="s">
        <v>8083</v>
      </c>
      <c r="CF306" s="144">
        <v>43915.557256944441</v>
      </c>
      <c r="CG306" s="144">
        <v>43915.561944444446</v>
      </c>
      <c r="CH306" t="s">
        <v>8426</v>
      </c>
    </row>
    <row r="307" spans="1:86" ht="15" hidden="1" customHeight="1" x14ac:dyDescent="0.35">
      <c r="A307" t="s">
        <v>838</v>
      </c>
      <c r="B307">
        <v>1</v>
      </c>
      <c r="C307">
        <v>1</v>
      </c>
      <c r="D307" t="s">
        <v>1093</v>
      </c>
      <c r="E307" t="s">
        <v>1298</v>
      </c>
      <c r="F307">
        <v>7</v>
      </c>
      <c r="H307" t="s">
        <v>1447</v>
      </c>
      <c r="I307" t="s">
        <v>1649</v>
      </c>
      <c r="J307">
        <v>7</v>
      </c>
      <c r="L307" t="s">
        <v>1790</v>
      </c>
      <c r="M307" t="s">
        <v>1960</v>
      </c>
      <c r="N307">
        <v>7</v>
      </c>
      <c r="P307" t="s">
        <v>2092</v>
      </c>
      <c r="Q307" t="s">
        <v>2316</v>
      </c>
      <c r="S307">
        <v>6</v>
      </c>
      <c r="T307" t="s">
        <v>2456</v>
      </c>
      <c r="U307" t="s">
        <v>2661</v>
      </c>
      <c r="W307">
        <v>6</v>
      </c>
      <c r="X307" t="s">
        <v>2774</v>
      </c>
      <c r="Y307" t="s">
        <v>2969</v>
      </c>
      <c r="Z307">
        <v>6</v>
      </c>
      <c r="AB307" t="s">
        <v>3079</v>
      </c>
      <c r="AC307" t="s">
        <v>3258</v>
      </c>
      <c r="AE307">
        <v>6</v>
      </c>
      <c r="AF307" t="s">
        <v>3370</v>
      </c>
      <c r="AG307" t="s">
        <v>3520</v>
      </c>
      <c r="AH307">
        <v>6</v>
      </c>
      <c r="AJ307" t="s">
        <v>3590</v>
      </c>
      <c r="AK307" t="s">
        <v>3756</v>
      </c>
      <c r="AL307">
        <v>6</v>
      </c>
      <c r="AN307" t="s">
        <v>3835</v>
      </c>
      <c r="AO307" t="s">
        <v>4038</v>
      </c>
      <c r="AP307">
        <v>7</v>
      </c>
      <c r="AR307" t="s">
        <v>4146</v>
      </c>
      <c r="AS307" t="s">
        <v>4311</v>
      </c>
      <c r="AT307">
        <v>6</v>
      </c>
      <c r="AV307" t="s">
        <v>4398</v>
      </c>
      <c r="AW307" t="s">
        <v>4558</v>
      </c>
      <c r="AY307">
        <v>7</v>
      </c>
      <c r="AZ307" t="s">
        <v>4633</v>
      </c>
      <c r="BA307" t="s">
        <v>4804</v>
      </c>
      <c r="BC307">
        <v>6</v>
      </c>
      <c r="BD307" t="s">
        <v>4891</v>
      </c>
      <c r="BE307" t="s">
        <v>4948</v>
      </c>
      <c r="BG307" t="s">
        <v>5056</v>
      </c>
      <c r="BH307" t="s">
        <v>5308</v>
      </c>
      <c r="BI307" t="s">
        <v>5542</v>
      </c>
      <c r="BJ307" t="s">
        <v>5843</v>
      </c>
      <c r="BK307" t="s">
        <v>6103</v>
      </c>
      <c r="BL307" t="s">
        <v>6284</v>
      </c>
      <c r="BM307" t="s">
        <v>6434</v>
      </c>
      <c r="BN307" t="s">
        <v>6611</v>
      </c>
      <c r="BO307" t="s">
        <v>6761</v>
      </c>
      <c r="BP307" t="s">
        <v>6824</v>
      </c>
      <c r="BT307" t="s">
        <v>7099</v>
      </c>
      <c r="BU307" t="s">
        <v>7196</v>
      </c>
      <c r="BV307" t="s">
        <v>7327</v>
      </c>
      <c r="BW307" t="s">
        <v>7499</v>
      </c>
      <c r="BX307" t="s">
        <v>7607</v>
      </c>
      <c r="BZ307">
        <v>0</v>
      </c>
      <c r="CA307">
        <v>1</v>
      </c>
      <c r="CB307" t="s">
        <v>7693</v>
      </c>
      <c r="CC307" t="s">
        <v>7760</v>
      </c>
      <c r="CD307" t="s">
        <v>7842</v>
      </c>
      <c r="CE307" t="s">
        <v>8084</v>
      </c>
      <c r="CF307" s="144">
        <v>43894.478298611109</v>
      </c>
      <c r="CG307" s="144">
        <v>43894.483668981484</v>
      </c>
      <c r="CH307" t="s">
        <v>8427</v>
      </c>
    </row>
    <row r="308" spans="1:86" ht="15" hidden="1" customHeight="1" x14ac:dyDescent="0.35">
      <c r="A308" t="s">
        <v>839</v>
      </c>
      <c r="B308">
        <v>1</v>
      </c>
      <c r="C308">
        <v>1</v>
      </c>
      <c r="D308" t="s">
        <v>1094</v>
      </c>
      <c r="E308" t="s">
        <v>1298</v>
      </c>
      <c r="F308">
        <v>6</v>
      </c>
      <c r="I308" t="s">
        <v>1649</v>
      </c>
      <c r="J308">
        <v>6</v>
      </c>
      <c r="M308" t="s">
        <v>1960</v>
      </c>
      <c r="N308">
        <v>6</v>
      </c>
      <c r="Q308" t="s">
        <v>2316</v>
      </c>
      <c r="S308">
        <v>5</v>
      </c>
      <c r="U308" t="s">
        <v>2662</v>
      </c>
      <c r="V308">
        <v>7</v>
      </c>
      <c r="Y308" t="s">
        <v>2969</v>
      </c>
      <c r="Z308">
        <v>7</v>
      </c>
      <c r="AC308" t="s">
        <v>3258</v>
      </c>
      <c r="AE308">
        <v>8</v>
      </c>
      <c r="AG308" t="s">
        <v>3521</v>
      </c>
      <c r="AI308">
        <v>8</v>
      </c>
      <c r="AK308" t="s">
        <v>3756</v>
      </c>
      <c r="AL308">
        <v>8</v>
      </c>
      <c r="AO308" t="s">
        <v>4039</v>
      </c>
      <c r="AQ308">
        <v>7</v>
      </c>
      <c r="AS308" t="s">
        <v>4311</v>
      </c>
      <c r="AT308">
        <v>5</v>
      </c>
      <c r="AW308" t="s">
        <v>4558</v>
      </c>
      <c r="AY308">
        <v>6</v>
      </c>
      <c r="BA308" t="s">
        <v>4805</v>
      </c>
      <c r="BE308" t="s">
        <v>4948</v>
      </c>
      <c r="BG308" t="s">
        <v>5057</v>
      </c>
      <c r="BH308" t="s">
        <v>5309</v>
      </c>
      <c r="BI308" t="s">
        <v>5543</v>
      </c>
      <c r="BJ308" t="s">
        <v>5844</v>
      </c>
      <c r="BK308" t="s">
        <v>6103</v>
      </c>
      <c r="BL308" t="s">
        <v>6285</v>
      </c>
      <c r="BM308" t="s">
        <v>6435</v>
      </c>
      <c r="BN308" t="s">
        <v>6611</v>
      </c>
      <c r="BO308" t="s">
        <v>6761</v>
      </c>
      <c r="BP308" t="s">
        <v>6824</v>
      </c>
      <c r="BT308" t="s">
        <v>7100</v>
      </c>
      <c r="BU308" t="s">
        <v>7197</v>
      </c>
      <c r="BV308" t="s">
        <v>7328</v>
      </c>
      <c r="BW308" t="s">
        <v>7500</v>
      </c>
      <c r="BX308" t="s">
        <v>7608</v>
      </c>
      <c r="BZ308">
        <v>0</v>
      </c>
      <c r="CA308">
        <v>0</v>
      </c>
      <c r="CE308" t="s">
        <v>8085</v>
      </c>
      <c r="CF308" s="144">
        <v>43894.358576388891</v>
      </c>
      <c r="CG308" s="144">
        <v>43894.365636574075</v>
      </c>
      <c r="CH308" t="s">
        <v>8427</v>
      </c>
    </row>
    <row r="309" spans="1:86" ht="15" hidden="1" customHeight="1" x14ac:dyDescent="0.35">
      <c r="A309" t="s">
        <v>840</v>
      </c>
      <c r="B309">
        <v>1</v>
      </c>
      <c r="C309">
        <v>1</v>
      </c>
      <c r="D309" t="s">
        <v>1094</v>
      </c>
      <c r="E309" t="s">
        <v>1299</v>
      </c>
      <c r="I309" t="s">
        <v>1649</v>
      </c>
      <c r="J309">
        <v>6</v>
      </c>
      <c r="M309" t="s">
        <v>1960</v>
      </c>
      <c r="N309">
        <v>7</v>
      </c>
      <c r="Q309" t="s">
        <v>2317</v>
      </c>
      <c r="R309">
        <v>6</v>
      </c>
      <c r="U309" t="s">
        <v>2663</v>
      </c>
      <c r="W309">
        <v>6</v>
      </c>
      <c r="Y309" t="s">
        <v>2970</v>
      </c>
      <c r="AA309">
        <v>5</v>
      </c>
      <c r="AC309" t="s">
        <v>3259</v>
      </c>
      <c r="AG309" t="s">
        <v>3522</v>
      </c>
      <c r="AK309" t="s">
        <v>3757</v>
      </c>
      <c r="AO309" t="s">
        <v>4039</v>
      </c>
      <c r="AQ309">
        <v>6</v>
      </c>
      <c r="AS309" t="s">
        <v>4311</v>
      </c>
      <c r="AT309">
        <v>4</v>
      </c>
      <c r="AW309" t="s">
        <v>4559</v>
      </c>
      <c r="AX309">
        <v>5</v>
      </c>
      <c r="BA309" t="s">
        <v>4805</v>
      </c>
      <c r="BE309" t="s">
        <v>4948</v>
      </c>
      <c r="BG309" t="s">
        <v>5057</v>
      </c>
      <c r="BH309" t="s">
        <v>5310</v>
      </c>
      <c r="BI309" t="s">
        <v>5543</v>
      </c>
      <c r="BJ309" t="s">
        <v>5845</v>
      </c>
      <c r="BK309" t="s">
        <v>6104</v>
      </c>
      <c r="BL309" t="s">
        <v>6286</v>
      </c>
      <c r="BM309" t="s">
        <v>6435</v>
      </c>
      <c r="BN309" t="s">
        <v>6611</v>
      </c>
      <c r="BO309" t="s">
        <v>6761</v>
      </c>
      <c r="BP309" t="s">
        <v>6824</v>
      </c>
      <c r="BT309" t="s">
        <v>7101</v>
      </c>
      <c r="BU309" t="s">
        <v>7198</v>
      </c>
      <c r="BV309" t="s">
        <v>7329</v>
      </c>
      <c r="BW309" t="s">
        <v>7501</v>
      </c>
      <c r="BX309" t="s">
        <v>7609</v>
      </c>
      <c r="BZ309">
        <v>0</v>
      </c>
      <c r="CA309">
        <v>1</v>
      </c>
      <c r="CB309" t="s">
        <v>7693</v>
      </c>
      <c r="CC309" t="s">
        <v>7761</v>
      </c>
      <c r="CD309" t="s">
        <v>7842</v>
      </c>
      <c r="CE309" t="s">
        <v>8086</v>
      </c>
      <c r="CF309" s="144">
        <v>43893.499618055554</v>
      </c>
      <c r="CG309" s="144">
        <v>43893.505208333336</v>
      </c>
      <c r="CH309" t="s">
        <v>8428</v>
      </c>
    </row>
    <row r="310" spans="1:86" ht="15" hidden="1" customHeight="1" x14ac:dyDescent="0.35">
      <c r="A310" t="s">
        <v>841</v>
      </c>
      <c r="B310">
        <v>1</v>
      </c>
      <c r="C310">
        <v>1</v>
      </c>
      <c r="D310" t="s">
        <v>1095</v>
      </c>
      <c r="E310" t="s">
        <v>1300</v>
      </c>
      <c r="F310">
        <v>7</v>
      </c>
      <c r="H310" t="s">
        <v>1448</v>
      </c>
      <c r="I310" t="s">
        <v>1650</v>
      </c>
      <c r="M310" t="s">
        <v>1960</v>
      </c>
      <c r="N310">
        <v>7</v>
      </c>
      <c r="P310" t="s">
        <v>2093</v>
      </c>
      <c r="Q310" t="s">
        <v>2318</v>
      </c>
      <c r="S310">
        <v>7</v>
      </c>
      <c r="T310" t="s">
        <v>2457</v>
      </c>
      <c r="U310" t="s">
        <v>2664</v>
      </c>
      <c r="Y310" t="s">
        <v>2971</v>
      </c>
      <c r="AC310" t="s">
        <v>3260</v>
      </c>
      <c r="AD310">
        <v>5</v>
      </c>
      <c r="AF310" t="s">
        <v>3371</v>
      </c>
      <c r="AG310" t="s">
        <v>3523</v>
      </c>
      <c r="AH310">
        <v>5</v>
      </c>
      <c r="AJ310" t="s">
        <v>3591</v>
      </c>
      <c r="AK310" t="s">
        <v>3758</v>
      </c>
      <c r="AM310">
        <v>5</v>
      </c>
      <c r="AN310" t="s">
        <v>3836</v>
      </c>
      <c r="AO310" t="s">
        <v>4040</v>
      </c>
      <c r="AP310">
        <v>6</v>
      </c>
      <c r="AR310" t="s">
        <v>4147</v>
      </c>
      <c r="AS310" t="s">
        <v>4311</v>
      </c>
      <c r="AV310" t="s">
        <v>4399</v>
      </c>
      <c r="AW310" t="s">
        <v>4560</v>
      </c>
      <c r="BA310" t="s">
        <v>4805</v>
      </c>
      <c r="BE310" t="s">
        <v>4948</v>
      </c>
      <c r="BG310" t="s">
        <v>5057</v>
      </c>
      <c r="BH310" t="s">
        <v>5311</v>
      </c>
      <c r="BI310" t="s">
        <v>5543</v>
      </c>
      <c r="BJ310" t="s">
        <v>5845</v>
      </c>
      <c r="BK310" t="s">
        <v>6105</v>
      </c>
      <c r="BL310" t="s">
        <v>6286</v>
      </c>
      <c r="BM310" t="s">
        <v>6435</v>
      </c>
      <c r="BN310" t="s">
        <v>6611</v>
      </c>
      <c r="BO310" t="s">
        <v>6761</v>
      </c>
      <c r="BP310" t="s">
        <v>6824</v>
      </c>
      <c r="BT310" t="s">
        <v>7101</v>
      </c>
      <c r="BU310" t="s">
        <v>7198</v>
      </c>
      <c r="BV310" t="s">
        <v>7330</v>
      </c>
      <c r="BW310" t="s">
        <v>7501</v>
      </c>
      <c r="BX310" t="s">
        <v>7610</v>
      </c>
      <c r="BZ310">
        <v>0</v>
      </c>
      <c r="CA310">
        <v>1</v>
      </c>
      <c r="CB310" t="s">
        <v>7694</v>
      </c>
      <c r="CC310" t="s">
        <v>7762</v>
      </c>
      <c r="CD310" t="s">
        <v>7843</v>
      </c>
      <c r="CE310" t="s">
        <v>8086</v>
      </c>
      <c r="CF310" s="144">
        <v>43893.487812500003</v>
      </c>
      <c r="CG310" s="144">
        <v>43893.501597222225</v>
      </c>
      <c r="CH310" t="s">
        <v>8428</v>
      </c>
    </row>
    <row r="311" spans="1:86" ht="15" hidden="1" customHeight="1" x14ac:dyDescent="0.35">
      <c r="A311" t="s">
        <v>842</v>
      </c>
      <c r="B311">
        <v>1</v>
      </c>
      <c r="C311">
        <v>1</v>
      </c>
      <c r="D311" t="s">
        <v>1095</v>
      </c>
      <c r="E311" t="s">
        <v>1301</v>
      </c>
      <c r="I311" t="s">
        <v>1650</v>
      </c>
      <c r="M311" t="s">
        <v>1961</v>
      </c>
      <c r="Q311" t="s">
        <v>2319</v>
      </c>
      <c r="U311" t="s">
        <v>2664</v>
      </c>
      <c r="Y311" t="s">
        <v>2971</v>
      </c>
      <c r="AC311" t="s">
        <v>3261</v>
      </c>
      <c r="AG311" t="s">
        <v>3524</v>
      </c>
      <c r="AK311" t="s">
        <v>3759</v>
      </c>
      <c r="AO311" t="s">
        <v>4041</v>
      </c>
      <c r="AS311" t="s">
        <v>4312</v>
      </c>
      <c r="AW311" t="s">
        <v>4560</v>
      </c>
      <c r="BA311" t="s">
        <v>4805</v>
      </c>
      <c r="BE311" t="s">
        <v>4948</v>
      </c>
      <c r="BG311" t="s">
        <v>5057</v>
      </c>
      <c r="BH311" t="s">
        <v>5312</v>
      </c>
      <c r="BI311" t="s">
        <v>5544</v>
      </c>
      <c r="BJ311" t="s">
        <v>5846</v>
      </c>
      <c r="BK311" t="s">
        <v>6105</v>
      </c>
      <c r="BL311" t="s">
        <v>6286</v>
      </c>
      <c r="BM311" t="s">
        <v>6435</v>
      </c>
      <c r="BN311" t="s">
        <v>6611</v>
      </c>
      <c r="BO311" t="s">
        <v>6761</v>
      </c>
      <c r="BP311" t="s">
        <v>6824</v>
      </c>
      <c r="BT311" t="s">
        <v>7102</v>
      </c>
      <c r="BU311" t="s">
        <v>7198</v>
      </c>
      <c r="BV311" t="s">
        <v>7330</v>
      </c>
      <c r="BW311" t="s">
        <v>7502</v>
      </c>
      <c r="BX311" t="s">
        <v>7610</v>
      </c>
      <c r="BZ311">
        <v>0</v>
      </c>
      <c r="CA311">
        <v>1</v>
      </c>
      <c r="CB311" t="s">
        <v>7695</v>
      </c>
      <c r="CC311" t="s">
        <v>7763</v>
      </c>
      <c r="CD311" t="s">
        <v>7844</v>
      </c>
      <c r="CE311" t="s">
        <v>8087</v>
      </c>
      <c r="CF311" s="144">
        <v>43893.477986111109</v>
      </c>
      <c r="CG311" s="144">
        <v>43893.482581018521</v>
      </c>
      <c r="CH311" t="s">
        <v>8429</v>
      </c>
    </row>
    <row r="312" spans="1:86" ht="15" hidden="1" customHeight="1" x14ac:dyDescent="0.35">
      <c r="A312" t="s">
        <v>843</v>
      </c>
      <c r="B312">
        <v>1</v>
      </c>
      <c r="C312">
        <v>1</v>
      </c>
      <c r="D312" t="s">
        <v>1096</v>
      </c>
      <c r="E312" t="s">
        <v>1302</v>
      </c>
      <c r="F312">
        <v>5</v>
      </c>
      <c r="I312" t="s">
        <v>1650</v>
      </c>
      <c r="M312" t="s">
        <v>1962</v>
      </c>
      <c r="N312">
        <v>6</v>
      </c>
      <c r="P312" t="s">
        <v>2094</v>
      </c>
      <c r="Q312" t="s">
        <v>2319</v>
      </c>
      <c r="U312" t="s">
        <v>2664</v>
      </c>
      <c r="Y312" t="s">
        <v>2971</v>
      </c>
      <c r="AC312" t="s">
        <v>3261</v>
      </c>
      <c r="AG312" t="s">
        <v>3524</v>
      </c>
      <c r="AK312" t="s">
        <v>3760</v>
      </c>
      <c r="AL312">
        <v>8</v>
      </c>
      <c r="AN312" t="s">
        <v>3837</v>
      </c>
      <c r="AO312" t="s">
        <v>4041</v>
      </c>
      <c r="AS312" t="s">
        <v>4312</v>
      </c>
      <c r="AW312" t="s">
        <v>4561</v>
      </c>
      <c r="AY312">
        <v>6</v>
      </c>
      <c r="AZ312" t="s">
        <v>4634</v>
      </c>
      <c r="BA312" t="s">
        <v>4806</v>
      </c>
      <c r="BC312">
        <v>6</v>
      </c>
      <c r="BD312" t="s">
        <v>4892</v>
      </c>
      <c r="BE312" t="s">
        <v>4948</v>
      </c>
      <c r="BG312" t="s">
        <v>5057</v>
      </c>
      <c r="BH312" t="s">
        <v>5313</v>
      </c>
      <c r="BI312" t="s">
        <v>5545</v>
      </c>
      <c r="BJ312" t="s">
        <v>5847</v>
      </c>
      <c r="BK312" t="s">
        <v>6106</v>
      </c>
      <c r="BL312" t="s">
        <v>6287</v>
      </c>
      <c r="BM312" t="s">
        <v>6436</v>
      </c>
      <c r="BN312" t="s">
        <v>6611</v>
      </c>
      <c r="BO312" t="s">
        <v>6761</v>
      </c>
      <c r="BP312" t="s">
        <v>6824</v>
      </c>
      <c r="BT312" t="s">
        <v>7103</v>
      </c>
      <c r="BU312" t="s">
        <v>7198</v>
      </c>
      <c r="BV312" t="s">
        <v>7330</v>
      </c>
      <c r="BW312" t="s">
        <v>7503</v>
      </c>
      <c r="BX312" t="s">
        <v>7610</v>
      </c>
      <c r="BZ312">
        <v>0</v>
      </c>
      <c r="CA312">
        <v>1</v>
      </c>
      <c r="CB312" t="s">
        <v>7695</v>
      </c>
      <c r="CC312" t="s">
        <v>7764</v>
      </c>
      <c r="CD312" t="s">
        <v>7844</v>
      </c>
      <c r="CE312" t="s">
        <v>8087</v>
      </c>
      <c r="CF312" s="144">
        <v>43893.44121527778</v>
      </c>
      <c r="CG312" s="144">
        <v>43893.451157407406</v>
      </c>
      <c r="CH312" t="s">
        <v>8430</v>
      </c>
    </row>
    <row r="313" spans="1:86" ht="15" hidden="1" customHeight="1" x14ac:dyDescent="0.35">
      <c r="A313" t="s">
        <v>844</v>
      </c>
      <c r="B313">
        <v>1</v>
      </c>
      <c r="C313">
        <v>1</v>
      </c>
      <c r="D313" t="s">
        <v>1096</v>
      </c>
      <c r="E313" t="s">
        <v>1302</v>
      </c>
      <c r="F313">
        <v>5</v>
      </c>
      <c r="H313" t="s">
        <v>1449</v>
      </c>
      <c r="I313" t="s">
        <v>1650</v>
      </c>
      <c r="M313" t="s">
        <v>1962</v>
      </c>
      <c r="N313">
        <v>6</v>
      </c>
      <c r="P313" t="s">
        <v>2095</v>
      </c>
      <c r="Q313" t="s">
        <v>2320</v>
      </c>
      <c r="S313">
        <v>5</v>
      </c>
      <c r="T313" t="s">
        <v>2458</v>
      </c>
      <c r="U313" t="s">
        <v>2664</v>
      </c>
      <c r="Y313" t="s">
        <v>2972</v>
      </c>
      <c r="Z313">
        <v>6</v>
      </c>
      <c r="AB313" t="s">
        <v>3080</v>
      </c>
      <c r="AC313" t="s">
        <v>3261</v>
      </c>
      <c r="AG313" t="s">
        <v>3524</v>
      </c>
      <c r="AK313" t="s">
        <v>3761</v>
      </c>
      <c r="AO313" t="s">
        <v>4042</v>
      </c>
      <c r="AQ313">
        <v>6</v>
      </c>
      <c r="AR313" t="s">
        <v>4148</v>
      </c>
      <c r="AS313" t="s">
        <v>4312</v>
      </c>
      <c r="AW313" t="s">
        <v>4562</v>
      </c>
      <c r="BA313" t="s">
        <v>4807</v>
      </c>
      <c r="BE313" t="s">
        <v>4948</v>
      </c>
      <c r="BG313" t="s">
        <v>5058</v>
      </c>
      <c r="BH313" t="s">
        <v>5314</v>
      </c>
      <c r="BI313" t="s">
        <v>5546</v>
      </c>
      <c r="BJ313" t="s">
        <v>5848</v>
      </c>
      <c r="BK313" t="s">
        <v>6107</v>
      </c>
      <c r="BL313" t="s">
        <v>6287</v>
      </c>
      <c r="BM313" t="s">
        <v>6437</v>
      </c>
      <c r="BN313" t="s">
        <v>6611</v>
      </c>
      <c r="BO313" t="s">
        <v>6761</v>
      </c>
      <c r="BP313" t="s">
        <v>6824</v>
      </c>
      <c r="BT313" t="s">
        <v>7103</v>
      </c>
      <c r="BU313" t="s">
        <v>7198</v>
      </c>
      <c r="BV313" t="s">
        <v>7331</v>
      </c>
      <c r="BW313" t="s">
        <v>7504</v>
      </c>
      <c r="BX313" t="s">
        <v>7611</v>
      </c>
      <c r="BZ313">
        <v>0</v>
      </c>
      <c r="CA313">
        <v>1</v>
      </c>
      <c r="CB313" t="s">
        <v>7695</v>
      </c>
      <c r="CC313" t="s">
        <v>7764</v>
      </c>
      <c r="CD313" t="s">
        <v>7844</v>
      </c>
      <c r="CE313" t="s">
        <v>8087</v>
      </c>
      <c r="CF313" s="144">
        <v>43893.437291666669</v>
      </c>
      <c r="CG313" s="144">
        <v>43893.448576388888</v>
      </c>
      <c r="CH313" t="s">
        <v>8431</v>
      </c>
    </row>
    <row r="314" spans="1:86" ht="15" hidden="1" customHeight="1" x14ac:dyDescent="0.35">
      <c r="A314" t="s">
        <v>845</v>
      </c>
      <c r="B314">
        <v>1</v>
      </c>
      <c r="C314">
        <v>1</v>
      </c>
      <c r="D314" t="s">
        <v>1096</v>
      </c>
      <c r="E314" t="s">
        <v>1303</v>
      </c>
      <c r="I314" t="s">
        <v>1651</v>
      </c>
      <c r="J314">
        <v>5</v>
      </c>
      <c r="M314" t="s">
        <v>1963</v>
      </c>
      <c r="Q314" t="s">
        <v>2321</v>
      </c>
      <c r="U314" t="s">
        <v>2664</v>
      </c>
      <c r="Y314" t="s">
        <v>2973</v>
      </c>
      <c r="AA314">
        <v>5</v>
      </c>
      <c r="AC314" t="s">
        <v>3261</v>
      </c>
      <c r="AG314" t="s">
        <v>3524</v>
      </c>
      <c r="AK314" t="s">
        <v>3761</v>
      </c>
      <c r="AO314" t="s">
        <v>4043</v>
      </c>
      <c r="AS314" t="s">
        <v>4312</v>
      </c>
      <c r="AW314" t="s">
        <v>4562</v>
      </c>
      <c r="BA314" t="s">
        <v>4807</v>
      </c>
      <c r="BE314" t="s">
        <v>4948</v>
      </c>
      <c r="BG314" t="s">
        <v>5059</v>
      </c>
      <c r="BH314" t="s">
        <v>5315</v>
      </c>
      <c r="BI314" t="s">
        <v>5547</v>
      </c>
      <c r="BJ314" t="s">
        <v>5849</v>
      </c>
      <c r="BK314" t="s">
        <v>6108</v>
      </c>
      <c r="BL314" t="s">
        <v>6288</v>
      </c>
      <c r="BM314" t="s">
        <v>6437</v>
      </c>
      <c r="BN314" t="s">
        <v>6611</v>
      </c>
      <c r="BO314" t="s">
        <v>6761</v>
      </c>
      <c r="BP314" t="s">
        <v>6825</v>
      </c>
      <c r="BQ314" t="s">
        <v>6845</v>
      </c>
      <c r="BR314" t="s">
        <v>6861</v>
      </c>
      <c r="BS314" t="s">
        <v>6877</v>
      </c>
      <c r="BT314" t="s">
        <v>7104</v>
      </c>
      <c r="BU314" t="s">
        <v>7198</v>
      </c>
      <c r="BV314" t="s">
        <v>7332</v>
      </c>
      <c r="BW314" t="s">
        <v>7505</v>
      </c>
      <c r="BX314" t="s">
        <v>7612</v>
      </c>
      <c r="BZ314">
        <v>0</v>
      </c>
      <c r="CA314">
        <v>1</v>
      </c>
      <c r="CB314" t="s">
        <v>7695</v>
      </c>
      <c r="CC314" t="s">
        <v>7765</v>
      </c>
      <c r="CD314" t="s">
        <v>7844</v>
      </c>
      <c r="CE314" t="s">
        <v>8088</v>
      </c>
      <c r="CF314" s="144">
        <v>43893.430787037039</v>
      </c>
      <c r="CG314" s="144">
        <v>43893.441527777781</v>
      </c>
      <c r="CH314" t="s">
        <v>8431</v>
      </c>
    </row>
    <row r="315" spans="1:86" ht="15" hidden="1" customHeight="1" x14ac:dyDescent="0.35">
      <c r="A315" t="s">
        <v>846</v>
      </c>
      <c r="B315">
        <v>1</v>
      </c>
      <c r="C315">
        <v>1</v>
      </c>
      <c r="D315" t="s">
        <v>1097</v>
      </c>
      <c r="E315" t="s">
        <v>1303</v>
      </c>
      <c r="I315" t="s">
        <v>1652</v>
      </c>
      <c r="M315" t="s">
        <v>1963</v>
      </c>
      <c r="Q315" t="s">
        <v>2321</v>
      </c>
      <c r="U315" t="s">
        <v>2664</v>
      </c>
      <c r="Y315" t="s">
        <v>2974</v>
      </c>
      <c r="AC315" t="s">
        <v>3261</v>
      </c>
      <c r="AG315" t="s">
        <v>3524</v>
      </c>
      <c r="AK315" t="s">
        <v>3761</v>
      </c>
      <c r="AO315" t="s">
        <v>4043</v>
      </c>
      <c r="AS315" t="s">
        <v>4312</v>
      </c>
      <c r="AW315" t="s">
        <v>4562</v>
      </c>
      <c r="BA315" t="s">
        <v>4807</v>
      </c>
      <c r="BE315" t="s">
        <v>4948</v>
      </c>
      <c r="BG315" t="s">
        <v>5059</v>
      </c>
      <c r="BH315" t="s">
        <v>5316</v>
      </c>
      <c r="BI315" t="s">
        <v>5547</v>
      </c>
      <c r="BJ315" t="s">
        <v>5850</v>
      </c>
      <c r="BK315" t="s">
        <v>6109</v>
      </c>
      <c r="BL315" t="s">
        <v>6288</v>
      </c>
      <c r="BM315" t="s">
        <v>6438</v>
      </c>
      <c r="BN315" t="s">
        <v>6611</v>
      </c>
      <c r="BO315" t="s">
        <v>6761</v>
      </c>
      <c r="BP315" t="s">
        <v>6826</v>
      </c>
      <c r="BT315" t="s">
        <v>7105</v>
      </c>
      <c r="BU315" t="s">
        <v>7198</v>
      </c>
      <c r="BV315" t="s">
        <v>7333</v>
      </c>
      <c r="BW315" t="s">
        <v>7505</v>
      </c>
      <c r="BX315" t="s">
        <v>7612</v>
      </c>
      <c r="BZ315">
        <v>0</v>
      </c>
      <c r="CA315">
        <v>1</v>
      </c>
      <c r="CB315" t="s">
        <v>7695</v>
      </c>
      <c r="CC315" t="s">
        <v>7766</v>
      </c>
      <c r="CD315" t="s">
        <v>7844</v>
      </c>
      <c r="CE315" t="s">
        <v>8089</v>
      </c>
      <c r="CF315" s="144">
        <v>43893.405925925923</v>
      </c>
      <c r="CG315" s="144">
        <v>43893.412303240744</v>
      </c>
      <c r="CH315" t="s">
        <v>8431</v>
      </c>
    </row>
    <row r="316" spans="1:86" ht="15" hidden="1" customHeight="1" x14ac:dyDescent="0.35">
      <c r="A316" t="s">
        <v>847</v>
      </c>
      <c r="B316">
        <v>1</v>
      </c>
      <c r="C316">
        <v>1</v>
      </c>
      <c r="D316" t="s">
        <v>1098</v>
      </c>
      <c r="E316" t="s">
        <v>1304</v>
      </c>
      <c r="F316">
        <v>7</v>
      </c>
      <c r="H316" t="s">
        <v>1450</v>
      </c>
      <c r="I316" t="s">
        <v>1653</v>
      </c>
      <c r="J316">
        <v>6</v>
      </c>
      <c r="L316" t="s">
        <v>1791</v>
      </c>
      <c r="M316" t="s">
        <v>1964</v>
      </c>
      <c r="N316">
        <v>8</v>
      </c>
      <c r="P316" t="s">
        <v>2096</v>
      </c>
      <c r="Q316" t="s">
        <v>2322</v>
      </c>
      <c r="S316">
        <v>5</v>
      </c>
      <c r="T316" t="s">
        <v>2459</v>
      </c>
      <c r="U316" t="s">
        <v>2665</v>
      </c>
      <c r="V316">
        <v>7</v>
      </c>
      <c r="X316" t="s">
        <v>2775</v>
      </c>
      <c r="Y316" t="s">
        <v>2975</v>
      </c>
      <c r="Z316">
        <v>8</v>
      </c>
      <c r="AB316" t="s">
        <v>3081</v>
      </c>
      <c r="AC316" t="s">
        <v>3262</v>
      </c>
      <c r="AE316">
        <v>8</v>
      </c>
      <c r="AF316" t="s">
        <v>3372</v>
      </c>
      <c r="AG316" t="s">
        <v>3525</v>
      </c>
      <c r="AI316">
        <v>7</v>
      </c>
      <c r="AK316" t="s">
        <v>3762</v>
      </c>
      <c r="AL316">
        <v>8</v>
      </c>
      <c r="AN316" t="s">
        <v>3838</v>
      </c>
      <c r="AO316" t="s">
        <v>4044</v>
      </c>
      <c r="AQ316">
        <v>6</v>
      </c>
      <c r="AS316" t="s">
        <v>4313</v>
      </c>
      <c r="AT316">
        <v>5</v>
      </c>
      <c r="AW316" t="s">
        <v>4563</v>
      </c>
      <c r="AY316">
        <v>8</v>
      </c>
      <c r="BA316" t="s">
        <v>4808</v>
      </c>
      <c r="BC316">
        <v>8</v>
      </c>
      <c r="BE316" t="s">
        <v>4948</v>
      </c>
      <c r="BG316" t="s">
        <v>5059</v>
      </c>
      <c r="BH316" t="s">
        <v>5317</v>
      </c>
      <c r="BI316" t="s">
        <v>5548</v>
      </c>
      <c r="BJ316" t="s">
        <v>5851</v>
      </c>
      <c r="BK316" t="s">
        <v>6110</v>
      </c>
      <c r="BL316" t="s">
        <v>6288</v>
      </c>
      <c r="BM316" t="s">
        <v>6438</v>
      </c>
      <c r="BN316" t="s">
        <v>6611</v>
      </c>
      <c r="BO316" t="s">
        <v>6761</v>
      </c>
      <c r="BP316" t="s">
        <v>6826</v>
      </c>
      <c r="BT316" t="s">
        <v>7105</v>
      </c>
      <c r="BU316" t="s">
        <v>7198</v>
      </c>
      <c r="BV316" t="s">
        <v>7334</v>
      </c>
      <c r="BW316" t="s">
        <v>7506</v>
      </c>
      <c r="BX316" t="s">
        <v>7612</v>
      </c>
      <c r="BZ316">
        <v>0</v>
      </c>
      <c r="CA316">
        <v>1</v>
      </c>
      <c r="CB316" t="s">
        <v>7695</v>
      </c>
      <c r="CC316" t="s">
        <v>7766</v>
      </c>
      <c r="CD316" t="s">
        <v>7844</v>
      </c>
      <c r="CE316" t="s">
        <v>8090</v>
      </c>
      <c r="CF316" s="144">
        <v>43893.379467592589</v>
      </c>
      <c r="CG316" s="144">
        <v>43893.387789351851</v>
      </c>
      <c r="CH316" t="s">
        <v>8431</v>
      </c>
    </row>
    <row r="317" spans="1:86" ht="15" hidden="1" customHeight="1" x14ac:dyDescent="0.35">
      <c r="A317" t="s">
        <v>848</v>
      </c>
      <c r="B317">
        <v>1</v>
      </c>
      <c r="C317">
        <v>1</v>
      </c>
      <c r="D317" t="s">
        <v>1099</v>
      </c>
      <c r="E317" t="s">
        <v>1304</v>
      </c>
      <c r="F317">
        <v>6</v>
      </c>
      <c r="H317" t="s">
        <v>1451</v>
      </c>
      <c r="I317" t="s">
        <v>1653</v>
      </c>
      <c r="J317">
        <v>6</v>
      </c>
      <c r="L317" t="s">
        <v>1792</v>
      </c>
      <c r="M317" t="s">
        <v>1965</v>
      </c>
      <c r="O317">
        <v>5</v>
      </c>
      <c r="P317" t="s">
        <v>2097</v>
      </c>
      <c r="Q317" t="s">
        <v>2323</v>
      </c>
      <c r="U317" t="s">
        <v>2666</v>
      </c>
      <c r="Y317" t="s">
        <v>2976</v>
      </c>
      <c r="AC317" t="s">
        <v>3263</v>
      </c>
      <c r="AG317" t="s">
        <v>3526</v>
      </c>
      <c r="AK317" t="s">
        <v>3763</v>
      </c>
      <c r="AO317" t="s">
        <v>4045</v>
      </c>
      <c r="AS317" t="s">
        <v>4314</v>
      </c>
      <c r="AW317" t="s">
        <v>4564</v>
      </c>
      <c r="BA317" t="s">
        <v>4809</v>
      </c>
      <c r="BE317" t="s">
        <v>4948</v>
      </c>
      <c r="BG317" t="s">
        <v>5059</v>
      </c>
      <c r="BH317" t="s">
        <v>5318</v>
      </c>
      <c r="BI317" t="s">
        <v>5549</v>
      </c>
      <c r="BJ317" t="s">
        <v>5851</v>
      </c>
      <c r="BK317" t="s">
        <v>6111</v>
      </c>
      <c r="BL317" t="s">
        <v>6288</v>
      </c>
      <c r="BM317" t="s">
        <v>6438</v>
      </c>
      <c r="BN317" t="s">
        <v>6611</v>
      </c>
      <c r="BO317" t="s">
        <v>6761</v>
      </c>
      <c r="BP317" t="s">
        <v>6826</v>
      </c>
      <c r="BT317" t="s">
        <v>7105</v>
      </c>
      <c r="BU317" t="s">
        <v>7198</v>
      </c>
      <c r="BV317" t="s">
        <v>7335</v>
      </c>
      <c r="BW317" t="s">
        <v>7506</v>
      </c>
      <c r="BX317" t="s">
        <v>7612</v>
      </c>
      <c r="BZ317">
        <v>0</v>
      </c>
      <c r="CA317">
        <v>1</v>
      </c>
      <c r="CB317" t="s">
        <v>7695</v>
      </c>
      <c r="CC317" t="s">
        <v>7767</v>
      </c>
      <c r="CD317" t="s">
        <v>7845</v>
      </c>
      <c r="CE317" t="s">
        <v>8091</v>
      </c>
      <c r="CF317" s="144">
        <v>43893.360833333332</v>
      </c>
      <c r="CG317" s="144">
        <v>43893.37605324074</v>
      </c>
      <c r="CH317" t="s">
        <v>8432</v>
      </c>
    </row>
    <row r="318" spans="1:86" ht="15" hidden="1" customHeight="1" x14ac:dyDescent="0.35">
      <c r="A318" t="s">
        <v>849</v>
      </c>
      <c r="B318">
        <v>1</v>
      </c>
      <c r="C318">
        <v>1</v>
      </c>
      <c r="D318" t="s">
        <v>1100</v>
      </c>
      <c r="E318" t="s">
        <v>1304</v>
      </c>
      <c r="F318">
        <v>8</v>
      </c>
      <c r="H318" s="21"/>
      <c r="I318" t="s">
        <v>1653</v>
      </c>
      <c r="J318">
        <v>8</v>
      </c>
      <c r="L318" s="21"/>
      <c r="M318" t="s">
        <v>1966</v>
      </c>
      <c r="Q318" t="s">
        <v>2323</v>
      </c>
      <c r="T318" s="21"/>
      <c r="U318" t="s">
        <v>2667</v>
      </c>
      <c r="W318">
        <v>6</v>
      </c>
      <c r="X318" s="21"/>
      <c r="Y318" t="s">
        <v>2977</v>
      </c>
      <c r="AA318">
        <v>6</v>
      </c>
      <c r="AB318" s="21"/>
      <c r="AC318" t="s">
        <v>3264</v>
      </c>
      <c r="AD318">
        <v>7</v>
      </c>
      <c r="AG318" t="s">
        <v>3527</v>
      </c>
      <c r="AH318">
        <v>6</v>
      </c>
      <c r="AJ318" s="21"/>
      <c r="AK318" t="s">
        <v>3764</v>
      </c>
      <c r="AM318">
        <v>5</v>
      </c>
      <c r="AN318" s="21"/>
      <c r="AO318" t="s">
        <v>4045</v>
      </c>
      <c r="AR318" s="21"/>
      <c r="AS318" t="s">
        <v>4314</v>
      </c>
      <c r="AV318" s="21"/>
      <c r="AW318" t="s">
        <v>4564</v>
      </c>
      <c r="AZ318" s="21"/>
      <c r="BA318" t="s">
        <v>4809</v>
      </c>
      <c r="BD318" s="21"/>
      <c r="BE318" t="s">
        <v>4948</v>
      </c>
      <c r="BG318" t="s">
        <v>5059</v>
      </c>
      <c r="BH318" t="s">
        <v>5319</v>
      </c>
      <c r="BI318" t="s">
        <v>5550</v>
      </c>
      <c r="BJ318" t="s">
        <v>5852</v>
      </c>
      <c r="BK318" t="s">
        <v>6111</v>
      </c>
      <c r="BL318" t="s">
        <v>6289</v>
      </c>
      <c r="BM318" t="s">
        <v>6438</v>
      </c>
      <c r="BN318" t="s">
        <v>6611</v>
      </c>
      <c r="BO318" t="s">
        <v>6761</v>
      </c>
      <c r="BP318" t="s">
        <v>6826</v>
      </c>
      <c r="BT318" t="s">
        <v>7106</v>
      </c>
      <c r="BU318" t="s">
        <v>7198</v>
      </c>
      <c r="BV318" t="s">
        <v>7335</v>
      </c>
      <c r="BW318" t="s">
        <v>7506</v>
      </c>
      <c r="BX318" t="s">
        <v>7612</v>
      </c>
      <c r="BZ318">
        <v>0</v>
      </c>
      <c r="CA318">
        <v>1</v>
      </c>
      <c r="CB318" t="s">
        <v>7695</v>
      </c>
      <c r="CC318" t="s">
        <v>7768</v>
      </c>
      <c r="CD318" t="s">
        <v>7846</v>
      </c>
      <c r="CE318" t="s">
        <v>8092</v>
      </c>
      <c r="CF318" s="144">
        <v>43893.368576388886</v>
      </c>
      <c r="CG318" s="144">
        <v>43893.374247685184</v>
      </c>
      <c r="CH318" t="s">
        <v>8433</v>
      </c>
    </row>
    <row r="319" spans="1:86" ht="15" hidden="1" customHeight="1" x14ac:dyDescent="0.35">
      <c r="A319" t="s">
        <v>850</v>
      </c>
      <c r="B319">
        <v>1</v>
      </c>
      <c r="C319">
        <v>1</v>
      </c>
      <c r="D319" t="s">
        <v>1100</v>
      </c>
      <c r="E319" t="s">
        <v>1304</v>
      </c>
      <c r="F319">
        <v>5</v>
      </c>
      <c r="I319" t="s">
        <v>1654</v>
      </c>
      <c r="M319" t="s">
        <v>1967</v>
      </c>
      <c r="N319">
        <v>7</v>
      </c>
      <c r="Q319" t="s">
        <v>2323</v>
      </c>
      <c r="U319" t="s">
        <v>2668</v>
      </c>
      <c r="Y319" t="s">
        <v>2978</v>
      </c>
      <c r="AC319" t="s">
        <v>3264</v>
      </c>
      <c r="AD319">
        <v>8</v>
      </c>
      <c r="AG319" t="s">
        <v>3527</v>
      </c>
      <c r="AH319">
        <v>5</v>
      </c>
      <c r="AK319" t="s">
        <v>3765</v>
      </c>
      <c r="AO319" t="s">
        <v>4046</v>
      </c>
      <c r="AQ319">
        <v>8</v>
      </c>
      <c r="AS319" t="s">
        <v>4314</v>
      </c>
      <c r="AW319" t="s">
        <v>4564</v>
      </c>
      <c r="BA319" t="s">
        <v>4810</v>
      </c>
      <c r="BC319">
        <v>5</v>
      </c>
      <c r="BE319" t="s">
        <v>4948</v>
      </c>
      <c r="BG319" t="s">
        <v>5059</v>
      </c>
      <c r="BH319" t="s">
        <v>5320</v>
      </c>
      <c r="BI319" t="s">
        <v>5550</v>
      </c>
      <c r="BJ319" t="s">
        <v>5853</v>
      </c>
      <c r="BK319" t="s">
        <v>6112</v>
      </c>
      <c r="BL319" t="s">
        <v>6289</v>
      </c>
      <c r="BM319" t="s">
        <v>6439</v>
      </c>
      <c r="BN319" t="s">
        <v>6611</v>
      </c>
      <c r="BO319" t="s">
        <v>6761</v>
      </c>
      <c r="BP319" t="s">
        <v>6826</v>
      </c>
      <c r="BT319" t="s">
        <v>7107</v>
      </c>
      <c r="BU319" t="s">
        <v>7198</v>
      </c>
      <c r="BV319" t="s">
        <v>7336</v>
      </c>
      <c r="BW319" t="s">
        <v>7507</v>
      </c>
      <c r="BX319" t="s">
        <v>7612</v>
      </c>
      <c r="BZ319">
        <v>0</v>
      </c>
      <c r="CA319">
        <v>1</v>
      </c>
      <c r="CB319" t="s">
        <v>7695</v>
      </c>
      <c r="CC319" t="s">
        <v>7769</v>
      </c>
      <c r="CD319" t="s">
        <v>7847</v>
      </c>
      <c r="CE319" t="s">
        <v>8092</v>
      </c>
      <c r="CF319" s="144">
        <v>43893.356273148151</v>
      </c>
      <c r="CG319" s="144">
        <v>43893.367546296293</v>
      </c>
      <c r="CH319" s="24" t="s">
        <v>8434</v>
      </c>
    </row>
    <row r="320" spans="1:86" ht="15" hidden="1" customHeight="1" x14ac:dyDescent="0.35">
      <c r="A320" t="s">
        <v>851</v>
      </c>
      <c r="B320">
        <v>1</v>
      </c>
      <c r="C320">
        <v>1</v>
      </c>
      <c r="D320" t="s">
        <v>1101</v>
      </c>
      <c r="E320" t="s">
        <v>1305</v>
      </c>
      <c r="I320" t="s">
        <v>1655</v>
      </c>
      <c r="M320" t="s">
        <v>1968</v>
      </c>
      <c r="Q320" t="s">
        <v>2324</v>
      </c>
      <c r="U320" t="s">
        <v>2669</v>
      </c>
      <c r="Y320" t="s">
        <v>2979</v>
      </c>
      <c r="AC320" t="s">
        <v>3265</v>
      </c>
      <c r="AG320" t="s">
        <v>3528</v>
      </c>
      <c r="AK320" t="s">
        <v>3766</v>
      </c>
      <c r="AO320" t="s">
        <v>4047</v>
      </c>
      <c r="AS320" t="s">
        <v>4315</v>
      </c>
      <c r="AW320" t="s">
        <v>4565</v>
      </c>
      <c r="BA320" t="s">
        <v>4811</v>
      </c>
      <c r="BE320" t="s">
        <v>4949</v>
      </c>
      <c r="BG320" t="s">
        <v>5060</v>
      </c>
      <c r="BH320" t="s">
        <v>5321</v>
      </c>
      <c r="BI320" t="s">
        <v>5551</v>
      </c>
      <c r="BJ320" t="s">
        <v>5854</v>
      </c>
      <c r="BK320" t="s">
        <v>6113</v>
      </c>
      <c r="BL320" t="s">
        <v>6290</v>
      </c>
      <c r="BM320" t="s">
        <v>6440</v>
      </c>
      <c r="BN320" t="s">
        <v>6612</v>
      </c>
      <c r="BO320" t="s">
        <v>6762</v>
      </c>
      <c r="BP320" t="s">
        <v>6826</v>
      </c>
      <c r="BT320" t="s">
        <v>7108</v>
      </c>
      <c r="BU320" t="s">
        <v>7199</v>
      </c>
      <c r="BV320" t="s">
        <v>7337</v>
      </c>
      <c r="BW320" t="s">
        <v>7508</v>
      </c>
      <c r="BX320" t="s">
        <v>7612</v>
      </c>
      <c r="BZ320">
        <v>0</v>
      </c>
      <c r="CA320">
        <v>0</v>
      </c>
      <c r="CE320" t="s">
        <v>8093</v>
      </c>
      <c r="CF320" s="144">
        <v>44130.706597222219</v>
      </c>
      <c r="CG320" s="144">
        <v>44130.716550925928</v>
      </c>
      <c r="CH320" t="s">
        <v>8435</v>
      </c>
    </row>
    <row r="321" spans="1:86" ht="15" customHeight="1" x14ac:dyDescent="0.35">
      <c r="A321" t="s">
        <v>852</v>
      </c>
      <c r="B321">
        <v>1</v>
      </c>
      <c r="C321">
        <v>1</v>
      </c>
      <c r="D321" t="s">
        <v>1102</v>
      </c>
      <c r="E321" t="s">
        <v>1305</v>
      </c>
      <c r="I321" t="s">
        <v>1656</v>
      </c>
      <c r="J321">
        <v>7</v>
      </c>
      <c r="L321" t="s">
        <v>1793</v>
      </c>
      <c r="M321" t="s">
        <v>1969</v>
      </c>
      <c r="N321">
        <v>6</v>
      </c>
      <c r="Q321" t="s">
        <v>2325</v>
      </c>
      <c r="R321">
        <v>7</v>
      </c>
      <c r="U321" t="s">
        <v>2670</v>
      </c>
      <c r="V321">
        <v>6</v>
      </c>
      <c r="Y321" t="s">
        <v>2980</v>
      </c>
      <c r="Z321">
        <v>8</v>
      </c>
      <c r="AB321" t="s">
        <v>3082</v>
      </c>
      <c r="AC321" t="s">
        <v>3265</v>
      </c>
      <c r="AG321" t="s">
        <v>3528</v>
      </c>
      <c r="AK321" t="s">
        <v>3766</v>
      </c>
      <c r="AO321" t="s">
        <v>4048</v>
      </c>
      <c r="AQ321">
        <v>5</v>
      </c>
      <c r="AS321" t="s">
        <v>4315</v>
      </c>
      <c r="AW321" t="s">
        <v>4565</v>
      </c>
      <c r="BA321" t="s">
        <v>4812</v>
      </c>
      <c r="BC321">
        <v>4</v>
      </c>
      <c r="BE321" t="s">
        <v>4949</v>
      </c>
      <c r="BG321" t="s">
        <v>5061</v>
      </c>
      <c r="BH321" t="s">
        <v>5322</v>
      </c>
      <c r="BI321" t="s">
        <v>5552</v>
      </c>
      <c r="BJ321" t="s">
        <v>5855</v>
      </c>
      <c r="BK321" t="s">
        <v>6113</v>
      </c>
      <c r="BL321" t="s">
        <v>6291</v>
      </c>
      <c r="BM321" t="s">
        <v>6440</v>
      </c>
      <c r="BN321" t="s">
        <v>6612</v>
      </c>
      <c r="BO321" t="s">
        <v>6762</v>
      </c>
      <c r="BP321" t="s">
        <v>6826</v>
      </c>
      <c r="BT321" t="s">
        <v>7108</v>
      </c>
      <c r="BU321" t="s">
        <v>7199</v>
      </c>
      <c r="BV321" t="s">
        <v>7338</v>
      </c>
      <c r="BW321" t="s">
        <v>7509</v>
      </c>
      <c r="BX321" t="s">
        <v>7612</v>
      </c>
      <c r="BZ321">
        <v>0</v>
      </c>
      <c r="CA321">
        <v>0</v>
      </c>
      <c r="CE321" t="s">
        <v>8094</v>
      </c>
      <c r="CF321" s="144">
        <v>44127.402083333334</v>
      </c>
      <c r="CG321" s="144">
        <v>44127.409363425926</v>
      </c>
      <c r="CH321" t="s">
        <v>8436</v>
      </c>
    </row>
    <row r="322" spans="1:86" ht="15" hidden="1" customHeight="1" x14ac:dyDescent="0.35">
      <c r="A322" t="s">
        <v>853</v>
      </c>
      <c r="B322">
        <v>1</v>
      </c>
      <c r="C322">
        <v>1</v>
      </c>
      <c r="D322" t="s">
        <v>1103</v>
      </c>
      <c r="E322" t="s">
        <v>1305</v>
      </c>
      <c r="I322" t="s">
        <v>1657</v>
      </c>
      <c r="M322" t="s">
        <v>1970</v>
      </c>
      <c r="Q322" t="s">
        <v>2326</v>
      </c>
      <c r="U322" t="s">
        <v>2671</v>
      </c>
      <c r="Y322" t="s">
        <v>2981</v>
      </c>
      <c r="AC322" t="s">
        <v>3265</v>
      </c>
      <c r="AG322" t="s">
        <v>3528</v>
      </c>
      <c r="AK322" t="s">
        <v>3766</v>
      </c>
      <c r="AO322" t="s">
        <v>4049</v>
      </c>
      <c r="AS322" t="s">
        <v>4315</v>
      </c>
      <c r="AW322" t="s">
        <v>4565</v>
      </c>
      <c r="BA322" t="s">
        <v>4813</v>
      </c>
      <c r="BE322" t="s">
        <v>4949</v>
      </c>
      <c r="BG322" t="s">
        <v>5062</v>
      </c>
      <c r="BH322" t="s">
        <v>5323</v>
      </c>
      <c r="BI322" t="s">
        <v>5553</v>
      </c>
      <c r="BJ322" t="s">
        <v>5856</v>
      </c>
      <c r="BK322" t="s">
        <v>6113</v>
      </c>
      <c r="BL322" t="s">
        <v>6291</v>
      </c>
      <c r="BM322" t="s">
        <v>6440</v>
      </c>
      <c r="BN322" t="s">
        <v>6613</v>
      </c>
      <c r="BO322" t="s">
        <v>6763</v>
      </c>
      <c r="BP322" t="s">
        <v>6826</v>
      </c>
      <c r="BT322" t="s">
        <v>7109</v>
      </c>
      <c r="BU322" t="s">
        <v>7199</v>
      </c>
      <c r="BV322" t="s">
        <v>7339</v>
      </c>
      <c r="BW322" t="s">
        <v>7510</v>
      </c>
      <c r="BX322" t="s">
        <v>7612</v>
      </c>
      <c r="BZ322">
        <v>0</v>
      </c>
      <c r="CA322">
        <v>0</v>
      </c>
      <c r="CE322" t="s">
        <v>8095</v>
      </c>
      <c r="CF322" s="144">
        <v>44127.383148148147</v>
      </c>
      <c r="CG322" s="144">
        <v>44127.398611111108</v>
      </c>
      <c r="CH322" t="s">
        <v>8437</v>
      </c>
    </row>
    <row r="323" spans="1:86" ht="15" hidden="1" customHeight="1" x14ac:dyDescent="0.35">
      <c r="A323" t="s">
        <v>854</v>
      </c>
      <c r="B323">
        <v>1</v>
      </c>
      <c r="C323">
        <v>1</v>
      </c>
      <c r="D323" t="s">
        <v>1104</v>
      </c>
      <c r="E323" t="s">
        <v>1306</v>
      </c>
      <c r="F323">
        <v>8</v>
      </c>
      <c r="I323" t="s">
        <v>1658</v>
      </c>
      <c r="K323">
        <v>6</v>
      </c>
      <c r="M323" t="s">
        <v>1971</v>
      </c>
      <c r="Q323" t="s">
        <v>2327</v>
      </c>
      <c r="S323">
        <v>8</v>
      </c>
      <c r="U323" t="s">
        <v>2671</v>
      </c>
      <c r="Y323" t="s">
        <v>2981</v>
      </c>
      <c r="AC323" t="s">
        <v>3265</v>
      </c>
      <c r="AG323" t="s">
        <v>3528</v>
      </c>
      <c r="AK323" t="s">
        <v>3766</v>
      </c>
      <c r="AO323" t="s">
        <v>4050</v>
      </c>
      <c r="AP323">
        <v>5</v>
      </c>
      <c r="AS323" t="s">
        <v>4316</v>
      </c>
      <c r="AU323">
        <v>5</v>
      </c>
      <c r="AW323" t="s">
        <v>4565</v>
      </c>
      <c r="BA323" t="s">
        <v>4813</v>
      </c>
      <c r="BE323" t="s">
        <v>4949</v>
      </c>
      <c r="BG323" t="s">
        <v>5062</v>
      </c>
      <c r="BH323" t="s">
        <v>5324</v>
      </c>
      <c r="BI323" t="s">
        <v>5554</v>
      </c>
      <c r="BJ323" t="s">
        <v>5857</v>
      </c>
      <c r="BK323" t="s">
        <v>6114</v>
      </c>
      <c r="BL323" t="s">
        <v>6292</v>
      </c>
      <c r="BM323" t="s">
        <v>6441</v>
      </c>
      <c r="BN323" t="s">
        <v>6614</v>
      </c>
      <c r="BO323" t="s">
        <v>6764</v>
      </c>
      <c r="BP323" t="s">
        <v>6826</v>
      </c>
      <c r="BT323" t="s">
        <v>7110</v>
      </c>
      <c r="BU323" t="s">
        <v>7200</v>
      </c>
      <c r="BV323" t="s">
        <v>7340</v>
      </c>
      <c r="BW323" t="s">
        <v>7511</v>
      </c>
      <c r="BX323" t="s">
        <v>7613</v>
      </c>
      <c r="BZ323">
        <v>1</v>
      </c>
      <c r="CA323">
        <v>1</v>
      </c>
      <c r="CB323" t="s">
        <v>7696</v>
      </c>
      <c r="CC323" t="s">
        <v>7770</v>
      </c>
      <c r="CD323" t="s">
        <v>7848</v>
      </c>
      <c r="CE323" t="s">
        <v>8096</v>
      </c>
      <c r="CF323" s="144">
        <v>44123.309606481482</v>
      </c>
      <c r="CG323" s="144">
        <v>44123.318738425929</v>
      </c>
      <c r="CH323" t="s">
        <v>8438</v>
      </c>
    </row>
    <row r="324" spans="1:86" ht="15" customHeight="1" x14ac:dyDescent="0.35">
      <c r="A324" t="s">
        <v>855</v>
      </c>
      <c r="B324">
        <v>1</v>
      </c>
      <c r="C324">
        <v>1</v>
      </c>
      <c r="D324" t="s">
        <v>1105</v>
      </c>
      <c r="E324" t="s">
        <v>1306</v>
      </c>
      <c r="F324">
        <v>6</v>
      </c>
      <c r="I324" t="s">
        <v>1658</v>
      </c>
      <c r="K324">
        <v>6</v>
      </c>
      <c r="M324" t="s">
        <v>1972</v>
      </c>
      <c r="N324">
        <v>7</v>
      </c>
      <c r="Q324" t="s">
        <v>2327</v>
      </c>
      <c r="S324">
        <v>7</v>
      </c>
      <c r="U324" t="s">
        <v>2672</v>
      </c>
      <c r="W324">
        <v>7</v>
      </c>
      <c r="Y324" t="s">
        <v>2982</v>
      </c>
      <c r="Z324">
        <v>7</v>
      </c>
      <c r="AC324" t="s">
        <v>3266</v>
      </c>
      <c r="AD324">
        <v>8</v>
      </c>
      <c r="AG324" t="s">
        <v>3529</v>
      </c>
      <c r="AH324">
        <v>6</v>
      </c>
      <c r="AK324" t="s">
        <v>3767</v>
      </c>
      <c r="AM324">
        <v>7</v>
      </c>
      <c r="AO324" t="s">
        <v>4051</v>
      </c>
      <c r="AQ324">
        <v>6</v>
      </c>
      <c r="AS324" t="s">
        <v>4317</v>
      </c>
      <c r="AT324">
        <v>6</v>
      </c>
      <c r="AW324" t="s">
        <v>4566</v>
      </c>
      <c r="AX324">
        <v>6</v>
      </c>
      <c r="BA324" t="s">
        <v>4814</v>
      </c>
      <c r="BB324">
        <v>6</v>
      </c>
      <c r="BE324" t="s">
        <v>4949</v>
      </c>
      <c r="BG324" t="s">
        <v>5062</v>
      </c>
      <c r="BH324" t="s">
        <v>5325</v>
      </c>
      <c r="BI324" t="s">
        <v>5555</v>
      </c>
      <c r="BJ324" t="s">
        <v>5858</v>
      </c>
      <c r="BK324" t="s">
        <v>6115</v>
      </c>
      <c r="BL324" t="s">
        <v>6293</v>
      </c>
      <c r="BM324" t="s">
        <v>6442</v>
      </c>
      <c r="BN324" t="s">
        <v>6614</v>
      </c>
      <c r="BO324" t="s">
        <v>6764</v>
      </c>
      <c r="BP324" t="s">
        <v>6826</v>
      </c>
      <c r="BT324" t="s">
        <v>7111</v>
      </c>
      <c r="BU324" t="s">
        <v>7201</v>
      </c>
      <c r="BV324" t="s">
        <v>7341</v>
      </c>
      <c r="BW324" t="s">
        <v>7512</v>
      </c>
      <c r="BX324" t="s">
        <v>7614</v>
      </c>
      <c r="BZ324">
        <v>0</v>
      </c>
      <c r="CA324">
        <v>0</v>
      </c>
      <c r="CE324" t="s">
        <v>8097</v>
      </c>
      <c r="CF324" s="144">
        <v>44120.79619212963</v>
      </c>
      <c r="CG324" s="144">
        <v>44120.801828703705</v>
      </c>
      <c r="CH324" t="s">
        <v>8439</v>
      </c>
    </row>
    <row r="325" spans="1:86" ht="15" customHeight="1" x14ac:dyDescent="0.35">
      <c r="A325" t="s">
        <v>856</v>
      </c>
      <c r="B325">
        <v>1</v>
      </c>
      <c r="C325">
        <v>1</v>
      </c>
      <c r="D325" t="s">
        <v>1106</v>
      </c>
      <c r="E325" t="s">
        <v>1307</v>
      </c>
      <c r="I325" t="s">
        <v>1659</v>
      </c>
      <c r="M325" t="s">
        <v>1973</v>
      </c>
      <c r="Q325" t="s">
        <v>2328</v>
      </c>
      <c r="U325" t="s">
        <v>2673</v>
      </c>
      <c r="V325">
        <v>6</v>
      </c>
      <c r="X325" t="s">
        <v>2776</v>
      </c>
      <c r="Y325" t="s">
        <v>2982</v>
      </c>
      <c r="Z325">
        <v>6</v>
      </c>
      <c r="AB325" t="s">
        <v>3083</v>
      </c>
      <c r="AC325" t="s">
        <v>3267</v>
      </c>
      <c r="AG325" t="s">
        <v>3529</v>
      </c>
      <c r="AH325">
        <v>4</v>
      </c>
      <c r="AJ325" t="s">
        <v>3592</v>
      </c>
      <c r="AK325" t="s">
        <v>3768</v>
      </c>
      <c r="AL325">
        <v>5</v>
      </c>
      <c r="AN325" t="s">
        <v>3839</v>
      </c>
      <c r="AO325" t="s">
        <v>4051</v>
      </c>
      <c r="AQ325">
        <v>6</v>
      </c>
      <c r="AR325" t="s">
        <v>4149</v>
      </c>
      <c r="AS325" t="s">
        <v>4318</v>
      </c>
      <c r="AW325" t="s">
        <v>4566</v>
      </c>
      <c r="AX325">
        <v>5</v>
      </c>
      <c r="AZ325" t="s">
        <v>4635</v>
      </c>
      <c r="BA325" t="s">
        <v>4814</v>
      </c>
      <c r="BB325">
        <v>5</v>
      </c>
      <c r="BD325" t="s">
        <v>4893</v>
      </c>
      <c r="BE325" t="s">
        <v>4949</v>
      </c>
      <c r="BG325" t="s">
        <v>5062</v>
      </c>
      <c r="BH325" t="s">
        <v>5326</v>
      </c>
      <c r="BI325" t="s">
        <v>5556</v>
      </c>
      <c r="BJ325" t="s">
        <v>5858</v>
      </c>
      <c r="BK325" t="s">
        <v>6116</v>
      </c>
      <c r="BL325" t="s">
        <v>6294</v>
      </c>
      <c r="BM325" t="s">
        <v>6442</v>
      </c>
      <c r="BN325" t="s">
        <v>6615</v>
      </c>
      <c r="BO325" t="s">
        <v>6764</v>
      </c>
      <c r="BP325" t="s">
        <v>6826</v>
      </c>
      <c r="BT325" t="s">
        <v>7111</v>
      </c>
      <c r="BU325" t="s">
        <v>7201</v>
      </c>
      <c r="BV325" t="s">
        <v>7342</v>
      </c>
      <c r="BW325" t="s">
        <v>7512</v>
      </c>
      <c r="BX325" t="s">
        <v>7614</v>
      </c>
      <c r="BZ325">
        <v>1</v>
      </c>
      <c r="CA325">
        <v>1</v>
      </c>
      <c r="CB325" t="s">
        <v>7696</v>
      </c>
      <c r="CC325" t="s">
        <v>7771</v>
      </c>
      <c r="CD325" t="s">
        <v>7849</v>
      </c>
      <c r="CE325" t="s">
        <v>8098</v>
      </c>
      <c r="CF325" s="144">
        <v>44113.325937499998</v>
      </c>
      <c r="CG325" s="144">
        <v>44113.336365740739</v>
      </c>
      <c r="CH325" t="s">
        <v>8440</v>
      </c>
    </row>
    <row r="326" spans="1:86" x14ac:dyDescent="0.35">
      <c r="A326" t="s">
        <v>857</v>
      </c>
      <c r="B326">
        <v>1</v>
      </c>
      <c r="C326">
        <v>1</v>
      </c>
      <c r="D326" t="s">
        <v>1106</v>
      </c>
      <c r="E326" t="s">
        <v>1308</v>
      </c>
      <c r="F326">
        <v>8</v>
      </c>
      <c r="H326" t="s">
        <v>1452</v>
      </c>
      <c r="I326" t="s">
        <v>1660</v>
      </c>
      <c r="K326">
        <v>7</v>
      </c>
      <c r="L326" t="s">
        <v>1794</v>
      </c>
      <c r="M326" t="s">
        <v>1974</v>
      </c>
      <c r="O326">
        <v>4</v>
      </c>
      <c r="Q326" t="s">
        <v>2329</v>
      </c>
      <c r="S326">
        <v>8</v>
      </c>
      <c r="T326" t="s">
        <v>2460</v>
      </c>
      <c r="U326" t="s">
        <v>2673</v>
      </c>
      <c r="V326">
        <v>6</v>
      </c>
      <c r="X326" t="s">
        <v>2777</v>
      </c>
      <c r="Y326" t="s">
        <v>2982</v>
      </c>
      <c r="Z326">
        <v>8</v>
      </c>
      <c r="AC326" t="s">
        <v>3268</v>
      </c>
      <c r="AE326">
        <v>7</v>
      </c>
      <c r="AF326" t="s">
        <v>3373</v>
      </c>
      <c r="AG326" t="s">
        <v>3530</v>
      </c>
      <c r="AI326">
        <v>7</v>
      </c>
      <c r="AK326" t="s">
        <v>3769</v>
      </c>
      <c r="AO326" t="s">
        <v>4052</v>
      </c>
      <c r="AP326">
        <v>6</v>
      </c>
      <c r="AR326" t="s">
        <v>4150</v>
      </c>
      <c r="AS326" t="s">
        <v>4319</v>
      </c>
      <c r="AT326">
        <v>7</v>
      </c>
      <c r="AV326" t="s">
        <v>4400</v>
      </c>
      <c r="AW326" t="s">
        <v>4566</v>
      </c>
      <c r="AX326">
        <v>6</v>
      </c>
      <c r="BA326" t="s">
        <v>4815</v>
      </c>
      <c r="BC326">
        <v>7</v>
      </c>
      <c r="BE326" t="s">
        <v>4949</v>
      </c>
      <c r="BG326" t="s">
        <v>5062</v>
      </c>
      <c r="BH326" t="s">
        <v>5326</v>
      </c>
      <c r="BI326" t="s">
        <v>5556</v>
      </c>
      <c r="BJ326" t="s">
        <v>5858</v>
      </c>
      <c r="BK326" t="s">
        <v>6116</v>
      </c>
      <c r="BL326" t="s">
        <v>6295</v>
      </c>
      <c r="BM326" t="s">
        <v>6442</v>
      </c>
      <c r="BN326" t="s">
        <v>6616</v>
      </c>
      <c r="BO326" t="s">
        <v>6764</v>
      </c>
      <c r="BP326" t="s">
        <v>6826</v>
      </c>
      <c r="BT326" t="s">
        <v>7112</v>
      </c>
      <c r="BU326" t="s">
        <v>7201</v>
      </c>
      <c r="BV326" t="s">
        <v>7343</v>
      </c>
      <c r="BW326" t="s">
        <v>7512</v>
      </c>
      <c r="BX326" t="s">
        <v>7614</v>
      </c>
      <c r="BZ326">
        <v>0</v>
      </c>
      <c r="CA326">
        <v>0</v>
      </c>
      <c r="CE326" t="s">
        <v>8099</v>
      </c>
      <c r="CF326" s="144">
        <v>44112.509039351855</v>
      </c>
      <c r="CG326" s="144">
        <v>44112.515902777777</v>
      </c>
      <c r="CH326" t="s">
        <v>8441</v>
      </c>
    </row>
    <row r="327" spans="1:86" x14ac:dyDescent="0.35">
      <c r="A327" t="s">
        <v>858</v>
      </c>
      <c r="B327">
        <v>1</v>
      </c>
      <c r="C327">
        <v>1</v>
      </c>
      <c r="D327" t="s">
        <v>1107</v>
      </c>
      <c r="E327" t="s">
        <v>1308</v>
      </c>
      <c r="F327">
        <v>7</v>
      </c>
      <c r="I327" t="s">
        <v>1661</v>
      </c>
      <c r="M327" t="s">
        <v>1975</v>
      </c>
      <c r="N327">
        <v>8</v>
      </c>
      <c r="Q327" t="s">
        <v>2329</v>
      </c>
      <c r="S327">
        <v>6</v>
      </c>
      <c r="U327" t="s">
        <v>2673</v>
      </c>
      <c r="V327">
        <v>7</v>
      </c>
      <c r="Y327" t="s">
        <v>2982</v>
      </c>
      <c r="Z327">
        <v>8</v>
      </c>
      <c r="AC327" t="s">
        <v>3269</v>
      </c>
      <c r="AD327">
        <v>5</v>
      </c>
      <c r="AG327" t="s">
        <v>3531</v>
      </c>
      <c r="AK327" t="s">
        <v>3770</v>
      </c>
      <c r="AO327" t="s">
        <v>4053</v>
      </c>
      <c r="AS327" t="s">
        <v>4319</v>
      </c>
      <c r="AT327">
        <v>6</v>
      </c>
      <c r="AW327" t="s">
        <v>4566</v>
      </c>
      <c r="AX327">
        <v>6</v>
      </c>
      <c r="BA327" t="s">
        <v>4816</v>
      </c>
      <c r="BE327" t="s">
        <v>4949</v>
      </c>
      <c r="BG327" t="s">
        <v>5062</v>
      </c>
      <c r="BH327" t="s">
        <v>5327</v>
      </c>
      <c r="BI327" t="s">
        <v>5557</v>
      </c>
      <c r="BJ327" t="s">
        <v>5859</v>
      </c>
      <c r="BK327" t="s">
        <v>6116</v>
      </c>
      <c r="BL327" t="s">
        <v>6295</v>
      </c>
      <c r="BM327" t="s">
        <v>6442</v>
      </c>
      <c r="BN327" t="s">
        <v>6617</v>
      </c>
      <c r="BO327" t="s">
        <v>6764</v>
      </c>
      <c r="BP327" t="s">
        <v>6826</v>
      </c>
      <c r="BT327" t="s">
        <v>7113</v>
      </c>
      <c r="BU327" t="s">
        <v>7201</v>
      </c>
      <c r="BV327" t="s">
        <v>7344</v>
      </c>
      <c r="BW327" t="s">
        <v>7512</v>
      </c>
      <c r="BX327" t="s">
        <v>7614</v>
      </c>
      <c r="BZ327">
        <v>0</v>
      </c>
      <c r="CA327">
        <v>0</v>
      </c>
      <c r="CE327" t="s">
        <v>8099</v>
      </c>
      <c r="CF327" s="144">
        <v>43969.261435185188</v>
      </c>
      <c r="CG327" s="144">
        <v>43969.271087962959</v>
      </c>
      <c r="CH327" t="s">
        <v>8442</v>
      </c>
    </row>
    <row r="328" spans="1:86" hidden="1" x14ac:dyDescent="0.35">
      <c r="A328" t="s">
        <v>859</v>
      </c>
      <c r="B328">
        <v>1</v>
      </c>
      <c r="C328">
        <v>1</v>
      </c>
      <c r="D328" t="s">
        <v>1108</v>
      </c>
      <c r="E328" t="s">
        <v>1309</v>
      </c>
      <c r="I328" t="s">
        <v>1662</v>
      </c>
      <c r="J328">
        <v>8</v>
      </c>
      <c r="L328" t="s">
        <v>1795</v>
      </c>
      <c r="M328" t="s">
        <v>1976</v>
      </c>
      <c r="Q328" t="s">
        <v>2330</v>
      </c>
      <c r="U328" t="s">
        <v>2674</v>
      </c>
      <c r="Y328" t="s">
        <v>2983</v>
      </c>
      <c r="AC328" t="s">
        <v>3270</v>
      </c>
      <c r="AG328" t="s">
        <v>3531</v>
      </c>
      <c r="AK328" t="s">
        <v>3770</v>
      </c>
      <c r="AO328" t="s">
        <v>4053</v>
      </c>
      <c r="AS328" t="s">
        <v>4320</v>
      </c>
      <c r="AW328" t="s">
        <v>4567</v>
      </c>
      <c r="BA328" t="s">
        <v>4816</v>
      </c>
      <c r="BE328" t="s">
        <v>4949</v>
      </c>
      <c r="BG328" t="s">
        <v>5062</v>
      </c>
      <c r="BH328" t="s">
        <v>5328</v>
      </c>
      <c r="BI328" t="s">
        <v>5557</v>
      </c>
      <c r="BJ328" t="s">
        <v>5860</v>
      </c>
      <c r="BK328" t="s">
        <v>6117</v>
      </c>
      <c r="BL328" t="s">
        <v>6295</v>
      </c>
      <c r="BM328" t="s">
        <v>6442</v>
      </c>
      <c r="BN328" t="s">
        <v>6617</v>
      </c>
      <c r="BO328" t="s">
        <v>6764</v>
      </c>
      <c r="BP328" t="s">
        <v>6826</v>
      </c>
      <c r="BT328" t="s">
        <v>7114</v>
      </c>
      <c r="BU328" t="s">
        <v>7201</v>
      </c>
      <c r="BV328" t="s">
        <v>7344</v>
      </c>
      <c r="BW328" t="s">
        <v>7513</v>
      </c>
      <c r="BX328" t="s">
        <v>7615</v>
      </c>
      <c r="BZ328">
        <v>0</v>
      </c>
      <c r="CA328">
        <v>0</v>
      </c>
      <c r="CE328" t="s">
        <v>8099</v>
      </c>
      <c r="CF328" s="144">
        <v>43967.818483796298</v>
      </c>
      <c r="CG328" s="144">
        <v>43967.823761574073</v>
      </c>
      <c r="CH328" t="s">
        <v>8443</v>
      </c>
    </row>
    <row r="329" spans="1:86" hidden="1" x14ac:dyDescent="0.35">
      <c r="A329" t="s">
        <v>860</v>
      </c>
      <c r="B329">
        <v>1</v>
      </c>
      <c r="C329">
        <v>1</v>
      </c>
      <c r="D329" t="s">
        <v>1109</v>
      </c>
      <c r="E329" t="s">
        <v>1310</v>
      </c>
      <c r="F329">
        <v>6</v>
      </c>
      <c r="I329" t="s">
        <v>1662</v>
      </c>
      <c r="J329">
        <v>6</v>
      </c>
      <c r="M329" t="s">
        <v>1977</v>
      </c>
      <c r="N329">
        <v>6</v>
      </c>
      <c r="Q329" t="s">
        <v>2331</v>
      </c>
      <c r="R329">
        <v>6</v>
      </c>
      <c r="U329" t="s">
        <v>2675</v>
      </c>
      <c r="V329">
        <v>6</v>
      </c>
      <c r="Y329" t="s">
        <v>2984</v>
      </c>
      <c r="AA329">
        <v>6</v>
      </c>
      <c r="AC329" t="s">
        <v>3271</v>
      </c>
      <c r="AD329">
        <v>7</v>
      </c>
      <c r="AG329" t="s">
        <v>3532</v>
      </c>
      <c r="AH329">
        <v>6</v>
      </c>
      <c r="AK329" t="s">
        <v>3771</v>
      </c>
      <c r="AL329">
        <v>6</v>
      </c>
      <c r="AO329" t="s">
        <v>4054</v>
      </c>
      <c r="AP329">
        <v>6</v>
      </c>
      <c r="AS329" t="s">
        <v>4321</v>
      </c>
      <c r="AT329">
        <v>6</v>
      </c>
      <c r="AW329" t="s">
        <v>4568</v>
      </c>
      <c r="AX329">
        <v>6</v>
      </c>
      <c r="BA329" t="s">
        <v>4817</v>
      </c>
      <c r="BB329">
        <v>6</v>
      </c>
      <c r="BE329" t="s">
        <v>4949</v>
      </c>
      <c r="BG329" t="s">
        <v>5062</v>
      </c>
      <c r="BH329" t="s">
        <v>5329</v>
      </c>
      <c r="BI329" t="s">
        <v>5557</v>
      </c>
      <c r="BJ329" t="s">
        <v>5861</v>
      </c>
      <c r="BK329" t="s">
        <v>6117</v>
      </c>
      <c r="BL329" t="s">
        <v>6295</v>
      </c>
      <c r="BM329" t="s">
        <v>6442</v>
      </c>
      <c r="BN329" t="s">
        <v>6617</v>
      </c>
      <c r="BO329" t="s">
        <v>6764</v>
      </c>
      <c r="BP329" t="s">
        <v>6826</v>
      </c>
      <c r="BT329" t="s">
        <v>7115</v>
      </c>
      <c r="BU329" t="s">
        <v>7201</v>
      </c>
      <c r="BV329" t="s">
        <v>7345</v>
      </c>
      <c r="BW329" t="s">
        <v>7514</v>
      </c>
      <c r="BX329" t="s">
        <v>7616</v>
      </c>
      <c r="BZ329">
        <v>0</v>
      </c>
      <c r="CA329">
        <v>0</v>
      </c>
      <c r="CE329" t="s">
        <v>8099</v>
      </c>
      <c r="CF329" s="144">
        <v>43966.262812499997</v>
      </c>
      <c r="CG329" s="144">
        <v>43966.266770833332</v>
      </c>
      <c r="CH329" t="s">
        <v>8444</v>
      </c>
    </row>
    <row r="330" spans="1:86" x14ac:dyDescent="0.35">
      <c r="A330" t="s">
        <v>861</v>
      </c>
      <c r="B330">
        <v>1</v>
      </c>
      <c r="C330">
        <v>1</v>
      </c>
      <c r="D330" t="s">
        <v>1110</v>
      </c>
      <c r="E330" t="s">
        <v>1311</v>
      </c>
      <c r="I330" t="s">
        <v>1662</v>
      </c>
      <c r="J330">
        <v>4</v>
      </c>
      <c r="M330" t="s">
        <v>1977</v>
      </c>
      <c r="Q330" t="s">
        <v>2332</v>
      </c>
      <c r="T330" s="21"/>
      <c r="U330" t="s">
        <v>2675</v>
      </c>
      <c r="V330">
        <v>6</v>
      </c>
      <c r="Y330" t="s">
        <v>2985</v>
      </c>
      <c r="Z330">
        <v>4</v>
      </c>
      <c r="AC330" t="s">
        <v>3271</v>
      </c>
      <c r="AD330">
        <v>7</v>
      </c>
      <c r="AG330" t="s">
        <v>3533</v>
      </c>
      <c r="AK330" t="s">
        <v>3772</v>
      </c>
      <c r="AM330">
        <v>6</v>
      </c>
      <c r="AO330" t="s">
        <v>4054</v>
      </c>
      <c r="AP330">
        <v>8</v>
      </c>
      <c r="AS330" t="s">
        <v>4321</v>
      </c>
      <c r="AT330">
        <v>6</v>
      </c>
      <c r="AW330" t="s">
        <v>4569</v>
      </c>
      <c r="BA330" t="s">
        <v>4818</v>
      </c>
      <c r="BC330">
        <v>5</v>
      </c>
      <c r="BE330" t="s">
        <v>4949</v>
      </c>
      <c r="BG330" t="s">
        <v>5062</v>
      </c>
      <c r="BH330" t="s">
        <v>5329</v>
      </c>
      <c r="BI330" t="s">
        <v>5558</v>
      </c>
      <c r="BJ330" t="s">
        <v>5862</v>
      </c>
      <c r="BK330" t="s">
        <v>6117</v>
      </c>
      <c r="BL330" t="s">
        <v>6296</v>
      </c>
      <c r="BM330" t="s">
        <v>6443</v>
      </c>
      <c r="BN330" t="s">
        <v>6618</v>
      </c>
      <c r="BO330" t="s">
        <v>6764</v>
      </c>
      <c r="BP330" t="s">
        <v>6826</v>
      </c>
      <c r="BT330" t="s">
        <v>7116</v>
      </c>
      <c r="BU330" t="s">
        <v>7201</v>
      </c>
      <c r="BV330" t="s">
        <v>7346</v>
      </c>
      <c r="BW330" t="s">
        <v>7515</v>
      </c>
      <c r="BX330" t="s">
        <v>7616</v>
      </c>
      <c r="BZ330">
        <v>0</v>
      </c>
      <c r="CA330">
        <v>0</v>
      </c>
      <c r="CE330" t="s">
        <v>8100</v>
      </c>
      <c r="CF330" s="144">
        <v>43955.908009259256</v>
      </c>
      <c r="CG330" s="144">
        <v>43955.914085648146</v>
      </c>
      <c r="CH330" t="s">
        <v>8445</v>
      </c>
    </row>
    <row r="331" spans="1:86" hidden="1" x14ac:dyDescent="0.35">
      <c r="A331" t="s">
        <v>862</v>
      </c>
      <c r="B331">
        <v>1</v>
      </c>
      <c r="C331">
        <v>1</v>
      </c>
      <c r="D331" t="s">
        <v>1111</v>
      </c>
      <c r="E331" t="s">
        <v>1311</v>
      </c>
      <c r="I331" t="s">
        <v>1662</v>
      </c>
      <c r="J331">
        <v>4</v>
      </c>
      <c r="L331" t="s">
        <v>1796</v>
      </c>
      <c r="M331" t="s">
        <v>1977</v>
      </c>
      <c r="N331">
        <v>2</v>
      </c>
      <c r="P331" t="s">
        <v>2098</v>
      </c>
      <c r="Q331" t="s">
        <v>2333</v>
      </c>
      <c r="S331">
        <v>4</v>
      </c>
      <c r="T331" t="s">
        <v>2461</v>
      </c>
      <c r="U331" t="s">
        <v>2675</v>
      </c>
      <c r="V331">
        <v>4</v>
      </c>
      <c r="X331" t="s">
        <v>2778</v>
      </c>
      <c r="Y331" t="s">
        <v>2986</v>
      </c>
      <c r="AA331">
        <v>4</v>
      </c>
      <c r="AB331" t="s">
        <v>3084</v>
      </c>
      <c r="AC331" t="s">
        <v>3272</v>
      </c>
      <c r="AG331" t="s">
        <v>3533</v>
      </c>
      <c r="AK331" t="s">
        <v>3773</v>
      </c>
      <c r="AO331" t="s">
        <v>4055</v>
      </c>
      <c r="AS331" t="s">
        <v>4322</v>
      </c>
      <c r="AW331" t="s">
        <v>4569</v>
      </c>
      <c r="BA331" t="s">
        <v>4819</v>
      </c>
      <c r="BE331" t="s">
        <v>4949</v>
      </c>
      <c r="BG331" t="s">
        <v>5063</v>
      </c>
      <c r="BH331" t="s">
        <v>5329</v>
      </c>
      <c r="BI331" t="s">
        <v>5559</v>
      </c>
      <c r="BJ331" t="s">
        <v>5863</v>
      </c>
      <c r="BK331" t="s">
        <v>6117</v>
      </c>
      <c r="BL331" t="s">
        <v>6297</v>
      </c>
      <c r="BM331" t="s">
        <v>6444</v>
      </c>
      <c r="BN331" t="s">
        <v>6619</v>
      </c>
      <c r="BO331" t="s">
        <v>6764</v>
      </c>
      <c r="BP331" t="s">
        <v>6826</v>
      </c>
      <c r="BT331" t="s">
        <v>7117</v>
      </c>
      <c r="BU331" t="s">
        <v>7201</v>
      </c>
      <c r="BV331" t="s">
        <v>7347</v>
      </c>
      <c r="BW331" t="s">
        <v>7516</v>
      </c>
      <c r="BX331" t="s">
        <v>7617</v>
      </c>
      <c r="BZ331">
        <v>0</v>
      </c>
      <c r="CA331">
        <v>0</v>
      </c>
      <c r="CE331" t="s">
        <v>8101</v>
      </c>
      <c r="CF331" s="144">
        <v>43949.598368055558</v>
      </c>
      <c r="CG331" s="144">
        <v>43949.624085648145</v>
      </c>
      <c r="CH331" t="s">
        <v>8446</v>
      </c>
    </row>
    <row r="332" spans="1:86" x14ac:dyDescent="0.35">
      <c r="A332" t="s">
        <v>863</v>
      </c>
      <c r="B332">
        <v>1</v>
      </c>
      <c r="C332">
        <v>1</v>
      </c>
      <c r="D332" t="s">
        <v>1112</v>
      </c>
      <c r="E332" t="s">
        <v>1312</v>
      </c>
      <c r="F332">
        <v>7</v>
      </c>
      <c r="H332" t="s">
        <v>1453</v>
      </c>
      <c r="I332" t="s">
        <v>1662</v>
      </c>
      <c r="J332">
        <v>4</v>
      </c>
      <c r="L332" t="s">
        <v>1797</v>
      </c>
      <c r="M332" t="s">
        <v>1978</v>
      </c>
      <c r="O332">
        <v>4</v>
      </c>
      <c r="P332" t="s">
        <v>2099</v>
      </c>
      <c r="Q332" t="s">
        <v>2334</v>
      </c>
      <c r="U332" t="s">
        <v>2676</v>
      </c>
      <c r="W332">
        <v>5</v>
      </c>
      <c r="X332" t="s">
        <v>2779</v>
      </c>
      <c r="Y332" t="s">
        <v>2987</v>
      </c>
      <c r="AC332" t="s">
        <v>3272</v>
      </c>
      <c r="AG332" t="s">
        <v>3533</v>
      </c>
      <c r="AK332" t="s">
        <v>3773</v>
      </c>
      <c r="AO332" t="s">
        <v>4056</v>
      </c>
      <c r="AP332">
        <v>7</v>
      </c>
      <c r="AR332" t="s">
        <v>4151</v>
      </c>
      <c r="AS332" t="s">
        <v>4323</v>
      </c>
      <c r="AT332">
        <v>6</v>
      </c>
      <c r="AV332" t="s">
        <v>4401</v>
      </c>
      <c r="AW332" t="s">
        <v>4569</v>
      </c>
      <c r="BA332" t="s">
        <v>4819</v>
      </c>
      <c r="BE332" t="s">
        <v>4949</v>
      </c>
      <c r="BG332" t="s">
        <v>5064</v>
      </c>
      <c r="BH332" t="s">
        <v>5329</v>
      </c>
      <c r="BI332" t="s">
        <v>5560</v>
      </c>
      <c r="BJ332" t="s">
        <v>5864</v>
      </c>
      <c r="BK332" t="s">
        <v>6117</v>
      </c>
      <c r="BL332" t="s">
        <v>6298</v>
      </c>
      <c r="BM332" t="s">
        <v>6444</v>
      </c>
      <c r="BN332" t="s">
        <v>6619</v>
      </c>
      <c r="BO332" t="s">
        <v>6764</v>
      </c>
      <c r="BP332" t="s">
        <v>6826</v>
      </c>
      <c r="BT332" t="s">
        <v>7117</v>
      </c>
      <c r="BU332" t="s">
        <v>7201</v>
      </c>
      <c r="BV332" t="s">
        <v>7347</v>
      </c>
      <c r="BW332" t="s">
        <v>7517</v>
      </c>
      <c r="BX332" t="s">
        <v>7618</v>
      </c>
      <c r="BZ332">
        <v>0</v>
      </c>
      <c r="CA332">
        <v>0</v>
      </c>
      <c r="CE332" t="s">
        <v>8102</v>
      </c>
      <c r="CF332" s="144">
        <v>43918.758981481478</v>
      </c>
      <c r="CG332" s="144">
        <v>43918.764456018522</v>
      </c>
      <c r="CH332" t="s">
        <v>8447</v>
      </c>
    </row>
    <row r="333" spans="1:86" x14ac:dyDescent="0.35">
      <c r="A333" t="s">
        <v>864</v>
      </c>
      <c r="B333">
        <v>1</v>
      </c>
      <c r="C333">
        <v>1</v>
      </c>
      <c r="D333" t="s">
        <v>1113</v>
      </c>
      <c r="E333" t="s">
        <v>1312</v>
      </c>
      <c r="F333">
        <v>6</v>
      </c>
      <c r="H333" t="s">
        <v>1454</v>
      </c>
      <c r="I333" t="s">
        <v>1663</v>
      </c>
      <c r="M333" t="s">
        <v>1979</v>
      </c>
      <c r="N333">
        <v>7</v>
      </c>
      <c r="P333" t="s">
        <v>2100</v>
      </c>
      <c r="Q333" t="s">
        <v>2334</v>
      </c>
      <c r="U333" t="s">
        <v>2676</v>
      </c>
      <c r="W333">
        <v>6</v>
      </c>
      <c r="X333" t="s">
        <v>2780</v>
      </c>
      <c r="Y333" t="s">
        <v>2988</v>
      </c>
      <c r="AA333">
        <v>6</v>
      </c>
      <c r="AC333" t="s">
        <v>3273</v>
      </c>
      <c r="AD333">
        <v>8</v>
      </c>
      <c r="AF333" t="s">
        <v>3374</v>
      </c>
      <c r="AG333" t="s">
        <v>3534</v>
      </c>
      <c r="AH333">
        <v>7</v>
      </c>
      <c r="AJ333" t="s">
        <v>3593</v>
      </c>
      <c r="AK333" t="s">
        <v>3774</v>
      </c>
      <c r="AM333">
        <v>6</v>
      </c>
      <c r="AN333" t="s">
        <v>3840</v>
      </c>
      <c r="AO333" t="s">
        <v>4056</v>
      </c>
      <c r="AP333">
        <v>7</v>
      </c>
      <c r="AR333" t="s">
        <v>4152</v>
      </c>
      <c r="BE333" t="s">
        <v>4949</v>
      </c>
      <c r="BG333" t="s">
        <v>5064</v>
      </c>
      <c r="BH333" t="s">
        <v>5329</v>
      </c>
      <c r="BI333" t="s">
        <v>5561</v>
      </c>
      <c r="BJ333" t="s">
        <v>5865</v>
      </c>
      <c r="BK333" t="s">
        <v>6118</v>
      </c>
      <c r="BL333" t="s">
        <v>6299</v>
      </c>
      <c r="BM333" t="s">
        <v>6445</v>
      </c>
      <c r="BN333" t="s">
        <v>6619</v>
      </c>
      <c r="BO333" t="s">
        <v>6764</v>
      </c>
      <c r="BP333" t="s">
        <v>6827</v>
      </c>
      <c r="BQ333" t="s">
        <v>6846</v>
      </c>
      <c r="BR333" t="s">
        <v>6862</v>
      </c>
      <c r="BS333" t="s">
        <v>6878</v>
      </c>
      <c r="BT333" t="s">
        <v>7118</v>
      </c>
      <c r="BU333" t="s">
        <v>7201</v>
      </c>
      <c r="BV333" t="s">
        <v>7347</v>
      </c>
      <c r="BW333" t="s">
        <v>7517</v>
      </c>
      <c r="BX333" t="s">
        <v>7618</v>
      </c>
      <c r="BZ333">
        <v>1</v>
      </c>
      <c r="CA333">
        <v>0</v>
      </c>
      <c r="CE333" t="s">
        <v>8102</v>
      </c>
      <c r="CF333" s="144">
        <v>43917.639456018522</v>
      </c>
      <c r="CG333" s="144">
        <v>43917.648726851854</v>
      </c>
      <c r="CH333" s="24" t="s">
        <v>8448</v>
      </c>
    </row>
    <row r="334" spans="1:86" x14ac:dyDescent="0.35">
      <c r="A334" t="s">
        <v>865</v>
      </c>
      <c r="B334">
        <v>1</v>
      </c>
      <c r="C334">
        <v>1</v>
      </c>
      <c r="D334" t="s">
        <v>1114</v>
      </c>
      <c r="E334" t="s">
        <v>1312</v>
      </c>
      <c r="F334">
        <v>7</v>
      </c>
      <c r="H334" t="s">
        <v>1455</v>
      </c>
      <c r="I334" t="s">
        <v>1664</v>
      </c>
      <c r="J334">
        <v>6</v>
      </c>
      <c r="L334" t="s">
        <v>1798</v>
      </c>
      <c r="M334" t="s">
        <v>1980</v>
      </c>
      <c r="Q334" t="s">
        <v>2335</v>
      </c>
      <c r="R334">
        <v>6</v>
      </c>
      <c r="T334" t="s">
        <v>2462</v>
      </c>
      <c r="U334" t="s">
        <v>2677</v>
      </c>
      <c r="Y334" t="s">
        <v>2989</v>
      </c>
      <c r="AC334" t="s">
        <v>3273</v>
      </c>
      <c r="AD334">
        <v>1</v>
      </c>
      <c r="AF334" t="s">
        <v>3375</v>
      </c>
      <c r="AG334" t="s">
        <v>3535</v>
      </c>
      <c r="AK334" t="s">
        <v>3775</v>
      </c>
      <c r="AO334" t="s">
        <v>4057</v>
      </c>
      <c r="BE334" t="s">
        <v>4949</v>
      </c>
      <c r="BG334" t="s">
        <v>5064</v>
      </c>
      <c r="BH334" t="s">
        <v>5330</v>
      </c>
      <c r="BI334" t="s">
        <v>5562</v>
      </c>
      <c r="BJ334" t="s">
        <v>5866</v>
      </c>
      <c r="BK334" t="s">
        <v>6119</v>
      </c>
      <c r="BL334" t="s">
        <v>6300</v>
      </c>
      <c r="BM334" t="s">
        <v>6446</v>
      </c>
      <c r="BN334" t="s">
        <v>6619</v>
      </c>
      <c r="BO334" t="s">
        <v>6764</v>
      </c>
      <c r="BP334" t="s">
        <v>6828</v>
      </c>
      <c r="BT334" t="s">
        <v>7119</v>
      </c>
      <c r="BU334" t="s">
        <v>7201</v>
      </c>
      <c r="BV334" t="s">
        <v>7347</v>
      </c>
      <c r="BW334" t="s">
        <v>7517</v>
      </c>
      <c r="BX334" t="s">
        <v>7618</v>
      </c>
      <c r="BZ334">
        <v>1</v>
      </c>
      <c r="CA334">
        <v>0</v>
      </c>
      <c r="CE334" t="s">
        <v>8103</v>
      </c>
      <c r="CF334" s="144">
        <v>43917.626655092594</v>
      </c>
      <c r="CG334" s="144">
        <v>43917.636111111111</v>
      </c>
      <c r="CH334" t="s">
        <v>8449</v>
      </c>
    </row>
    <row r="335" spans="1:86" x14ac:dyDescent="0.35">
      <c r="A335" t="s">
        <v>866</v>
      </c>
      <c r="B335">
        <v>1</v>
      </c>
      <c r="C335">
        <v>1</v>
      </c>
      <c r="D335" t="s">
        <v>1115</v>
      </c>
      <c r="E335" t="s">
        <v>1312</v>
      </c>
      <c r="F335">
        <v>6</v>
      </c>
      <c r="H335" t="s">
        <v>1456</v>
      </c>
      <c r="I335" t="s">
        <v>1665</v>
      </c>
      <c r="M335" t="s">
        <v>1981</v>
      </c>
      <c r="N335">
        <v>4</v>
      </c>
      <c r="P335" t="s">
        <v>2101</v>
      </c>
      <c r="Q335" t="s">
        <v>2336</v>
      </c>
      <c r="S335">
        <v>5</v>
      </c>
      <c r="T335" t="s">
        <v>2463</v>
      </c>
      <c r="U335" t="s">
        <v>2678</v>
      </c>
      <c r="W335">
        <v>6</v>
      </c>
      <c r="X335" t="s">
        <v>2781</v>
      </c>
      <c r="Y335" t="s">
        <v>2989</v>
      </c>
      <c r="AC335" t="s">
        <v>3273</v>
      </c>
      <c r="AD335">
        <v>7</v>
      </c>
      <c r="AF335" t="s">
        <v>3376</v>
      </c>
      <c r="AG335" t="s">
        <v>3535</v>
      </c>
      <c r="AK335" t="s">
        <v>3776</v>
      </c>
      <c r="AM335">
        <v>7</v>
      </c>
      <c r="AN335" t="s">
        <v>3841</v>
      </c>
      <c r="AO335" t="s">
        <v>4058</v>
      </c>
      <c r="AQ335">
        <v>7</v>
      </c>
      <c r="AR335" t="s">
        <v>4153</v>
      </c>
      <c r="BE335" t="s">
        <v>4949</v>
      </c>
      <c r="BG335" t="s">
        <v>5064</v>
      </c>
      <c r="BH335" t="s">
        <v>5330</v>
      </c>
      <c r="BI335" t="s">
        <v>5563</v>
      </c>
      <c r="BJ335" t="s">
        <v>5866</v>
      </c>
      <c r="BK335" t="s">
        <v>6119</v>
      </c>
      <c r="BL335" t="s">
        <v>6300</v>
      </c>
      <c r="BM335" t="s">
        <v>6446</v>
      </c>
      <c r="BN335" t="s">
        <v>6619</v>
      </c>
      <c r="BO335" t="s">
        <v>6764</v>
      </c>
      <c r="BP335" t="s">
        <v>6828</v>
      </c>
      <c r="BT335" t="s">
        <v>7120</v>
      </c>
      <c r="BU335" t="s">
        <v>7201</v>
      </c>
      <c r="BV335" t="s">
        <v>7348</v>
      </c>
      <c r="BW335" t="s">
        <v>7517</v>
      </c>
      <c r="BX335" t="s">
        <v>7618</v>
      </c>
      <c r="BZ335">
        <v>1</v>
      </c>
      <c r="CA335">
        <v>0</v>
      </c>
      <c r="CE335" t="s">
        <v>8104</v>
      </c>
      <c r="CF335" s="144">
        <v>43917.601817129631</v>
      </c>
      <c r="CG335" s="144">
        <v>43917.619814814818</v>
      </c>
      <c r="CH335" t="s">
        <v>8450</v>
      </c>
    </row>
    <row r="336" spans="1:86" x14ac:dyDescent="0.35">
      <c r="A336" t="s">
        <v>867</v>
      </c>
      <c r="B336">
        <v>1</v>
      </c>
      <c r="C336">
        <v>1</v>
      </c>
      <c r="D336" t="s">
        <v>1116</v>
      </c>
      <c r="E336" t="s">
        <v>1312</v>
      </c>
      <c r="F336">
        <v>6</v>
      </c>
      <c r="H336" t="s">
        <v>1457</v>
      </c>
      <c r="I336" t="s">
        <v>1666</v>
      </c>
      <c r="J336">
        <v>6</v>
      </c>
      <c r="M336" t="s">
        <v>1981</v>
      </c>
      <c r="N336">
        <v>6</v>
      </c>
      <c r="Q336" t="s">
        <v>2336</v>
      </c>
      <c r="S336">
        <v>6</v>
      </c>
      <c r="U336" t="s">
        <v>2679</v>
      </c>
      <c r="V336">
        <v>6</v>
      </c>
      <c r="Y336" t="s">
        <v>2990</v>
      </c>
      <c r="Z336">
        <v>6</v>
      </c>
      <c r="AC336" t="s">
        <v>3273</v>
      </c>
      <c r="AD336">
        <v>5</v>
      </c>
      <c r="AG336" t="s">
        <v>3535</v>
      </c>
      <c r="AK336" t="s">
        <v>3777</v>
      </c>
      <c r="AO336" t="s">
        <v>4058</v>
      </c>
      <c r="AQ336">
        <v>5</v>
      </c>
      <c r="AS336" t="s">
        <v>4324</v>
      </c>
      <c r="AW336" t="s">
        <v>4570</v>
      </c>
      <c r="AX336">
        <v>5</v>
      </c>
      <c r="BA336" t="s">
        <v>4820</v>
      </c>
      <c r="BB336">
        <v>5</v>
      </c>
      <c r="BE336" t="s">
        <v>4949</v>
      </c>
      <c r="BG336" t="s">
        <v>5064</v>
      </c>
      <c r="BH336" t="s">
        <v>5331</v>
      </c>
      <c r="BI336" t="s">
        <v>5563</v>
      </c>
      <c r="BJ336" t="s">
        <v>5867</v>
      </c>
      <c r="BK336" t="s">
        <v>6119</v>
      </c>
      <c r="BL336" t="s">
        <v>6300</v>
      </c>
      <c r="BM336" t="s">
        <v>6446</v>
      </c>
      <c r="BN336" t="s">
        <v>6619</v>
      </c>
      <c r="BO336" t="s">
        <v>6764</v>
      </c>
      <c r="BP336" t="s">
        <v>6828</v>
      </c>
      <c r="BT336" t="s">
        <v>7121</v>
      </c>
      <c r="BU336" t="s">
        <v>7201</v>
      </c>
      <c r="BV336" t="s">
        <v>7348</v>
      </c>
      <c r="BW336" t="s">
        <v>7517</v>
      </c>
      <c r="BX336" t="s">
        <v>7618</v>
      </c>
      <c r="BZ336">
        <v>0</v>
      </c>
      <c r="CA336">
        <v>0</v>
      </c>
      <c r="CE336" t="s">
        <v>8105</v>
      </c>
      <c r="CF336" s="144">
        <v>43906.673449074071</v>
      </c>
      <c r="CG336" s="144">
        <v>43906.677928240744</v>
      </c>
      <c r="CH336" t="s">
        <v>8451</v>
      </c>
    </row>
    <row r="337" spans="1:86" x14ac:dyDescent="0.35">
      <c r="A337" t="s">
        <v>868</v>
      </c>
      <c r="B337">
        <v>1</v>
      </c>
      <c r="C337">
        <v>1</v>
      </c>
      <c r="D337" t="s">
        <v>1116</v>
      </c>
      <c r="E337" t="s">
        <v>1312</v>
      </c>
      <c r="F337">
        <v>7</v>
      </c>
      <c r="I337" t="s">
        <v>1667</v>
      </c>
      <c r="M337" t="s">
        <v>1982</v>
      </c>
      <c r="Q337" t="s">
        <v>2337</v>
      </c>
      <c r="U337" t="s">
        <v>2679</v>
      </c>
      <c r="V337">
        <v>6</v>
      </c>
      <c r="Y337" t="s">
        <v>2991</v>
      </c>
      <c r="AC337" t="s">
        <v>3273</v>
      </c>
      <c r="AD337">
        <v>7</v>
      </c>
      <c r="AF337" t="s">
        <v>3377</v>
      </c>
      <c r="AG337" t="s">
        <v>3536</v>
      </c>
      <c r="AH337">
        <v>7</v>
      </c>
      <c r="AJ337" t="s">
        <v>3594</v>
      </c>
      <c r="AK337" t="s">
        <v>3778</v>
      </c>
      <c r="AL337">
        <v>7</v>
      </c>
      <c r="AN337" t="s">
        <v>3842</v>
      </c>
      <c r="AO337" t="s">
        <v>4059</v>
      </c>
      <c r="AP337">
        <v>7</v>
      </c>
      <c r="BE337" t="s">
        <v>4949</v>
      </c>
      <c r="BG337" t="s">
        <v>5064</v>
      </c>
      <c r="BH337" t="s">
        <v>5332</v>
      </c>
      <c r="BI337" t="s">
        <v>5563</v>
      </c>
      <c r="BJ337" t="s">
        <v>5868</v>
      </c>
      <c r="BK337" t="s">
        <v>6120</v>
      </c>
      <c r="BL337" t="s">
        <v>6300</v>
      </c>
      <c r="BM337" t="s">
        <v>6446</v>
      </c>
      <c r="BN337" t="s">
        <v>6619</v>
      </c>
      <c r="BO337" t="s">
        <v>6764</v>
      </c>
      <c r="BP337" t="s">
        <v>6828</v>
      </c>
      <c r="BT337" t="s">
        <v>7121</v>
      </c>
      <c r="BU337" t="s">
        <v>7201</v>
      </c>
      <c r="BV337" t="s">
        <v>7348</v>
      </c>
      <c r="BW337" t="s">
        <v>7517</v>
      </c>
      <c r="BX337" t="s">
        <v>7618</v>
      </c>
      <c r="BZ337">
        <v>1</v>
      </c>
      <c r="CA337">
        <v>0</v>
      </c>
      <c r="CE337" t="s">
        <v>8105</v>
      </c>
      <c r="CF337" s="144">
        <v>43906.332696759258</v>
      </c>
      <c r="CG337" s="144">
        <v>43906.338576388887</v>
      </c>
      <c r="CH337" t="s">
        <v>8452</v>
      </c>
    </row>
    <row r="338" spans="1:86" x14ac:dyDescent="0.35">
      <c r="A338" t="s">
        <v>869</v>
      </c>
      <c r="B338">
        <v>1</v>
      </c>
      <c r="C338">
        <v>1</v>
      </c>
      <c r="D338" t="s">
        <v>1117</v>
      </c>
      <c r="E338" t="s">
        <v>1312</v>
      </c>
      <c r="F338">
        <v>4</v>
      </c>
      <c r="I338" t="s">
        <v>1668</v>
      </c>
      <c r="J338">
        <v>6</v>
      </c>
      <c r="M338" t="s">
        <v>1983</v>
      </c>
      <c r="N338">
        <v>6</v>
      </c>
      <c r="Q338" t="s">
        <v>2337</v>
      </c>
      <c r="U338" t="s">
        <v>2679</v>
      </c>
      <c r="V338">
        <v>4</v>
      </c>
      <c r="Y338" t="s">
        <v>2992</v>
      </c>
      <c r="Z338">
        <v>2</v>
      </c>
      <c r="AC338" t="s">
        <v>3274</v>
      </c>
      <c r="AG338" t="s">
        <v>3536</v>
      </c>
      <c r="AH338">
        <v>3</v>
      </c>
      <c r="AK338" t="s">
        <v>3779</v>
      </c>
      <c r="AM338">
        <v>1</v>
      </c>
      <c r="AO338" t="s">
        <v>4060</v>
      </c>
      <c r="AS338" t="s">
        <v>4325</v>
      </c>
      <c r="AT338">
        <v>3</v>
      </c>
      <c r="AW338" t="s">
        <v>4570</v>
      </c>
      <c r="AX338">
        <v>3</v>
      </c>
      <c r="BA338" t="s">
        <v>4821</v>
      </c>
      <c r="BE338" t="s">
        <v>4949</v>
      </c>
      <c r="BG338" t="s">
        <v>5064</v>
      </c>
      <c r="BH338" t="s">
        <v>5333</v>
      </c>
      <c r="BI338" t="s">
        <v>5563</v>
      </c>
      <c r="BJ338" t="s">
        <v>5869</v>
      </c>
      <c r="BK338" t="s">
        <v>6121</v>
      </c>
      <c r="BL338" t="s">
        <v>6300</v>
      </c>
      <c r="BM338" t="s">
        <v>6446</v>
      </c>
      <c r="BN338" t="s">
        <v>6619</v>
      </c>
      <c r="BO338" t="s">
        <v>6764</v>
      </c>
      <c r="BP338" t="s">
        <v>6828</v>
      </c>
      <c r="BT338" t="s">
        <v>7122</v>
      </c>
      <c r="BU338" t="s">
        <v>7201</v>
      </c>
      <c r="BV338" t="s">
        <v>7348</v>
      </c>
      <c r="BW338" t="s">
        <v>7517</v>
      </c>
      <c r="BX338" t="s">
        <v>7618</v>
      </c>
      <c r="BZ338">
        <v>1</v>
      </c>
      <c r="CA338">
        <v>0</v>
      </c>
      <c r="CE338" t="s">
        <v>8105</v>
      </c>
      <c r="CF338" s="144">
        <v>43904.743368055555</v>
      </c>
      <c r="CG338" s="144">
        <v>43904.748981481483</v>
      </c>
      <c r="CH338" t="s">
        <v>8453</v>
      </c>
    </row>
    <row r="339" spans="1:86" hidden="1" x14ac:dyDescent="0.35">
      <c r="A339" t="s">
        <v>870</v>
      </c>
      <c r="B339">
        <v>1</v>
      </c>
      <c r="C339">
        <v>1</v>
      </c>
      <c r="D339" t="s">
        <v>1118</v>
      </c>
      <c r="E339" t="s">
        <v>1313</v>
      </c>
      <c r="I339" t="s">
        <v>1669</v>
      </c>
      <c r="M339" t="s">
        <v>1983</v>
      </c>
      <c r="N339">
        <v>8</v>
      </c>
      <c r="P339" t="s">
        <v>2102</v>
      </c>
      <c r="Q339" t="s">
        <v>2338</v>
      </c>
      <c r="R339">
        <v>7</v>
      </c>
      <c r="T339" t="s">
        <v>2464</v>
      </c>
      <c r="U339" t="s">
        <v>2679</v>
      </c>
      <c r="V339">
        <v>7</v>
      </c>
      <c r="X339" t="s">
        <v>2782</v>
      </c>
      <c r="Y339" t="s">
        <v>2992</v>
      </c>
      <c r="Z339">
        <v>7</v>
      </c>
      <c r="AB339" t="s">
        <v>3085</v>
      </c>
      <c r="AC339" t="s">
        <v>3275</v>
      </c>
      <c r="AD339">
        <v>8</v>
      </c>
      <c r="AF339" t="s">
        <v>3378</v>
      </c>
      <c r="AG339" t="s">
        <v>3536</v>
      </c>
      <c r="AH339">
        <v>8</v>
      </c>
      <c r="AJ339" t="s">
        <v>3595</v>
      </c>
      <c r="AK339" t="s">
        <v>3780</v>
      </c>
      <c r="AO339" t="s">
        <v>4060</v>
      </c>
      <c r="AS339" t="s">
        <v>4325</v>
      </c>
      <c r="AT339">
        <v>8</v>
      </c>
      <c r="AV339" t="s">
        <v>4402</v>
      </c>
      <c r="AW339" t="s">
        <v>4571</v>
      </c>
      <c r="BA339" t="s">
        <v>4821</v>
      </c>
      <c r="BE339" t="s">
        <v>4949</v>
      </c>
      <c r="BG339" t="s">
        <v>5064</v>
      </c>
      <c r="BH339" t="s">
        <v>5334</v>
      </c>
      <c r="BI339" t="s">
        <v>5564</v>
      </c>
      <c r="BJ339" t="s">
        <v>5870</v>
      </c>
      <c r="BK339" t="s">
        <v>6121</v>
      </c>
      <c r="BL339" t="s">
        <v>6301</v>
      </c>
      <c r="BM339" t="s">
        <v>6447</v>
      </c>
      <c r="BN339" t="s">
        <v>6620</v>
      </c>
      <c r="BO339" t="s">
        <v>6765</v>
      </c>
      <c r="BP339" t="s">
        <v>6829</v>
      </c>
      <c r="BQ339" t="s">
        <v>6846</v>
      </c>
      <c r="BR339" t="s">
        <v>6862</v>
      </c>
      <c r="BS339" t="s">
        <v>6879</v>
      </c>
      <c r="BT339" t="s">
        <v>7122</v>
      </c>
      <c r="BU339" t="s">
        <v>7201</v>
      </c>
      <c r="BV339" t="s">
        <v>7349</v>
      </c>
      <c r="BW339" t="s">
        <v>7518</v>
      </c>
      <c r="BX339" t="s">
        <v>7618</v>
      </c>
      <c r="BZ339">
        <v>0</v>
      </c>
      <c r="CA339">
        <v>0</v>
      </c>
      <c r="CE339" t="s">
        <v>8106</v>
      </c>
      <c r="CF339" s="144">
        <v>43903.70412037037</v>
      </c>
      <c r="CG339" s="144">
        <v>43903.71366898148</v>
      </c>
      <c r="CH339" t="s">
        <v>8454</v>
      </c>
    </row>
    <row r="340" spans="1:86" hidden="1" x14ac:dyDescent="0.35">
      <c r="A340" t="s">
        <v>871</v>
      </c>
      <c r="B340">
        <v>1</v>
      </c>
      <c r="C340">
        <v>1</v>
      </c>
      <c r="D340" t="s">
        <v>1119</v>
      </c>
      <c r="E340" t="s">
        <v>1314</v>
      </c>
      <c r="F340">
        <v>4</v>
      </c>
      <c r="I340" t="s">
        <v>1669</v>
      </c>
      <c r="M340" t="s">
        <v>1983</v>
      </c>
      <c r="N340">
        <v>7</v>
      </c>
      <c r="Q340" t="s">
        <v>2339</v>
      </c>
      <c r="S340">
        <v>5</v>
      </c>
      <c r="U340" t="s">
        <v>2679</v>
      </c>
      <c r="V340">
        <v>5</v>
      </c>
      <c r="Y340" t="s">
        <v>2992</v>
      </c>
      <c r="Z340">
        <v>7</v>
      </c>
      <c r="AC340" t="s">
        <v>3276</v>
      </c>
      <c r="AE340">
        <v>3</v>
      </c>
      <c r="AG340" t="s">
        <v>3537</v>
      </c>
      <c r="AI340">
        <v>3</v>
      </c>
      <c r="AK340" t="s">
        <v>3780</v>
      </c>
      <c r="AO340" t="s">
        <v>4060</v>
      </c>
      <c r="AS340" t="s">
        <v>4326</v>
      </c>
      <c r="AW340" t="s">
        <v>4571</v>
      </c>
      <c r="BA340" t="s">
        <v>4821</v>
      </c>
      <c r="BE340" t="s">
        <v>4949</v>
      </c>
      <c r="BG340" t="s">
        <v>5065</v>
      </c>
      <c r="BH340" t="s">
        <v>5335</v>
      </c>
      <c r="BI340" t="s">
        <v>5565</v>
      </c>
      <c r="BJ340" t="s">
        <v>5871</v>
      </c>
      <c r="BK340" t="s">
        <v>6121</v>
      </c>
      <c r="BL340" t="s">
        <v>6302</v>
      </c>
      <c r="BM340" t="s">
        <v>6447</v>
      </c>
      <c r="BN340" t="s">
        <v>6621</v>
      </c>
      <c r="BO340" t="s">
        <v>6766</v>
      </c>
      <c r="BP340" t="s">
        <v>6830</v>
      </c>
      <c r="BT340" t="s">
        <v>7123</v>
      </c>
      <c r="BU340" t="s">
        <v>7202</v>
      </c>
      <c r="BV340" t="s">
        <v>7349</v>
      </c>
      <c r="BW340" t="s">
        <v>7518</v>
      </c>
      <c r="BX340" t="s">
        <v>7618</v>
      </c>
      <c r="BZ340">
        <v>0</v>
      </c>
      <c r="CA340">
        <v>0</v>
      </c>
      <c r="CE340" t="s">
        <v>8107</v>
      </c>
      <c r="CF340" s="144">
        <v>43903.501423611109</v>
      </c>
      <c r="CG340" s="144">
        <v>43903.510428240741</v>
      </c>
      <c r="CH340" t="s">
        <v>8455</v>
      </c>
    </row>
    <row r="341" spans="1:86" x14ac:dyDescent="0.35">
      <c r="A341" t="s">
        <v>872</v>
      </c>
      <c r="B341">
        <v>1</v>
      </c>
      <c r="C341">
        <v>1</v>
      </c>
      <c r="D341" t="s">
        <v>1120</v>
      </c>
      <c r="E341" t="s">
        <v>1314</v>
      </c>
      <c r="F341">
        <v>3</v>
      </c>
      <c r="I341" t="s">
        <v>1670</v>
      </c>
      <c r="J341">
        <v>3</v>
      </c>
      <c r="M341" t="s">
        <v>1983</v>
      </c>
      <c r="N341">
        <v>2</v>
      </c>
      <c r="Q341" t="s">
        <v>2340</v>
      </c>
      <c r="R341">
        <v>5</v>
      </c>
      <c r="U341" t="s">
        <v>2679</v>
      </c>
      <c r="V341">
        <v>5</v>
      </c>
      <c r="Y341" t="s">
        <v>2993</v>
      </c>
      <c r="AA341">
        <v>3</v>
      </c>
      <c r="AC341" t="s">
        <v>3277</v>
      </c>
      <c r="AG341" t="s">
        <v>3538</v>
      </c>
      <c r="AK341" t="s">
        <v>3780</v>
      </c>
      <c r="AO341" t="s">
        <v>4061</v>
      </c>
      <c r="AQ341">
        <v>4</v>
      </c>
      <c r="AS341" t="s">
        <v>4326</v>
      </c>
      <c r="AW341" t="s">
        <v>4572</v>
      </c>
      <c r="AX341">
        <v>4</v>
      </c>
      <c r="BA341" t="s">
        <v>4822</v>
      </c>
      <c r="BB341">
        <v>5</v>
      </c>
      <c r="BE341" t="s">
        <v>4949</v>
      </c>
      <c r="BG341" t="s">
        <v>5066</v>
      </c>
      <c r="BH341" t="s">
        <v>5335</v>
      </c>
      <c r="BI341" t="s">
        <v>5566</v>
      </c>
      <c r="BJ341" t="s">
        <v>5872</v>
      </c>
      <c r="BK341" t="s">
        <v>6121</v>
      </c>
      <c r="BL341" t="s">
        <v>6303</v>
      </c>
      <c r="BM341" t="s">
        <v>6448</v>
      </c>
      <c r="BN341" t="s">
        <v>6621</v>
      </c>
      <c r="BO341" t="s">
        <v>6766</v>
      </c>
      <c r="BP341" t="s">
        <v>6830</v>
      </c>
      <c r="BT341" t="s">
        <v>7123</v>
      </c>
      <c r="BU341" t="s">
        <v>7203</v>
      </c>
      <c r="BV341" t="s">
        <v>7350</v>
      </c>
      <c r="BW341" t="s">
        <v>7519</v>
      </c>
      <c r="BX341" t="s">
        <v>7618</v>
      </c>
      <c r="BZ341">
        <v>0</v>
      </c>
      <c r="CA341">
        <v>0</v>
      </c>
      <c r="CE341" t="s">
        <v>8108</v>
      </c>
      <c r="CF341" s="144">
        <v>43903.449918981481</v>
      </c>
      <c r="CG341" s="144">
        <v>43903.49628472222</v>
      </c>
      <c r="CH341" t="s">
        <v>8456</v>
      </c>
    </row>
    <row r="342" spans="1:86" x14ac:dyDescent="0.35">
      <c r="A342" t="s">
        <v>873</v>
      </c>
      <c r="B342">
        <v>1</v>
      </c>
      <c r="C342">
        <v>1</v>
      </c>
      <c r="D342" t="s">
        <v>1120</v>
      </c>
      <c r="E342" t="s">
        <v>1315</v>
      </c>
      <c r="I342" t="s">
        <v>1670</v>
      </c>
      <c r="J342">
        <v>7</v>
      </c>
      <c r="M342" t="s">
        <v>1984</v>
      </c>
      <c r="Q342" t="s">
        <v>2341</v>
      </c>
      <c r="U342" t="s">
        <v>2680</v>
      </c>
      <c r="Y342" t="s">
        <v>2994</v>
      </c>
      <c r="AC342" t="s">
        <v>3277</v>
      </c>
      <c r="AG342" t="s">
        <v>3538</v>
      </c>
      <c r="AK342" t="s">
        <v>3780</v>
      </c>
      <c r="AO342" t="s">
        <v>4062</v>
      </c>
      <c r="AS342" t="s">
        <v>4326</v>
      </c>
      <c r="AW342" t="s">
        <v>4573</v>
      </c>
      <c r="BA342" t="s">
        <v>4823</v>
      </c>
      <c r="BE342" t="s">
        <v>4949</v>
      </c>
      <c r="BG342" t="s">
        <v>5066</v>
      </c>
      <c r="BH342" t="s">
        <v>5336</v>
      </c>
      <c r="BI342" t="s">
        <v>5566</v>
      </c>
      <c r="BJ342" t="s">
        <v>5873</v>
      </c>
      <c r="BK342" t="s">
        <v>6121</v>
      </c>
      <c r="BL342" t="s">
        <v>6304</v>
      </c>
      <c r="BM342" t="s">
        <v>6449</v>
      </c>
      <c r="BN342" t="s">
        <v>6621</v>
      </c>
      <c r="BO342" t="s">
        <v>6766</v>
      </c>
      <c r="BP342" t="s">
        <v>6830</v>
      </c>
      <c r="BT342" t="s">
        <v>7123</v>
      </c>
      <c r="BU342" t="s">
        <v>7203</v>
      </c>
      <c r="BV342" t="s">
        <v>7350</v>
      </c>
      <c r="BW342" t="s">
        <v>7519</v>
      </c>
      <c r="BX342" t="s">
        <v>7618</v>
      </c>
      <c r="BZ342">
        <v>0</v>
      </c>
      <c r="CA342">
        <v>0</v>
      </c>
      <c r="CE342" t="s">
        <v>8109</v>
      </c>
      <c r="CF342" s="144">
        <v>43903.455891203703</v>
      </c>
      <c r="CG342" s="144">
        <v>43903.463368055556</v>
      </c>
      <c r="CH342" t="s">
        <v>8457</v>
      </c>
    </row>
    <row r="343" spans="1:86" hidden="1" x14ac:dyDescent="0.35">
      <c r="A343" t="s">
        <v>874</v>
      </c>
      <c r="B343">
        <v>1</v>
      </c>
      <c r="C343">
        <v>1</v>
      </c>
      <c r="D343" t="s">
        <v>1120</v>
      </c>
      <c r="E343" t="s">
        <v>1316</v>
      </c>
      <c r="F343">
        <v>6</v>
      </c>
      <c r="I343" t="s">
        <v>1671</v>
      </c>
      <c r="M343" t="s">
        <v>1985</v>
      </c>
      <c r="N343">
        <v>6</v>
      </c>
      <c r="Q343" t="s">
        <v>2342</v>
      </c>
      <c r="S343">
        <v>6</v>
      </c>
      <c r="U343" t="s">
        <v>2681</v>
      </c>
      <c r="V343">
        <v>7</v>
      </c>
      <c r="Y343" t="s">
        <v>2995</v>
      </c>
      <c r="Z343">
        <v>6</v>
      </c>
      <c r="AC343" t="s">
        <v>3277</v>
      </c>
      <c r="AG343" t="s">
        <v>3538</v>
      </c>
      <c r="AK343" t="s">
        <v>3780</v>
      </c>
      <c r="AO343" t="s">
        <v>4063</v>
      </c>
      <c r="AP343">
        <v>7</v>
      </c>
      <c r="BE343" t="s">
        <v>4949</v>
      </c>
      <c r="BG343" t="s">
        <v>5066</v>
      </c>
      <c r="BH343" t="s">
        <v>5337</v>
      </c>
      <c r="BI343" t="s">
        <v>5566</v>
      </c>
      <c r="BJ343" t="s">
        <v>5874</v>
      </c>
      <c r="BK343" t="s">
        <v>6121</v>
      </c>
      <c r="BL343" t="s">
        <v>6304</v>
      </c>
      <c r="BM343" t="s">
        <v>6450</v>
      </c>
      <c r="BN343" t="s">
        <v>6621</v>
      </c>
      <c r="BO343" t="s">
        <v>6766</v>
      </c>
      <c r="BP343" t="s">
        <v>6830</v>
      </c>
      <c r="BT343" t="s">
        <v>7124</v>
      </c>
      <c r="BU343" t="s">
        <v>7203</v>
      </c>
      <c r="BV343" t="s">
        <v>7351</v>
      </c>
      <c r="BW343" t="s">
        <v>7520</v>
      </c>
      <c r="BX343" t="s">
        <v>7618</v>
      </c>
      <c r="BZ343">
        <v>0</v>
      </c>
      <c r="CA343">
        <v>0</v>
      </c>
      <c r="CE343" t="s">
        <v>8110</v>
      </c>
      <c r="CF343" s="144">
        <v>43903.453344907408</v>
      </c>
      <c r="CG343" s="144">
        <v>43903.456932870373</v>
      </c>
      <c r="CH343" t="s">
        <v>8458</v>
      </c>
    </row>
    <row r="344" spans="1:86" x14ac:dyDescent="0.35">
      <c r="A344" t="s">
        <v>875</v>
      </c>
      <c r="B344">
        <v>1</v>
      </c>
      <c r="C344">
        <v>1</v>
      </c>
      <c r="D344" t="s">
        <v>1120</v>
      </c>
      <c r="E344" t="s">
        <v>1317</v>
      </c>
      <c r="I344" t="s">
        <v>1672</v>
      </c>
      <c r="J344">
        <v>7</v>
      </c>
      <c r="L344" t="s">
        <v>1799</v>
      </c>
      <c r="M344" t="s">
        <v>1986</v>
      </c>
      <c r="Q344" t="s">
        <v>2342</v>
      </c>
      <c r="S344">
        <v>7</v>
      </c>
      <c r="T344" t="s">
        <v>2465</v>
      </c>
      <c r="U344" t="s">
        <v>2682</v>
      </c>
      <c r="W344">
        <v>7</v>
      </c>
      <c r="X344" t="s">
        <v>2783</v>
      </c>
      <c r="Y344" t="s">
        <v>2995</v>
      </c>
      <c r="Z344">
        <v>7</v>
      </c>
      <c r="AB344" t="s">
        <v>3086</v>
      </c>
      <c r="AC344" t="s">
        <v>3277</v>
      </c>
      <c r="AG344" t="s">
        <v>3538</v>
      </c>
      <c r="AK344" t="s">
        <v>3780</v>
      </c>
      <c r="AO344" t="s">
        <v>4064</v>
      </c>
      <c r="AS344" t="s">
        <v>4326</v>
      </c>
      <c r="AW344" t="s">
        <v>4573</v>
      </c>
      <c r="BA344" t="s">
        <v>4823</v>
      </c>
      <c r="BE344" t="s">
        <v>4949</v>
      </c>
      <c r="BG344" t="s">
        <v>5066</v>
      </c>
      <c r="BH344" t="s">
        <v>5337</v>
      </c>
      <c r="BI344" t="s">
        <v>5566</v>
      </c>
      <c r="BJ344" t="s">
        <v>5875</v>
      </c>
      <c r="BK344" t="s">
        <v>6121</v>
      </c>
      <c r="BL344" t="s">
        <v>6304</v>
      </c>
      <c r="BM344" t="s">
        <v>6451</v>
      </c>
      <c r="BN344" t="s">
        <v>6621</v>
      </c>
      <c r="BO344" t="s">
        <v>6766</v>
      </c>
      <c r="BP344" t="s">
        <v>6830</v>
      </c>
      <c r="BT344" t="s">
        <v>7125</v>
      </c>
      <c r="BU344" t="s">
        <v>7203</v>
      </c>
      <c r="BV344" t="s">
        <v>7351</v>
      </c>
      <c r="BW344" t="s">
        <v>7521</v>
      </c>
      <c r="BX344" t="s">
        <v>7618</v>
      </c>
      <c r="BZ344">
        <v>0</v>
      </c>
      <c r="CA344">
        <v>0</v>
      </c>
      <c r="CE344" t="s">
        <v>8111</v>
      </c>
      <c r="CF344" s="144">
        <v>43903.38653935185</v>
      </c>
      <c r="CG344" s="144">
        <v>43903.404444444444</v>
      </c>
      <c r="CH344" t="s">
        <v>8459</v>
      </c>
    </row>
    <row r="345" spans="1:86" ht="15" customHeight="1" x14ac:dyDescent="0.35">
      <c r="A345" t="s">
        <v>876</v>
      </c>
      <c r="B345">
        <v>1</v>
      </c>
      <c r="C345">
        <v>1</v>
      </c>
      <c r="D345" t="s">
        <v>1120</v>
      </c>
      <c r="E345" t="s">
        <v>1317</v>
      </c>
      <c r="I345" t="s">
        <v>1673</v>
      </c>
      <c r="M345" t="s">
        <v>1987</v>
      </c>
      <c r="N345">
        <v>7</v>
      </c>
      <c r="Q345" t="s">
        <v>2343</v>
      </c>
      <c r="U345" t="s">
        <v>2683</v>
      </c>
      <c r="V345">
        <v>7</v>
      </c>
      <c r="Y345" t="s">
        <v>2995</v>
      </c>
      <c r="Z345">
        <v>7</v>
      </c>
      <c r="AB345" s="22"/>
      <c r="AC345" t="s">
        <v>3277</v>
      </c>
      <c r="AG345" t="s">
        <v>3538</v>
      </c>
      <c r="AK345" t="s">
        <v>3780</v>
      </c>
      <c r="AO345" t="s">
        <v>4064</v>
      </c>
      <c r="BE345" t="s">
        <v>4949</v>
      </c>
      <c r="BG345" t="s">
        <v>5067</v>
      </c>
      <c r="BH345" t="s">
        <v>5338</v>
      </c>
      <c r="BI345" t="s">
        <v>5567</v>
      </c>
      <c r="BJ345" t="s">
        <v>5876</v>
      </c>
      <c r="BK345" t="s">
        <v>6122</v>
      </c>
      <c r="BL345" t="s">
        <v>6305</v>
      </c>
      <c r="BM345" t="s">
        <v>6452</v>
      </c>
      <c r="BN345" t="s">
        <v>6622</v>
      </c>
      <c r="BO345" t="s">
        <v>6767</v>
      </c>
      <c r="BP345" t="s">
        <v>6830</v>
      </c>
      <c r="BT345" t="s">
        <v>7126</v>
      </c>
      <c r="BU345" t="s">
        <v>7203</v>
      </c>
      <c r="BV345" t="s">
        <v>7351</v>
      </c>
      <c r="BW345" t="s">
        <v>7521</v>
      </c>
      <c r="BX345" t="s">
        <v>7618</v>
      </c>
      <c r="BZ345">
        <v>0</v>
      </c>
      <c r="CA345">
        <v>0</v>
      </c>
      <c r="CE345" t="s">
        <v>8112</v>
      </c>
      <c r="CF345" s="144">
        <v>43903.388032407405</v>
      </c>
      <c r="CG345" s="144">
        <v>43903.395810185182</v>
      </c>
      <c r="CH345" t="s">
        <v>8460</v>
      </c>
    </row>
    <row r="346" spans="1:86" x14ac:dyDescent="0.35">
      <c r="A346" t="s">
        <v>877</v>
      </c>
      <c r="B346">
        <v>1</v>
      </c>
      <c r="C346">
        <v>1</v>
      </c>
      <c r="D346" t="s">
        <v>1121</v>
      </c>
      <c r="E346" t="s">
        <v>1317</v>
      </c>
      <c r="I346" t="s">
        <v>1673</v>
      </c>
      <c r="M346" t="s">
        <v>1988</v>
      </c>
      <c r="Q346" t="s">
        <v>2343</v>
      </c>
      <c r="U346" t="s">
        <v>2684</v>
      </c>
      <c r="Y346" t="s">
        <v>2996</v>
      </c>
      <c r="AC346" t="s">
        <v>3277</v>
      </c>
      <c r="AG346" t="s">
        <v>3538</v>
      </c>
      <c r="AK346" t="s">
        <v>3780</v>
      </c>
      <c r="AO346" t="s">
        <v>4065</v>
      </c>
      <c r="AQ346">
        <v>6</v>
      </c>
      <c r="AR346" t="s">
        <v>4154</v>
      </c>
      <c r="AS346" t="s">
        <v>4326</v>
      </c>
      <c r="AW346" t="s">
        <v>4573</v>
      </c>
      <c r="BA346" t="s">
        <v>4823</v>
      </c>
      <c r="BE346" t="s">
        <v>4949</v>
      </c>
      <c r="BG346" t="s">
        <v>5068</v>
      </c>
      <c r="BH346" t="s">
        <v>5339</v>
      </c>
      <c r="BI346" t="s">
        <v>5568</v>
      </c>
      <c r="BJ346" t="s">
        <v>5877</v>
      </c>
      <c r="BK346" t="s">
        <v>6123</v>
      </c>
      <c r="BL346" t="s">
        <v>6306</v>
      </c>
      <c r="BM346" t="s">
        <v>6452</v>
      </c>
      <c r="BN346" t="s">
        <v>6623</v>
      </c>
      <c r="BO346" t="s">
        <v>6768</v>
      </c>
      <c r="BP346" t="s">
        <v>6830</v>
      </c>
      <c r="BT346" t="s">
        <v>7127</v>
      </c>
      <c r="BU346" t="s">
        <v>7203</v>
      </c>
      <c r="BV346" t="s">
        <v>7351</v>
      </c>
      <c r="BW346" t="s">
        <v>7521</v>
      </c>
      <c r="BX346" t="s">
        <v>7618</v>
      </c>
      <c r="BZ346">
        <v>0</v>
      </c>
      <c r="CA346">
        <v>0</v>
      </c>
      <c r="CE346" t="s">
        <v>8113</v>
      </c>
      <c r="CF346" s="144">
        <v>43903.385914351849</v>
      </c>
      <c r="CG346" s="144">
        <v>43903.3903125</v>
      </c>
      <c r="CH346" s="24" t="s">
        <v>8461</v>
      </c>
    </row>
    <row r="347" spans="1:86" x14ac:dyDescent="0.35">
      <c r="A347" t="s">
        <v>878</v>
      </c>
      <c r="B347">
        <v>1</v>
      </c>
      <c r="C347">
        <v>1</v>
      </c>
      <c r="D347" t="s">
        <v>1122</v>
      </c>
      <c r="E347" t="s">
        <v>1318</v>
      </c>
      <c r="G347">
        <v>2</v>
      </c>
      <c r="H347" t="s">
        <v>1458</v>
      </c>
      <c r="I347" t="s">
        <v>1674</v>
      </c>
      <c r="J347">
        <v>3</v>
      </c>
      <c r="M347" t="s">
        <v>1989</v>
      </c>
      <c r="N347">
        <v>7</v>
      </c>
      <c r="Q347" t="s">
        <v>2344</v>
      </c>
      <c r="R347">
        <v>2</v>
      </c>
      <c r="U347" t="s">
        <v>2685</v>
      </c>
      <c r="V347">
        <v>3</v>
      </c>
      <c r="Y347" t="s">
        <v>2997</v>
      </c>
      <c r="Z347">
        <v>6</v>
      </c>
      <c r="AC347" t="s">
        <v>3277</v>
      </c>
      <c r="AG347" t="s">
        <v>3538</v>
      </c>
      <c r="AK347" t="s">
        <v>3780</v>
      </c>
      <c r="AO347" t="s">
        <v>4065</v>
      </c>
      <c r="AQ347">
        <v>3</v>
      </c>
      <c r="AS347" t="s">
        <v>4327</v>
      </c>
      <c r="AT347">
        <v>4</v>
      </c>
      <c r="AW347" t="s">
        <v>4574</v>
      </c>
      <c r="AY347">
        <v>8</v>
      </c>
      <c r="BA347" t="s">
        <v>4824</v>
      </c>
      <c r="BC347">
        <v>7</v>
      </c>
      <c r="BE347" t="s">
        <v>4949</v>
      </c>
      <c r="BG347" t="s">
        <v>5068</v>
      </c>
      <c r="BH347" t="s">
        <v>5340</v>
      </c>
      <c r="BI347" t="s">
        <v>5568</v>
      </c>
      <c r="BJ347" t="s">
        <v>5877</v>
      </c>
      <c r="BK347" t="s">
        <v>6124</v>
      </c>
      <c r="BL347" t="s">
        <v>6306</v>
      </c>
      <c r="BM347" t="s">
        <v>6452</v>
      </c>
      <c r="BN347" t="s">
        <v>6623</v>
      </c>
      <c r="BO347" t="s">
        <v>6768</v>
      </c>
      <c r="BP347" t="s">
        <v>6830</v>
      </c>
      <c r="BT347" t="s">
        <v>7128</v>
      </c>
      <c r="BU347" t="s">
        <v>7203</v>
      </c>
      <c r="BV347" t="s">
        <v>7351</v>
      </c>
      <c r="BW347" t="s">
        <v>7521</v>
      </c>
      <c r="BX347" t="s">
        <v>7619</v>
      </c>
      <c r="BZ347">
        <v>0</v>
      </c>
      <c r="CA347">
        <v>0</v>
      </c>
      <c r="CE347" t="s">
        <v>8114</v>
      </c>
      <c r="CF347" s="144">
        <v>43903.343877314815</v>
      </c>
      <c r="CG347" s="144">
        <v>43903.386701388888</v>
      </c>
      <c r="CH347" t="s">
        <v>8462</v>
      </c>
    </row>
    <row r="348" spans="1:86" x14ac:dyDescent="0.35">
      <c r="A348" t="s">
        <v>879</v>
      </c>
      <c r="B348">
        <v>1</v>
      </c>
      <c r="C348">
        <v>1</v>
      </c>
      <c r="D348" t="s">
        <v>1122</v>
      </c>
      <c r="E348" t="s">
        <v>1319</v>
      </c>
      <c r="I348" t="s">
        <v>1675</v>
      </c>
      <c r="K348">
        <v>6</v>
      </c>
      <c r="M348" t="s">
        <v>1989</v>
      </c>
      <c r="N348">
        <v>6</v>
      </c>
      <c r="Q348" t="s">
        <v>2345</v>
      </c>
      <c r="U348" t="s">
        <v>2685</v>
      </c>
      <c r="V348">
        <v>6</v>
      </c>
      <c r="Y348" t="s">
        <v>2997</v>
      </c>
      <c r="Z348">
        <v>7</v>
      </c>
      <c r="AC348" t="s">
        <v>3277</v>
      </c>
      <c r="AG348" t="s">
        <v>3538</v>
      </c>
      <c r="AK348" t="s">
        <v>3780</v>
      </c>
      <c r="AO348" t="s">
        <v>4066</v>
      </c>
      <c r="AP348">
        <v>6</v>
      </c>
      <c r="AS348" t="s">
        <v>4328</v>
      </c>
      <c r="AW348" t="s">
        <v>4575</v>
      </c>
      <c r="BA348" t="s">
        <v>4824</v>
      </c>
      <c r="BC348">
        <v>6</v>
      </c>
      <c r="BE348" t="s">
        <v>4949</v>
      </c>
      <c r="BG348" t="s">
        <v>5069</v>
      </c>
      <c r="BH348" t="s">
        <v>5340</v>
      </c>
      <c r="BI348" t="s">
        <v>5568</v>
      </c>
      <c r="BJ348" t="s">
        <v>5877</v>
      </c>
      <c r="BK348" t="s">
        <v>6124</v>
      </c>
      <c r="BL348" t="s">
        <v>6306</v>
      </c>
      <c r="BM348" t="s">
        <v>6452</v>
      </c>
      <c r="BN348" t="s">
        <v>6623</v>
      </c>
      <c r="BO348" t="s">
        <v>6768</v>
      </c>
      <c r="BP348" t="s">
        <v>6830</v>
      </c>
      <c r="BT348" t="s">
        <v>7129</v>
      </c>
      <c r="BU348" t="s">
        <v>7203</v>
      </c>
      <c r="BV348" t="s">
        <v>7352</v>
      </c>
      <c r="BW348" t="s">
        <v>7521</v>
      </c>
      <c r="BX348" t="s">
        <v>7620</v>
      </c>
      <c r="BZ348">
        <v>0</v>
      </c>
      <c r="CA348">
        <v>0</v>
      </c>
      <c r="CE348" t="s">
        <v>8115</v>
      </c>
      <c r="CF348" s="144">
        <v>43903.335729166669</v>
      </c>
      <c r="CG348" s="144">
        <v>43903.341574074075</v>
      </c>
      <c r="CH348" t="s">
        <v>8463</v>
      </c>
    </row>
    <row r="349" spans="1:86" x14ac:dyDescent="0.35">
      <c r="A349" t="s">
        <v>880</v>
      </c>
      <c r="B349">
        <v>1</v>
      </c>
      <c r="C349">
        <v>1</v>
      </c>
      <c r="D349" t="s">
        <v>1122</v>
      </c>
      <c r="E349" t="s">
        <v>1319</v>
      </c>
      <c r="I349" t="s">
        <v>1676</v>
      </c>
      <c r="M349" t="s">
        <v>1989</v>
      </c>
      <c r="N349">
        <v>7</v>
      </c>
      <c r="P349" t="s">
        <v>2103</v>
      </c>
      <c r="Q349" t="s">
        <v>2345</v>
      </c>
      <c r="U349" t="s">
        <v>2686</v>
      </c>
      <c r="Y349" t="s">
        <v>2998</v>
      </c>
      <c r="AC349" t="s">
        <v>3277</v>
      </c>
      <c r="AG349" t="s">
        <v>3538</v>
      </c>
      <c r="AK349" t="s">
        <v>3780</v>
      </c>
      <c r="AO349" t="s">
        <v>4067</v>
      </c>
      <c r="AS349" t="s">
        <v>4328</v>
      </c>
      <c r="AW349" t="s">
        <v>4575</v>
      </c>
      <c r="BA349" t="s">
        <v>4825</v>
      </c>
      <c r="BE349" t="s">
        <v>4949</v>
      </c>
      <c r="BG349" t="s">
        <v>5070</v>
      </c>
      <c r="BH349" t="s">
        <v>5340</v>
      </c>
      <c r="BI349" t="s">
        <v>5568</v>
      </c>
      <c r="BJ349" t="s">
        <v>5877</v>
      </c>
      <c r="BK349" t="s">
        <v>6125</v>
      </c>
      <c r="BL349" t="s">
        <v>6306</v>
      </c>
      <c r="BM349" t="s">
        <v>6452</v>
      </c>
      <c r="BN349" t="s">
        <v>6623</v>
      </c>
      <c r="BO349" t="s">
        <v>6769</v>
      </c>
      <c r="BP349" t="s">
        <v>6830</v>
      </c>
      <c r="BT349" t="s">
        <v>7129</v>
      </c>
      <c r="BU349" t="s">
        <v>7203</v>
      </c>
      <c r="BV349" t="s">
        <v>7353</v>
      </c>
      <c r="BW349" t="s">
        <v>7521</v>
      </c>
      <c r="BX349" t="s">
        <v>7621</v>
      </c>
      <c r="BZ349">
        <v>0</v>
      </c>
      <c r="CA349">
        <v>0</v>
      </c>
      <c r="CE349" t="s">
        <v>8116</v>
      </c>
      <c r="CF349" s="144">
        <v>43903.334085648145</v>
      </c>
      <c r="CG349" s="144">
        <v>43903.338807870372</v>
      </c>
      <c r="CH349" t="s">
        <v>8464</v>
      </c>
    </row>
    <row r="350" spans="1:86" x14ac:dyDescent="0.35">
      <c r="A350" t="s">
        <v>881</v>
      </c>
      <c r="B350">
        <v>1</v>
      </c>
      <c r="C350">
        <v>1</v>
      </c>
      <c r="D350" t="s">
        <v>1122</v>
      </c>
      <c r="E350" t="s">
        <v>1319</v>
      </c>
      <c r="I350" t="s">
        <v>1676</v>
      </c>
      <c r="M350" t="s">
        <v>1989</v>
      </c>
      <c r="N350">
        <v>6</v>
      </c>
      <c r="P350" t="s">
        <v>2104</v>
      </c>
      <c r="Q350" t="s">
        <v>2345</v>
      </c>
      <c r="U350" t="s">
        <v>2687</v>
      </c>
      <c r="V350">
        <v>6</v>
      </c>
      <c r="X350" t="s">
        <v>2784</v>
      </c>
      <c r="Y350" t="s">
        <v>2999</v>
      </c>
      <c r="Z350">
        <v>6</v>
      </c>
      <c r="AB350" t="s">
        <v>3087</v>
      </c>
      <c r="AC350" t="s">
        <v>3277</v>
      </c>
      <c r="AG350" t="s">
        <v>3538</v>
      </c>
      <c r="AK350" t="s">
        <v>3780</v>
      </c>
      <c r="AO350" t="s">
        <v>4067</v>
      </c>
      <c r="AS350" t="s">
        <v>4328</v>
      </c>
      <c r="AW350" t="s">
        <v>4575</v>
      </c>
      <c r="BA350" t="s">
        <v>4825</v>
      </c>
      <c r="BE350" t="s">
        <v>4949</v>
      </c>
      <c r="BG350" t="s">
        <v>5070</v>
      </c>
      <c r="BH350" t="s">
        <v>5340</v>
      </c>
      <c r="BI350" t="s">
        <v>5568</v>
      </c>
      <c r="BJ350" t="s">
        <v>5877</v>
      </c>
      <c r="BK350" t="s">
        <v>6125</v>
      </c>
      <c r="BL350" t="s">
        <v>6306</v>
      </c>
      <c r="BM350" t="s">
        <v>6452</v>
      </c>
      <c r="BN350" t="s">
        <v>6623</v>
      </c>
      <c r="BO350" t="s">
        <v>6770</v>
      </c>
      <c r="BP350" t="s">
        <v>6830</v>
      </c>
      <c r="BT350" t="s">
        <v>7130</v>
      </c>
      <c r="BU350" t="s">
        <v>7203</v>
      </c>
      <c r="BV350" t="s">
        <v>7353</v>
      </c>
      <c r="BW350" t="s">
        <v>7521</v>
      </c>
      <c r="BX350" t="s">
        <v>7621</v>
      </c>
      <c r="BZ350">
        <v>0</v>
      </c>
      <c r="CA350">
        <v>0</v>
      </c>
      <c r="CE350" t="s">
        <v>8116</v>
      </c>
      <c r="CF350" s="144">
        <v>43903.30846064815</v>
      </c>
      <c r="CG350" s="144">
        <v>43903.322372685187</v>
      </c>
      <c r="CH350" t="s">
        <v>8465</v>
      </c>
    </row>
    <row r="351" spans="1:86" x14ac:dyDescent="0.35">
      <c r="A351" t="s">
        <v>882</v>
      </c>
      <c r="B351">
        <v>1</v>
      </c>
      <c r="C351">
        <v>1</v>
      </c>
      <c r="D351" t="s">
        <v>1122</v>
      </c>
      <c r="E351" t="s">
        <v>1320</v>
      </c>
      <c r="F351">
        <v>6</v>
      </c>
      <c r="I351" t="s">
        <v>1677</v>
      </c>
      <c r="J351">
        <v>5</v>
      </c>
      <c r="M351" t="s">
        <v>1989</v>
      </c>
      <c r="N351">
        <v>6</v>
      </c>
      <c r="Q351" t="s">
        <v>2346</v>
      </c>
      <c r="S351">
        <v>6</v>
      </c>
      <c r="U351" t="s">
        <v>2687</v>
      </c>
      <c r="V351">
        <v>6</v>
      </c>
      <c r="Y351" t="s">
        <v>2999</v>
      </c>
      <c r="Z351">
        <v>7</v>
      </c>
      <c r="AC351" t="s">
        <v>3278</v>
      </c>
      <c r="AD351">
        <v>5</v>
      </c>
      <c r="AG351" t="s">
        <v>3539</v>
      </c>
      <c r="AH351">
        <v>5</v>
      </c>
      <c r="AK351" t="s">
        <v>3781</v>
      </c>
      <c r="AL351">
        <v>5</v>
      </c>
      <c r="AO351" t="s">
        <v>4068</v>
      </c>
      <c r="AP351">
        <v>6</v>
      </c>
      <c r="AS351" t="s">
        <v>4329</v>
      </c>
      <c r="AT351">
        <v>5</v>
      </c>
      <c r="AW351" t="s">
        <v>4576</v>
      </c>
      <c r="AY351">
        <v>5</v>
      </c>
      <c r="BA351" t="s">
        <v>4826</v>
      </c>
      <c r="BC351">
        <v>5</v>
      </c>
      <c r="BE351" t="s">
        <v>4949</v>
      </c>
      <c r="BG351" t="s">
        <v>5070</v>
      </c>
      <c r="BH351" t="s">
        <v>5340</v>
      </c>
      <c r="BI351" t="s">
        <v>5569</v>
      </c>
      <c r="BJ351" t="s">
        <v>5877</v>
      </c>
      <c r="BK351" t="s">
        <v>6126</v>
      </c>
      <c r="BL351" t="s">
        <v>6306</v>
      </c>
      <c r="BM351" t="s">
        <v>6452</v>
      </c>
      <c r="BN351" t="s">
        <v>6623</v>
      </c>
      <c r="BO351" t="s">
        <v>6770</v>
      </c>
      <c r="BP351" t="s">
        <v>6830</v>
      </c>
      <c r="BT351" t="s">
        <v>7131</v>
      </c>
      <c r="BU351" t="s">
        <v>7203</v>
      </c>
      <c r="BV351" t="s">
        <v>7353</v>
      </c>
      <c r="BW351" t="s">
        <v>7521</v>
      </c>
      <c r="BX351" t="s">
        <v>7622</v>
      </c>
      <c r="BZ351">
        <v>0</v>
      </c>
      <c r="CA351">
        <v>0</v>
      </c>
      <c r="CE351" t="s">
        <v>8117</v>
      </c>
      <c r="CF351" s="144">
        <v>43902.738506944443</v>
      </c>
      <c r="CG351" s="144">
        <v>43902.744398148148</v>
      </c>
      <c r="CH351" t="s">
        <v>8466</v>
      </c>
    </row>
    <row r="352" spans="1:86" x14ac:dyDescent="0.35">
      <c r="A352" t="s">
        <v>883</v>
      </c>
      <c r="B352">
        <v>1</v>
      </c>
      <c r="C352">
        <v>1</v>
      </c>
      <c r="D352" t="s">
        <v>1123</v>
      </c>
      <c r="E352" t="s">
        <v>1321</v>
      </c>
      <c r="I352" t="s">
        <v>1677</v>
      </c>
      <c r="J352">
        <v>4</v>
      </c>
      <c r="M352" t="s">
        <v>1989</v>
      </c>
      <c r="N352">
        <v>7</v>
      </c>
      <c r="Q352" t="s">
        <v>2347</v>
      </c>
      <c r="R352">
        <v>5</v>
      </c>
      <c r="U352" t="s">
        <v>2687</v>
      </c>
      <c r="V352">
        <v>5</v>
      </c>
      <c r="Y352" t="s">
        <v>2999</v>
      </c>
      <c r="Z352">
        <v>7</v>
      </c>
      <c r="AC352" t="s">
        <v>3279</v>
      </c>
      <c r="AG352" t="s">
        <v>3540</v>
      </c>
      <c r="AK352" t="s">
        <v>3782</v>
      </c>
      <c r="AO352" t="s">
        <v>4069</v>
      </c>
      <c r="AS352" t="s">
        <v>4330</v>
      </c>
      <c r="AW352" t="s">
        <v>4576</v>
      </c>
      <c r="AY352">
        <v>5</v>
      </c>
      <c r="BA352" t="s">
        <v>4826</v>
      </c>
      <c r="BC352">
        <v>4</v>
      </c>
      <c r="BE352" t="s">
        <v>4949</v>
      </c>
      <c r="BG352" t="s">
        <v>5070</v>
      </c>
      <c r="BH352" t="s">
        <v>5340</v>
      </c>
      <c r="BI352" t="s">
        <v>5570</v>
      </c>
      <c r="BJ352" t="s">
        <v>5878</v>
      </c>
      <c r="BK352" t="s">
        <v>6127</v>
      </c>
      <c r="BL352" t="s">
        <v>6306</v>
      </c>
      <c r="BM352" t="s">
        <v>6452</v>
      </c>
      <c r="BN352" t="s">
        <v>6623</v>
      </c>
      <c r="BO352" t="s">
        <v>6770</v>
      </c>
      <c r="BP352" t="s">
        <v>6830</v>
      </c>
      <c r="BT352" t="s">
        <v>7131</v>
      </c>
      <c r="BU352" t="s">
        <v>7203</v>
      </c>
      <c r="BV352" t="s">
        <v>7353</v>
      </c>
      <c r="BW352" t="s">
        <v>7521</v>
      </c>
      <c r="BX352" t="s">
        <v>7622</v>
      </c>
      <c r="BZ352">
        <v>0</v>
      </c>
      <c r="CA352">
        <v>0</v>
      </c>
      <c r="CE352" t="s">
        <v>8118</v>
      </c>
      <c r="CF352" s="144">
        <v>43901.504108796296</v>
      </c>
      <c r="CG352" s="144">
        <v>43901.509606481479</v>
      </c>
      <c r="CH352" t="s">
        <v>8467</v>
      </c>
    </row>
    <row r="353" spans="1:86" x14ac:dyDescent="0.35">
      <c r="A353" t="s">
        <v>884</v>
      </c>
      <c r="B353">
        <v>1</v>
      </c>
      <c r="C353">
        <v>1</v>
      </c>
      <c r="D353" t="s">
        <v>1124</v>
      </c>
      <c r="E353" t="s">
        <v>1322</v>
      </c>
      <c r="F353">
        <v>5</v>
      </c>
      <c r="I353" t="s">
        <v>1678</v>
      </c>
      <c r="M353" t="s">
        <v>1989</v>
      </c>
      <c r="N353">
        <v>6</v>
      </c>
      <c r="Q353" t="s">
        <v>2348</v>
      </c>
      <c r="S353">
        <v>5</v>
      </c>
      <c r="U353" t="s">
        <v>2688</v>
      </c>
      <c r="Y353" t="s">
        <v>2999</v>
      </c>
      <c r="Z353">
        <v>4</v>
      </c>
      <c r="AC353" t="s">
        <v>3279</v>
      </c>
      <c r="AG353" t="s">
        <v>3540</v>
      </c>
      <c r="AK353" t="s">
        <v>3782</v>
      </c>
      <c r="AO353" t="s">
        <v>4069</v>
      </c>
      <c r="AS353" t="s">
        <v>4331</v>
      </c>
      <c r="AT353">
        <v>2</v>
      </c>
      <c r="AW353" t="s">
        <v>4576</v>
      </c>
      <c r="AY353">
        <v>4</v>
      </c>
      <c r="BA353" t="s">
        <v>4826</v>
      </c>
      <c r="BC353">
        <v>4</v>
      </c>
      <c r="BE353" t="s">
        <v>4949</v>
      </c>
      <c r="BG353" t="s">
        <v>5070</v>
      </c>
      <c r="BH353" t="s">
        <v>5340</v>
      </c>
      <c r="BI353" t="s">
        <v>5571</v>
      </c>
      <c r="BJ353" t="s">
        <v>5879</v>
      </c>
      <c r="BK353" t="s">
        <v>6128</v>
      </c>
      <c r="BL353" t="s">
        <v>6306</v>
      </c>
      <c r="BM353" t="s">
        <v>6452</v>
      </c>
      <c r="BN353" t="s">
        <v>6623</v>
      </c>
      <c r="BO353" t="s">
        <v>6770</v>
      </c>
      <c r="BP353" t="s">
        <v>6830</v>
      </c>
      <c r="BT353" t="s">
        <v>7131</v>
      </c>
      <c r="BU353" t="s">
        <v>7203</v>
      </c>
      <c r="BV353" t="s">
        <v>7353</v>
      </c>
      <c r="BW353" t="s">
        <v>7521</v>
      </c>
      <c r="BX353" t="s">
        <v>7622</v>
      </c>
      <c r="BZ353">
        <v>0</v>
      </c>
      <c r="CA353">
        <v>0</v>
      </c>
      <c r="CE353" t="s">
        <v>8119</v>
      </c>
      <c r="CF353" s="144">
        <v>43900.522777777776</v>
      </c>
      <c r="CG353" s="144">
        <v>43900.526180555556</v>
      </c>
      <c r="CH353" t="s">
        <v>8468</v>
      </c>
    </row>
    <row r="354" spans="1:86" x14ac:dyDescent="0.35">
      <c r="A354" t="s">
        <v>885</v>
      </c>
      <c r="B354">
        <v>1</v>
      </c>
      <c r="C354">
        <v>1</v>
      </c>
      <c r="D354" t="s">
        <v>1125</v>
      </c>
      <c r="E354" t="s">
        <v>1323</v>
      </c>
      <c r="I354" t="s">
        <v>1678</v>
      </c>
      <c r="M354" t="s">
        <v>1989</v>
      </c>
      <c r="N354">
        <v>5</v>
      </c>
      <c r="Q354" t="s">
        <v>2349</v>
      </c>
      <c r="U354" t="s">
        <v>2688</v>
      </c>
      <c r="Y354" t="s">
        <v>2999</v>
      </c>
      <c r="Z354">
        <v>6</v>
      </c>
      <c r="AC354" t="s">
        <v>3279</v>
      </c>
      <c r="AG354" t="s">
        <v>3540</v>
      </c>
      <c r="AK354" t="s">
        <v>3782</v>
      </c>
      <c r="AO354" t="s">
        <v>4069</v>
      </c>
      <c r="AS354" t="s">
        <v>4332</v>
      </c>
      <c r="AW354" t="s">
        <v>4577</v>
      </c>
      <c r="BA354" t="s">
        <v>4827</v>
      </c>
      <c r="BE354" t="s">
        <v>4949</v>
      </c>
      <c r="BG354" t="s">
        <v>5070</v>
      </c>
      <c r="BH354" t="s">
        <v>5341</v>
      </c>
      <c r="BI354" t="s">
        <v>5571</v>
      </c>
      <c r="BJ354" t="s">
        <v>5880</v>
      </c>
      <c r="BK354" t="s">
        <v>6129</v>
      </c>
      <c r="BL354" t="s">
        <v>6306</v>
      </c>
      <c r="BM354" t="s">
        <v>6452</v>
      </c>
      <c r="BN354" t="s">
        <v>6624</v>
      </c>
      <c r="BO354" t="s">
        <v>6771</v>
      </c>
      <c r="BP354" t="s">
        <v>6830</v>
      </c>
      <c r="BT354" t="s">
        <v>7131</v>
      </c>
      <c r="BU354" t="s">
        <v>7203</v>
      </c>
      <c r="BV354" t="s">
        <v>7354</v>
      </c>
      <c r="BW354" t="s">
        <v>7521</v>
      </c>
      <c r="BX354" t="s">
        <v>7622</v>
      </c>
      <c r="BZ354">
        <v>0</v>
      </c>
      <c r="CA354">
        <v>0</v>
      </c>
      <c r="CE354" t="s">
        <v>8120</v>
      </c>
      <c r="CF354" s="144">
        <v>43899.831967592596</v>
      </c>
      <c r="CG354" s="144">
        <v>43899.835798611108</v>
      </c>
      <c r="CH354" t="s">
        <v>8469</v>
      </c>
    </row>
    <row r="355" spans="1:86" hidden="1" x14ac:dyDescent="0.35">
      <c r="A355" t="s">
        <v>886</v>
      </c>
      <c r="B355">
        <v>1</v>
      </c>
      <c r="C355">
        <v>1</v>
      </c>
      <c r="D355" t="s">
        <v>1126</v>
      </c>
      <c r="E355" t="s">
        <v>1323</v>
      </c>
      <c r="I355" t="s">
        <v>1678</v>
      </c>
      <c r="M355" t="s">
        <v>1989</v>
      </c>
      <c r="N355">
        <v>6</v>
      </c>
      <c r="Q355" t="s">
        <v>2349</v>
      </c>
      <c r="U355" t="s">
        <v>2688</v>
      </c>
      <c r="Y355" t="s">
        <v>3000</v>
      </c>
      <c r="AC355" t="s">
        <v>3279</v>
      </c>
      <c r="AG355" t="s">
        <v>3541</v>
      </c>
      <c r="AH355">
        <v>6</v>
      </c>
      <c r="AK355" t="s">
        <v>3782</v>
      </c>
      <c r="AO355" t="s">
        <v>4069</v>
      </c>
      <c r="AS355" t="s">
        <v>4332</v>
      </c>
      <c r="AW355" t="s">
        <v>4577</v>
      </c>
      <c r="BA355" t="s">
        <v>4827</v>
      </c>
      <c r="BE355" t="s">
        <v>4949</v>
      </c>
      <c r="BG355" t="s">
        <v>5070</v>
      </c>
      <c r="BH355" t="s">
        <v>5342</v>
      </c>
      <c r="BI355" t="s">
        <v>5571</v>
      </c>
      <c r="BJ355" t="s">
        <v>5881</v>
      </c>
      <c r="BK355" t="s">
        <v>6130</v>
      </c>
      <c r="BL355" t="s">
        <v>6306</v>
      </c>
      <c r="BM355" t="s">
        <v>6452</v>
      </c>
      <c r="BN355" t="s">
        <v>6625</v>
      </c>
      <c r="BO355" t="s">
        <v>6772</v>
      </c>
      <c r="BP355" t="s">
        <v>6830</v>
      </c>
      <c r="BT355" t="s">
        <v>7132</v>
      </c>
      <c r="BU355" t="s">
        <v>7204</v>
      </c>
      <c r="BV355" t="s">
        <v>7355</v>
      </c>
      <c r="BW355" t="s">
        <v>7522</v>
      </c>
      <c r="BX355" t="s">
        <v>7622</v>
      </c>
      <c r="BZ355">
        <v>0</v>
      </c>
      <c r="CA355">
        <v>0</v>
      </c>
      <c r="CE355" t="s">
        <v>8121</v>
      </c>
      <c r="CF355" s="144">
        <v>43899.449502314812</v>
      </c>
      <c r="CG355" s="144">
        <v>43899.454907407409</v>
      </c>
      <c r="CH355" t="s">
        <v>8470</v>
      </c>
    </row>
    <row r="356" spans="1:86" x14ac:dyDescent="0.35">
      <c r="A356" t="s">
        <v>887</v>
      </c>
      <c r="B356">
        <v>1</v>
      </c>
      <c r="C356">
        <v>1</v>
      </c>
      <c r="D356" t="s">
        <v>1126</v>
      </c>
      <c r="E356" t="s">
        <v>1324</v>
      </c>
      <c r="F356">
        <v>7</v>
      </c>
      <c r="H356" t="s">
        <v>1459</v>
      </c>
      <c r="I356" t="s">
        <v>1678</v>
      </c>
      <c r="M356" t="s">
        <v>1990</v>
      </c>
      <c r="Q356" t="s">
        <v>2349</v>
      </c>
      <c r="U356" t="s">
        <v>2688</v>
      </c>
      <c r="Y356" t="s">
        <v>3000</v>
      </c>
      <c r="AC356" t="s">
        <v>3279</v>
      </c>
      <c r="AG356" t="s">
        <v>3542</v>
      </c>
      <c r="AK356" t="s">
        <v>3782</v>
      </c>
      <c r="AO356" t="s">
        <v>4069</v>
      </c>
      <c r="AS356" t="s">
        <v>4332</v>
      </c>
      <c r="AW356" t="s">
        <v>4577</v>
      </c>
      <c r="BA356" t="s">
        <v>4827</v>
      </c>
      <c r="BE356" t="s">
        <v>4949</v>
      </c>
      <c r="BG356" t="s">
        <v>5070</v>
      </c>
      <c r="BH356" t="s">
        <v>5342</v>
      </c>
      <c r="BI356" t="s">
        <v>5571</v>
      </c>
      <c r="BJ356" t="s">
        <v>5882</v>
      </c>
      <c r="BK356" t="s">
        <v>6130</v>
      </c>
      <c r="BL356" t="s">
        <v>6306</v>
      </c>
      <c r="BM356" t="s">
        <v>6452</v>
      </c>
      <c r="BN356" t="s">
        <v>6625</v>
      </c>
      <c r="BO356" t="s">
        <v>6772</v>
      </c>
      <c r="BP356" t="s">
        <v>6830</v>
      </c>
      <c r="BT356" t="s">
        <v>7133</v>
      </c>
      <c r="BU356" t="s">
        <v>7205</v>
      </c>
      <c r="BV356" t="s">
        <v>7356</v>
      </c>
      <c r="BW356" t="s">
        <v>7523</v>
      </c>
      <c r="BX356" t="s">
        <v>7622</v>
      </c>
      <c r="BZ356">
        <v>0</v>
      </c>
      <c r="CA356">
        <v>0</v>
      </c>
      <c r="CE356" t="s">
        <v>8122</v>
      </c>
      <c r="CF356" s="144">
        <v>43896.850046296298</v>
      </c>
      <c r="CG356" s="144">
        <v>43896.85659722222</v>
      </c>
      <c r="CH356" t="s">
        <v>8471</v>
      </c>
    </row>
    <row r="357" spans="1:86" x14ac:dyDescent="0.35">
      <c r="A357" t="s">
        <v>888</v>
      </c>
      <c r="B357">
        <v>1</v>
      </c>
      <c r="C357">
        <v>1</v>
      </c>
      <c r="D357" t="s">
        <v>1126</v>
      </c>
      <c r="E357" t="s">
        <v>1325</v>
      </c>
      <c r="I357" t="s">
        <v>1678</v>
      </c>
      <c r="M357" t="s">
        <v>1990</v>
      </c>
      <c r="Q357" t="s">
        <v>2349</v>
      </c>
      <c r="U357" t="s">
        <v>2688</v>
      </c>
      <c r="Y357" t="s">
        <v>3001</v>
      </c>
      <c r="Z357">
        <v>7</v>
      </c>
      <c r="AC357" t="s">
        <v>3279</v>
      </c>
      <c r="AG357" t="s">
        <v>3543</v>
      </c>
      <c r="AI357">
        <v>6</v>
      </c>
      <c r="AK357" t="s">
        <v>3782</v>
      </c>
      <c r="AO357" t="s">
        <v>4069</v>
      </c>
      <c r="AS357" t="s">
        <v>4332</v>
      </c>
      <c r="AW357" t="s">
        <v>4578</v>
      </c>
      <c r="AX357">
        <v>6</v>
      </c>
      <c r="AZ357" t="s">
        <v>4636</v>
      </c>
      <c r="BA357" t="s">
        <v>4828</v>
      </c>
      <c r="BB357">
        <v>5</v>
      </c>
      <c r="BD357" t="s">
        <v>4894</v>
      </c>
      <c r="BE357" t="s">
        <v>4949</v>
      </c>
      <c r="BG357" t="s">
        <v>5070</v>
      </c>
      <c r="BH357" t="s">
        <v>5342</v>
      </c>
      <c r="BI357" t="s">
        <v>5571</v>
      </c>
      <c r="BJ357" t="s">
        <v>5882</v>
      </c>
      <c r="BK357" t="s">
        <v>6130</v>
      </c>
      <c r="BL357" t="s">
        <v>6307</v>
      </c>
      <c r="BM357" t="s">
        <v>6452</v>
      </c>
      <c r="BN357" t="s">
        <v>6625</v>
      </c>
      <c r="BO357" t="s">
        <v>6772</v>
      </c>
      <c r="BP357" t="s">
        <v>6830</v>
      </c>
      <c r="BT357" t="s">
        <v>7134</v>
      </c>
      <c r="BU357" t="s">
        <v>7205</v>
      </c>
      <c r="BV357" t="s">
        <v>7357</v>
      </c>
      <c r="BW357" t="s">
        <v>7523</v>
      </c>
      <c r="BX357" t="s">
        <v>7622</v>
      </c>
      <c r="BZ357">
        <v>0</v>
      </c>
      <c r="CA357">
        <v>0</v>
      </c>
      <c r="CE357" t="s">
        <v>8123</v>
      </c>
      <c r="CF357" s="144">
        <v>43896.840439814812</v>
      </c>
      <c r="CG357" s="144">
        <v>43896.846493055556</v>
      </c>
      <c r="CH357" t="s">
        <v>8472</v>
      </c>
    </row>
    <row r="358" spans="1:86" x14ac:dyDescent="0.35">
      <c r="A358" t="s">
        <v>889</v>
      </c>
      <c r="B358">
        <v>1</v>
      </c>
      <c r="C358">
        <v>1</v>
      </c>
      <c r="D358" t="s">
        <v>1126</v>
      </c>
      <c r="E358" t="s">
        <v>1326</v>
      </c>
      <c r="F358">
        <v>4</v>
      </c>
      <c r="H358" t="s">
        <v>1460</v>
      </c>
      <c r="I358" t="s">
        <v>1679</v>
      </c>
      <c r="M358" t="s">
        <v>1991</v>
      </c>
      <c r="N358">
        <v>6</v>
      </c>
      <c r="Q358" t="s">
        <v>2350</v>
      </c>
      <c r="S358">
        <v>6</v>
      </c>
      <c r="T358" t="s">
        <v>2466</v>
      </c>
      <c r="U358" t="s">
        <v>2689</v>
      </c>
      <c r="W358">
        <v>5</v>
      </c>
      <c r="Y358" t="s">
        <v>3001</v>
      </c>
      <c r="Z358">
        <v>5</v>
      </c>
      <c r="AB358" t="s">
        <v>3088</v>
      </c>
      <c r="AC358" t="s">
        <v>3280</v>
      </c>
      <c r="AE358">
        <v>6</v>
      </c>
      <c r="AG358" t="s">
        <v>3543</v>
      </c>
      <c r="AI358">
        <v>6</v>
      </c>
      <c r="AK358" t="s">
        <v>3783</v>
      </c>
      <c r="AL358">
        <v>6</v>
      </c>
      <c r="AN358" t="s">
        <v>3843</v>
      </c>
      <c r="AO358" t="s">
        <v>4069</v>
      </c>
      <c r="AS358" t="s">
        <v>4333</v>
      </c>
      <c r="AT358">
        <v>6</v>
      </c>
      <c r="AW358" t="s">
        <v>4578</v>
      </c>
      <c r="AX358">
        <v>5</v>
      </c>
      <c r="BA358" t="s">
        <v>4829</v>
      </c>
      <c r="BE358" t="s">
        <v>4949</v>
      </c>
      <c r="BG358" t="s">
        <v>5070</v>
      </c>
      <c r="BH358" t="s">
        <v>5343</v>
      </c>
      <c r="BI358" t="s">
        <v>5571</v>
      </c>
      <c r="BJ358" t="s">
        <v>5883</v>
      </c>
      <c r="BK358" t="s">
        <v>6130</v>
      </c>
      <c r="BL358" t="s">
        <v>6308</v>
      </c>
      <c r="BM358" t="s">
        <v>6452</v>
      </c>
      <c r="BN358" t="s">
        <v>6625</v>
      </c>
      <c r="BO358" t="s">
        <v>6772</v>
      </c>
      <c r="BP358" t="s">
        <v>6830</v>
      </c>
      <c r="BT358" t="s">
        <v>7135</v>
      </c>
      <c r="BU358" t="s">
        <v>7205</v>
      </c>
      <c r="BV358" t="s">
        <v>7357</v>
      </c>
      <c r="BW358" t="s">
        <v>7523</v>
      </c>
      <c r="BX358" t="s">
        <v>7622</v>
      </c>
      <c r="BZ358">
        <v>1</v>
      </c>
      <c r="CA358">
        <v>0</v>
      </c>
      <c r="CE358" t="s">
        <v>8123</v>
      </c>
      <c r="CF358" s="144">
        <v>43896.786817129629</v>
      </c>
      <c r="CG358" s="144">
        <v>43896.799189814818</v>
      </c>
      <c r="CH358" t="s">
        <v>8473</v>
      </c>
    </row>
    <row r="359" spans="1:86" x14ac:dyDescent="0.35">
      <c r="A359" t="s">
        <v>890</v>
      </c>
      <c r="B359">
        <v>1</v>
      </c>
      <c r="C359">
        <v>1</v>
      </c>
      <c r="D359" t="s">
        <v>1126</v>
      </c>
      <c r="E359" t="s">
        <v>1326</v>
      </c>
      <c r="F359">
        <v>6</v>
      </c>
      <c r="I359" t="s">
        <v>1679</v>
      </c>
      <c r="J359">
        <v>6</v>
      </c>
      <c r="M359" t="s">
        <v>1991</v>
      </c>
      <c r="N359">
        <v>7</v>
      </c>
      <c r="Q359" t="s">
        <v>2350</v>
      </c>
      <c r="S359">
        <v>6</v>
      </c>
      <c r="U359" t="s">
        <v>2690</v>
      </c>
      <c r="V359">
        <v>6</v>
      </c>
      <c r="Y359" t="s">
        <v>3001</v>
      </c>
      <c r="Z359">
        <v>7</v>
      </c>
      <c r="AC359" t="s">
        <v>3280</v>
      </c>
      <c r="AE359">
        <v>6</v>
      </c>
      <c r="AG359" t="s">
        <v>3544</v>
      </c>
      <c r="AH359">
        <v>6</v>
      </c>
      <c r="AK359" t="s">
        <v>3783</v>
      </c>
      <c r="AL359">
        <v>6</v>
      </c>
      <c r="AO359" t="s">
        <v>4070</v>
      </c>
      <c r="AQ359">
        <v>7</v>
      </c>
      <c r="AS359" t="s">
        <v>4334</v>
      </c>
      <c r="AU359">
        <v>6</v>
      </c>
      <c r="AW359" t="s">
        <v>4579</v>
      </c>
      <c r="BA359" t="s">
        <v>4830</v>
      </c>
      <c r="BB359">
        <v>6</v>
      </c>
      <c r="BE359" t="s">
        <v>4949</v>
      </c>
      <c r="BG359" t="s">
        <v>5070</v>
      </c>
      <c r="BH359" t="s">
        <v>5344</v>
      </c>
      <c r="BI359" t="s">
        <v>5571</v>
      </c>
      <c r="BJ359" t="s">
        <v>5884</v>
      </c>
      <c r="BK359" t="s">
        <v>6130</v>
      </c>
      <c r="BL359" t="s">
        <v>6309</v>
      </c>
      <c r="BM359" t="s">
        <v>6452</v>
      </c>
      <c r="BN359" t="s">
        <v>6625</v>
      </c>
      <c r="BO359" t="s">
        <v>6772</v>
      </c>
      <c r="BP359" t="s">
        <v>6830</v>
      </c>
      <c r="BT359" t="s">
        <v>7136</v>
      </c>
      <c r="BU359" t="s">
        <v>7205</v>
      </c>
      <c r="BV359" t="s">
        <v>7358</v>
      </c>
      <c r="BW359" t="s">
        <v>7523</v>
      </c>
      <c r="BX359" t="s">
        <v>7622</v>
      </c>
      <c r="BZ359">
        <v>0</v>
      </c>
      <c r="CA359">
        <v>0</v>
      </c>
      <c r="CE359" t="s">
        <v>8124</v>
      </c>
      <c r="CF359" s="144">
        <v>43896.652581018519</v>
      </c>
      <c r="CG359" s="144">
        <v>43896.671435185184</v>
      </c>
      <c r="CH359" t="s">
        <v>8474</v>
      </c>
    </row>
    <row r="360" spans="1:86" x14ac:dyDescent="0.35">
      <c r="A360" t="s">
        <v>891</v>
      </c>
      <c r="B360">
        <v>1</v>
      </c>
      <c r="C360">
        <v>1</v>
      </c>
      <c r="D360" t="s">
        <v>1127</v>
      </c>
      <c r="E360" t="s">
        <v>1327</v>
      </c>
      <c r="I360" t="s">
        <v>1679</v>
      </c>
      <c r="J360">
        <v>6</v>
      </c>
      <c r="L360" t="s">
        <v>1800</v>
      </c>
      <c r="M360" t="s">
        <v>1991</v>
      </c>
      <c r="N360">
        <v>8</v>
      </c>
      <c r="P360" t="s">
        <v>2105</v>
      </c>
      <c r="Q360" t="s">
        <v>2351</v>
      </c>
      <c r="R360">
        <v>6</v>
      </c>
      <c r="U360" t="s">
        <v>2690</v>
      </c>
      <c r="V360">
        <v>7</v>
      </c>
      <c r="Y360" t="s">
        <v>3001</v>
      </c>
      <c r="Z360">
        <v>8</v>
      </c>
      <c r="AC360" t="s">
        <v>3281</v>
      </c>
      <c r="AD360">
        <v>8</v>
      </c>
      <c r="AF360" t="s">
        <v>3379</v>
      </c>
      <c r="AG360" t="s">
        <v>3544</v>
      </c>
      <c r="AH360">
        <v>8</v>
      </c>
      <c r="AJ360" t="s">
        <v>3596</v>
      </c>
      <c r="AK360" t="s">
        <v>3784</v>
      </c>
      <c r="AM360">
        <v>8</v>
      </c>
      <c r="AO360" t="s">
        <v>4071</v>
      </c>
      <c r="AS360" t="s">
        <v>4335</v>
      </c>
      <c r="AT360">
        <v>7</v>
      </c>
      <c r="AW360" t="s">
        <v>4580</v>
      </c>
      <c r="AX360">
        <v>7</v>
      </c>
      <c r="BA360" t="s">
        <v>4831</v>
      </c>
      <c r="BC360">
        <v>7</v>
      </c>
      <c r="BE360" t="s">
        <v>4949</v>
      </c>
      <c r="BG360" t="s">
        <v>5070</v>
      </c>
      <c r="BH360" t="s">
        <v>5344</v>
      </c>
      <c r="BI360" t="s">
        <v>5572</v>
      </c>
      <c r="BJ360" t="s">
        <v>5885</v>
      </c>
      <c r="BK360" t="s">
        <v>6130</v>
      </c>
      <c r="BL360" t="s">
        <v>6310</v>
      </c>
      <c r="BM360" t="s">
        <v>6452</v>
      </c>
      <c r="BN360" t="s">
        <v>6625</v>
      </c>
      <c r="BO360" t="s">
        <v>6772</v>
      </c>
      <c r="BP360" t="s">
        <v>6830</v>
      </c>
      <c r="BT360" t="s">
        <v>7136</v>
      </c>
      <c r="BU360" t="s">
        <v>7205</v>
      </c>
      <c r="BV360" t="s">
        <v>7358</v>
      </c>
      <c r="BW360" t="s">
        <v>7523</v>
      </c>
      <c r="BX360" t="s">
        <v>7622</v>
      </c>
      <c r="BZ360">
        <v>0</v>
      </c>
      <c r="CA360">
        <v>0</v>
      </c>
      <c r="CE360" t="s">
        <v>8125</v>
      </c>
      <c r="CF360" s="144">
        <v>43896.582696759258</v>
      </c>
      <c r="CG360" s="144">
        <v>43896.591932870368</v>
      </c>
      <c r="CH360" t="s">
        <v>8475</v>
      </c>
    </row>
    <row r="361" spans="1:86" hidden="1" x14ac:dyDescent="0.35">
      <c r="A361" t="s">
        <v>892</v>
      </c>
      <c r="B361">
        <v>1</v>
      </c>
      <c r="C361">
        <v>1</v>
      </c>
      <c r="D361" t="s">
        <v>1128</v>
      </c>
      <c r="E361" t="s">
        <v>1327</v>
      </c>
      <c r="I361" t="s">
        <v>1679</v>
      </c>
      <c r="J361">
        <v>7</v>
      </c>
      <c r="L361" t="s">
        <v>1801</v>
      </c>
      <c r="M361" t="s">
        <v>1991</v>
      </c>
      <c r="N361">
        <v>5</v>
      </c>
      <c r="Q361" t="s">
        <v>2352</v>
      </c>
      <c r="U361" t="s">
        <v>2691</v>
      </c>
      <c r="Y361" t="s">
        <v>3002</v>
      </c>
      <c r="AC361" t="s">
        <v>3282</v>
      </c>
      <c r="AG361" t="s">
        <v>3544</v>
      </c>
      <c r="AH361">
        <v>6</v>
      </c>
      <c r="AK361" t="s">
        <v>3785</v>
      </c>
      <c r="AL361">
        <v>8</v>
      </c>
      <c r="AN361" t="s">
        <v>3844</v>
      </c>
      <c r="AO361" t="s">
        <v>4071</v>
      </c>
      <c r="AS361" t="s">
        <v>4336</v>
      </c>
      <c r="AW361" t="s">
        <v>4581</v>
      </c>
      <c r="BA361" t="s">
        <v>4832</v>
      </c>
      <c r="BE361" t="s">
        <v>4949</v>
      </c>
      <c r="BG361" t="s">
        <v>5070</v>
      </c>
      <c r="BH361" t="s">
        <v>5345</v>
      </c>
      <c r="BI361" t="s">
        <v>5573</v>
      </c>
      <c r="BJ361" t="s">
        <v>5886</v>
      </c>
      <c r="BK361" t="s">
        <v>6130</v>
      </c>
      <c r="BL361" t="s">
        <v>6311</v>
      </c>
      <c r="BM361" t="s">
        <v>6452</v>
      </c>
      <c r="BN361" t="s">
        <v>6626</v>
      </c>
      <c r="BO361" t="s">
        <v>6772</v>
      </c>
      <c r="BP361" t="s">
        <v>6830</v>
      </c>
      <c r="BT361" t="s">
        <v>7137</v>
      </c>
      <c r="BU361" t="s">
        <v>7205</v>
      </c>
      <c r="BV361" t="s">
        <v>7359</v>
      </c>
      <c r="BW361" t="s">
        <v>7524</v>
      </c>
      <c r="BX361" t="s">
        <v>7622</v>
      </c>
      <c r="BZ361">
        <v>0</v>
      </c>
      <c r="CA361">
        <v>1</v>
      </c>
      <c r="CB361" t="s">
        <v>7697</v>
      </c>
      <c r="CC361" t="s">
        <v>7772</v>
      </c>
      <c r="CD361" t="s">
        <v>7850</v>
      </c>
      <c r="CE361" t="s">
        <v>8125</v>
      </c>
      <c r="CF361" s="144">
        <v>43895.714965277781</v>
      </c>
      <c r="CG361" s="144">
        <v>43895.720335648148</v>
      </c>
      <c r="CH361" t="s">
        <v>8476</v>
      </c>
    </row>
    <row r="362" spans="1:86" hidden="1" x14ac:dyDescent="0.35">
      <c r="A362" t="s">
        <v>893</v>
      </c>
      <c r="B362">
        <v>1</v>
      </c>
      <c r="C362">
        <v>1</v>
      </c>
      <c r="D362" t="s">
        <v>1128</v>
      </c>
      <c r="E362" t="s">
        <v>1328</v>
      </c>
      <c r="F362">
        <v>8</v>
      </c>
      <c r="H362" t="s">
        <v>1461</v>
      </c>
      <c r="I362" t="s">
        <v>1680</v>
      </c>
      <c r="K362">
        <v>6</v>
      </c>
      <c r="M362" t="s">
        <v>1991</v>
      </c>
      <c r="N362">
        <v>7</v>
      </c>
      <c r="Q362" t="s">
        <v>2353</v>
      </c>
      <c r="R362">
        <v>7</v>
      </c>
      <c r="U362" t="s">
        <v>2692</v>
      </c>
      <c r="W362">
        <v>7</v>
      </c>
      <c r="Y362" t="s">
        <v>3002</v>
      </c>
      <c r="AC362" t="s">
        <v>3283</v>
      </c>
      <c r="AE362">
        <v>7</v>
      </c>
      <c r="AG362" t="s">
        <v>3545</v>
      </c>
      <c r="AK362" t="s">
        <v>3786</v>
      </c>
      <c r="AO362" t="s">
        <v>4071</v>
      </c>
      <c r="AS362" t="s">
        <v>4336</v>
      </c>
      <c r="AW362" t="s">
        <v>4581</v>
      </c>
      <c r="BA362" t="s">
        <v>4832</v>
      </c>
      <c r="BE362" t="s">
        <v>4949</v>
      </c>
      <c r="BG362" t="s">
        <v>5071</v>
      </c>
      <c r="BH362" t="s">
        <v>5346</v>
      </c>
      <c r="BI362" t="s">
        <v>5574</v>
      </c>
      <c r="BJ362" t="s">
        <v>5886</v>
      </c>
      <c r="BK362" t="s">
        <v>6130</v>
      </c>
      <c r="BL362" t="s">
        <v>6312</v>
      </c>
      <c r="BM362" t="s">
        <v>6453</v>
      </c>
      <c r="BN362" t="s">
        <v>6627</v>
      </c>
      <c r="BO362" t="s">
        <v>6772</v>
      </c>
      <c r="BP362" t="s">
        <v>6830</v>
      </c>
      <c r="BT362" t="s">
        <v>7137</v>
      </c>
      <c r="BU362" t="s">
        <v>7205</v>
      </c>
      <c r="BV362" t="s">
        <v>7360</v>
      </c>
      <c r="BW362" t="s">
        <v>7524</v>
      </c>
      <c r="BX362" t="s">
        <v>7622</v>
      </c>
      <c r="BZ362">
        <v>0</v>
      </c>
      <c r="CA362">
        <v>1</v>
      </c>
      <c r="CB362" t="s">
        <v>7698</v>
      </c>
      <c r="CC362" t="s">
        <v>7772</v>
      </c>
      <c r="CD362" t="s">
        <v>7851</v>
      </c>
      <c r="CE362" t="s">
        <v>8125</v>
      </c>
      <c r="CF362" s="144">
        <v>43895.464062500003</v>
      </c>
      <c r="CG362" s="144">
        <v>43895.4687962963</v>
      </c>
      <c r="CH362" t="s">
        <v>8477</v>
      </c>
    </row>
    <row r="363" spans="1:86" hidden="1" x14ac:dyDescent="0.35">
      <c r="A363" t="s">
        <v>894</v>
      </c>
      <c r="B363">
        <v>1</v>
      </c>
      <c r="C363">
        <v>1</v>
      </c>
      <c r="D363" t="s">
        <v>1128</v>
      </c>
      <c r="E363" t="s">
        <v>1328</v>
      </c>
      <c r="F363">
        <v>8</v>
      </c>
      <c r="I363" t="s">
        <v>1681</v>
      </c>
      <c r="M363" t="s">
        <v>1992</v>
      </c>
      <c r="Q363" t="s">
        <v>2354</v>
      </c>
      <c r="U363" t="s">
        <v>2693</v>
      </c>
      <c r="Y363" t="s">
        <v>3002</v>
      </c>
      <c r="AC363" t="s">
        <v>3284</v>
      </c>
      <c r="AG363" t="s">
        <v>3545</v>
      </c>
      <c r="AK363" t="s">
        <v>3786</v>
      </c>
      <c r="AO363" t="s">
        <v>4071</v>
      </c>
      <c r="AS363" t="s">
        <v>4336</v>
      </c>
      <c r="AW363" t="s">
        <v>4581</v>
      </c>
      <c r="BA363" t="s">
        <v>4832</v>
      </c>
      <c r="BE363" t="s">
        <v>4949</v>
      </c>
      <c r="BG363" t="s">
        <v>5072</v>
      </c>
      <c r="BH363" t="s">
        <v>5347</v>
      </c>
      <c r="BI363" t="s">
        <v>5575</v>
      </c>
      <c r="BJ363" t="s">
        <v>5887</v>
      </c>
      <c r="BK363" t="s">
        <v>6130</v>
      </c>
      <c r="BL363" t="s">
        <v>6313</v>
      </c>
      <c r="BM363" t="s">
        <v>6454</v>
      </c>
      <c r="BN363" t="s">
        <v>6627</v>
      </c>
      <c r="BO363" t="s">
        <v>6772</v>
      </c>
      <c r="BP363" t="s">
        <v>6830</v>
      </c>
      <c r="BT363" t="s">
        <v>7138</v>
      </c>
      <c r="BU363" t="s">
        <v>7205</v>
      </c>
      <c r="BV363" t="s">
        <v>7361</v>
      </c>
      <c r="BW363" t="s">
        <v>7524</v>
      </c>
      <c r="BX363" t="s">
        <v>7622</v>
      </c>
      <c r="BZ363">
        <v>0</v>
      </c>
      <c r="CA363">
        <v>0</v>
      </c>
      <c r="CE363" t="s">
        <v>8125</v>
      </c>
      <c r="CF363" s="144">
        <v>43895.425370370373</v>
      </c>
      <c r="CG363" s="144">
        <v>43895.433483796296</v>
      </c>
      <c r="CH363" s="24" t="s">
        <v>8478</v>
      </c>
    </row>
    <row r="364" spans="1:86" x14ac:dyDescent="0.35">
      <c r="A364" t="s">
        <v>895</v>
      </c>
      <c r="B364">
        <v>1</v>
      </c>
      <c r="C364">
        <v>1</v>
      </c>
      <c r="D364" t="s">
        <v>1128</v>
      </c>
      <c r="E364" t="s">
        <v>1329</v>
      </c>
      <c r="I364" t="s">
        <v>1681</v>
      </c>
      <c r="M364" t="s">
        <v>1992</v>
      </c>
      <c r="Q364" t="s">
        <v>2354</v>
      </c>
      <c r="U364" t="s">
        <v>2693</v>
      </c>
      <c r="Y364" t="s">
        <v>3002</v>
      </c>
      <c r="AC364" t="s">
        <v>3284</v>
      </c>
      <c r="AG364" t="s">
        <v>3545</v>
      </c>
      <c r="AK364" t="s">
        <v>3786</v>
      </c>
      <c r="AO364" t="s">
        <v>4071</v>
      </c>
      <c r="AS364" t="s">
        <v>4336</v>
      </c>
      <c r="AW364" t="s">
        <v>4581</v>
      </c>
      <c r="BA364" t="s">
        <v>4832</v>
      </c>
      <c r="BE364" t="s">
        <v>4949</v>
      </c>
      <c r="BG364" t="s">
        <v>5072</v>
      </c>
      <c r="BH364" t="s">
        <v>5348</v>
      </c>
      <c r="BI364" t="s">
        <v>5576</v>
      </c>
      <c r="BJ364" t="s">
        <v>5887</v>
      </c>
      <c r="BK364" t="s">
        <v>6130</v>
      </c>
      <c r="BL364" t="s">
        <v>6314</v>
      </c>
      <c r="BM364" t="s">
        <v>6455</v>
      </c>
      <c r="BN364" t="s">
        <v>6627</v>
      </c>
      <c r="BO364" t="s">
        <v>6772</v>
      </c>
      <c r="BP364" t="s">
        <v>6830</v>
      </c>
      <c r="BT364" t="s">
        <v>7139</v>
      </c>
      <c r="BU364" t="s">
        <v>7205</v>
      </c>
      <c r="BV364" t="s">
        <v>7362</v>
      </c>
      <c r="BW364" t="s">
        <v>7525</v>
      </c>
      <c r="BX364" t="s">
        <v>7622</v>
      </c>
      <c r="BZ364">
        <v>0</v>
      </c>
      <c r="CA364">
        <v>0</v>
      </c>
      <c r="CE364" t="s">
        <v>8125</v>
      </c>
      <c r="CF364" s="144">
        <v>43895.423715277779</v>
      </c>
      <c r="CG364" s="144">
        <v>43895.427581018521</v>
      </c>
      <c r="CH364" t="s">
        <v>8479</v>
      </c>
    </row>
    <row r="365" spans="1:86" x14ac:dyDescent="0.35">
      <c r="A365" t="s">
        <v>896</v>
      </c>
      <c r="B365">
        <v>1</v>
      </c>
      <c r="C365">
        <v>1</v>
      </c>
      <c r="D365" t="s">
        <v>1129</v>
      </c>
      <c r="E365" t="s">
        <v>1330</v>
      </c>
      <c r="F365">
        <v>8</v>
      </c>
      <c r="I365" t="s">
        <v>1682</v>
      </c>
      <c r="K365">
        <v>8</v>
      </c>
      <c r="M365" t="s">
        <v>1992</v>
      </c>
      <c r="Q365" t="s">
        <v>2354</v>
      </c>
      <c r="U365" t="s">
        <v>2694</v>
      </c>
      <c r="Y365" t="s">
        <v>3002</v>
      </c>
      <c r="AC365" t="s">
        <v>3285</v>
      </c>
      <c r="AE365">
        <v>8</v>
      </c>
      <c r="AG365" t="s">
        <v>3545</v>
      </c>
      <c r="AK365" t="s">
        <v>3786</v>
      </c>
      <c r="AO365" t="s">
        <v>4072</v>
      </c>
      <c r="AQ365">
        <v>8</v>
      </c>
      <c r="AS365" t="s">
        <v>4337</v>
      </c>
      <c r="AT365">
        <v>8</v>
      </c>
      <c r="AW365" t="s">
        <v>4582</v>
      </c>
      <c r="AY365">
        <v>8</v>
      </c>
      <c r="BA365" t="s">
        <v>4833</v>
      </c>
      <c r="BC365">
        <v>8</v>
      </c>
      <c r="BE365" t="s">
        <v>4949</v>
      </c>
      <c r="BG365" t="s">
        <v>5072</v>
      </c>
      <c r="BH365" t="s">
        <v>5349</v>
      </c>
      <c r="BI365" t="s">
        <v>5577</v>
      </c>
      <c r="BJ365" t="s">
        <v>5888</v>
      </c>
      <c r="BK365" t="s">
        <v>6130</v>
      </c>
      <c r="BL365" t="s">
        <v>6315</v>
      </c>
      <c r="BM365" t="s">
        <v>6456</v>
      </c>
      <c r="BN365" t="s">
        <v>6627</v>
      </c>
      <c r="BO365" t="s">
        <v>6773</v>
      </c>
      <c r="BP365" t="s">
        <v>6830</v>
      </c>
      <c r="BT365" t="s">
        <v>7140</v>
      </c>
      <c r="BU365" t="s">
        <v>7205</v>
      </c>
      <c r="BV365" t="s">
        <v>7362</v>
      </c>
      <c r="BW365" t="s">
        <v>7525</v>
      </c>
      <c r="BX365" t="s">
        <v>7622</v>
      </c>
      <c r="BZ365">
        <v>0</v>
      </c>
      <c r="CA365">
        <v>1</v>
      </c>
      <c r="CB365" t="s">
        <v>7698</v>
      </c>
      <c r="CC365" t="s">
        <v>7772</v>
      </c>
      <c r="CD365" t="s">
        <v>7851</v>
      </c>
      <c r="CE365" t="s">
        <v>8125</v>
      </c>
      <c r="CF365" s="144">
        <v>43895.373784722222</v>
      </c>
      <c r="CG365" s="144">
        <v>43895.379513888889</v>
      </c>
      <c r="CH365" t="s">
        <v>8480</v>
      </c>
    </row>
    <row r="366" spans="1:86" hidden="1" x14ac:dyDescent="0.35">
      <c r="A366" t="s">
        <v>897</v>
      </c>
      <c r="B366">
        <v>1</v>
      </c>
      <c r="C366">
        <v>1</v>
      </c>
      <c r="D366" t="s">
        <v>1130</v>
      </c>
      <c r="E366" t="s">
        <v>1330</v>
      </c>
      <c r="F366">
        <v>6</v>
      </c>
      <c r="H366" t="s">
        <v>1462</v>
      </c>
      <c r="I366" t="s">
        <v>1683</v>
      </c>
      <c r="J366">
        <v>7</v>
      </c>
      <c r="L366" t="s">
        <v>1802</v>
      </c>
      <c r="M366" t="s">
        <v>1993</v>
      </c>
      <c r="N366">
        <v>7</v>
      </c>
      <c r="P366" t="s">
        <v>2106</v>
      </c>
      <c r="Q366" t="s">
        <v>2355</v>
      </c>
      <c r="S366">
        <v>5</v>
      </c>
      <c r="T366" t="s">
        <v>2467</v>
      </c>
      <c r="U366" t="s">
        <v>2695</v>
      </c>
      <c r="W366">
        <v>8</v>
      </c>
      <c r="X366" t="s">
        <v>2785</v>
      </c>
      <c r="Y366" t="s">
        <v>3003</v>
      </c>
      <c r="AA366">
        <v>8</v>
      </c>
      <c r="AB366" t="s">
        <v>3089</v>
      </c>
      <c r="AC366" t="s">
        <v>3286</v>
      </c>
      <c r="AD366">
        <v>8</v>
      </c>
      <c r="AF366" t="s">
        <v>3380</v>
      </c>
      <c r="AG366" t="s">
        <v>3546</v>
      </c>
      <c r="AH366">
        <v>7</v>
      </c>
      <c r="AJ366" t="s">
        <v>3597</v>
      </c>
      <c r="AK366" t="s">
        <v>3787</v>
      </c>
      <c r="AM366">
        <v>8</v>
      </c>
      <c r="AN366" t="s">
        <v>3845</v>
      </c>
      <c r="AO366" t="s">
        <v>4072</v>
      </c>
      <c r="AQ366">
        <v>8</v>
      </c>
      <c r="AR366" t="s">
        <v>4155</v>
      </c>
      <c r="AS366" t="s">
        <v>4337</v>
      </c>
      <c r="AT366">
        <v>8</v>
      </c>
      <c r="AW366" t="s">
        <v>4583</v>
      </c>
      <c r="AX366">
        <v>8</v>
      </c>
      <c r="AZ366" t="s">
        <v>4637</v>
      </c>
      <c r="BA366" t="s">
        <v>4834</v>
      </c>
      <c r="BB366">
        <v>8</v>
      </c>
      <c r="BD366" t="s">
        <v>4895</v>
      </c>
      <c r="BE366" t="s">
        <v>4949</v>
      </c>
      <c r="BG366" t="s">
        <v>5072</v>
      </c>
      <c r="BH366" t="s">
        <v>5349</v>
      </c>
      <c r="BI366" t="s">
        <v>5578</v>
      </c>
      <c r="BJ366" t="s">
        <v>5889</v>
      </c>
      <c r="BK366" t="s">
        <v>6130</v>
      </c>
      <c r="BL366" t="s">
        <v>6315</v>
      </c>
      <c r="BM366" t="s">
        <v>6457</v>
      </c>
      <c r="BN366" t="s">
        <v>6627</v>
      </c>
      <c r="BO366" t="s">
        <v>6774</v>
      </c>
      <c r="BP366" t="s">
        <v>6830</v>
      </c>
      <c r="BT366" t="s">
        <v>7140</v>
      </c>
      <c r="BU366" t="s">
        <v>7205</v>
      </c>
      <c r="BV366" t="s">
        <v>7362</v>
      </c>
      <c r="BW366" t="s">
        <v>7526</v>
      </c>
      <c r="BX366" t="s">
        <v>7622</v>
      </c>
      <c r="BZ366">
        <v>0</v>
      </c>
      <c r="CA366">
        <v>0</v>
      </c>
      <c r="CE366" t="s">
        <v>8125</v>
      </c>
      <c r="CF366" s="144">
        <v>43894.676249999997</v>
      </c>
      <c r="CG366" s="144">
        <v>43894.697604166664</v>
      </c>
      <c r="CH366" t="s">
        <v>8481</v>
      </c>
    </row>
    <row r="367" spans="1:86" hidden="1" x14ac:dyDescent="0.35">
      <c r="A367" t="s">
        <v>898</v>
      </c>
      <c r="B367">
        <v>1</v>
      </c>
      <c r="C367">
        <v>1</v>
      </c>
      <c r="D367" t="s">
        <v>1130</v>
      </c>
      <c r="E367" t="s">
        <v>1331</v>
      </c>
      <c r="I367" t="s">
        <v>1684</v>
      </c>
      <c r="M367" t="s">
        <v>1994</v>
      </c>
      <c r="Q367" t="s">
        <v>2356</v>
      </c>
      <c r="U367" t="s">
        <v>2696</v>
      </c>
      <c r="Y367" t="s">
        <v>3004</v>
      </c>
      <c r="AC367" t="s">
        <v>3287</v>
      </c>
      <c r="AG367" t="s">
        <v>3547</v>
      </c>
      <c r="AK367" t="s">
        <v>3788</v>
      </c>
      <c r="AO367" t="s">
        <v>4072</v>
      </c>
      <c r="AQ367">
        <v>7</v>
      </c>
      <c r="AR367" t="s">
        <v>4156</v>
      </c>
      <c r="AS367" t="s">
        <v>4338</v>
      </c>
      <c r="AW367" t="s">
        <v>4584</v>
      </c>
      <c r="BA367" t="s">
        <v>4835</v>
      </c>
      <c r="BE367" t="s">
        <v>4949</v>
      </c>
      <c r="BG367" t="s">
        <v>5072</v>
      </c>
      <c r="BH367" t="s">
        <v>5350</v>
      </c>
      <c r="BI367" t="s">
        <v>5578</v>
      </c>
      <c r="BJ367" t="s">
        <v>5890</v>
      </c>
      <c r="BK367" t="s">
        <v>6130</v>
      </c>
      <c r="BL367" t="s">
        <v>6316</v>
      </c>
      <c r="BM367" t="s">
        <v>6458</v>
      </c>
      <c r="BN367" t="s">
        <v>6627</v>
      </c>
      <c r="BO367" t="s">
        <v>6774</v>
      </c>
      <c r="BP367" t="s">
        <v>6830</v>
      </c>
      <c r="BT367" t="s">
        <v>7141</v>
      </c>
      <c r="BU367" t="s">
        <v>7205</v>
      </c>
      <c r="BV367" t="s">
        <v>7363</v>
      </c>
      <c r="BW367" t="s">
        <v>7526</v>
      </c>
      <c r="BX367" t="s">
        <v>7622</v>
      </c>
      <c r="BZ367">
        <v>0</v>
      </c>
      <c r="CA367">
        <v>0</v>
      </c>
      <c r="CE367" t="s">
        <v>8125</v>
      </c>
      <c r="CF367" s="144">
        <v>43894.631967592592</v>
      </c>
      <c r="CG367" s="144">
        <v>43894.643819444442</v>
      </c>
      <c r="CH367" t="s">
        <v>8482</v>
      </c>
    </row>
    <row r="368" spans="1:86" hidden="1" x14ac:dyDescent="0.35">
      <c r="A368" t="s">
        <v>899</v>
      </c>
      <c r="B368">
        <v>1</v>
      </c>
      <c r="C368">
        <v>1</v>
      </c>
      <c r="D368" t="s">
        <v>1131</v>
      </c>
      <c r="E368" t="s">
        <v>1331</v>
      </c>
      <c r="I368" t="s">
        <v>1684</v>
      </c>
      <c r="M368" t="s">
        <v>1995</v>
      </c>
      <c r="N368">
        <v>7</v>
      </c>
      <c r="Q368" t="s">
        <v>2356</v>
      </c>
      <c r="U368" t="s">
        <v>2697</v>
      </c>
      <c r="V368">
        <v>6</v>
      </c>
      <c r="Y368" t="s">
        <v>3004</v>
      </c>
      <c r="AC368" t="s">
        <v>3287</v>
      </c>
      <c r="AG368" t="s">
        <v>3547</v>
      </c>
      <c r="AK368" t="s">
        <v>3788</v>
      </c>
      <c r="AO368" t="s">
        <v>4073</v>
      </c>
      <c r="AS368" t="s">
        <v>4338</v>
      </c>
      <c r="AW368" t="s">
        <v>4584</v>
      </c>
      <c r="BA368" t="s">
        <v>4835</v>
      </c>
      <c r="BE368" t="s">
        <v>4949</v>
      </c>
      <c r="BG368" t="s">
        <v>5072</v>
      </c>
      <c r="BH368" t="s">
        <v>5351</v>
      </c>
      <c r="BI368" t="s">
        <v>5578</v>
      </c>
      <c r="BJ368" t="s">
        <v>5891</v>
      </c>
      <c r="BK368" t="s">
        <v>6131</v>
      </c>
      <c r="BL368" t="s">
        <v>6316</v>
      </c>
      <c r="BM368" t="s">
        <v>6458</v>
      </c>
      <c r="BN368" t="s">
        <v>6627</v>
      </c>
      <c r="BO368" t="s">
        <v>6774</v>
      </c>
      <c r="BP368" t="s">
        <v>6830</v>
      </c>
      <c r="BT368" t="s">
        <v>7141</v>
      </c>
      <c r="BU368" t="s">
        <v>7205</v>
      </c>
      <c r="BV368" t="s">
        <v>7364</v>
      </c>
      <c r="BW368" t="s">
        <v>7526</v>
      </c>
      <c r="BX368" t="s">
        <v>7622</v>
      </c>
      <c r="BZ368">
        <v>0</v>
      </c>
      <c r="CA368">
        <v>1</v>
      </c>
      <c r="CB368" t="s">
        <v>7699</v>
      </c>
      <c r="CC368" t="s">
        <v>7773</v>
      </c>
      <c r="CD368" t="s">
        <v>7852</v>
      </c>
      <c r="CE368" t="s">
        <v>8125</v>
      </c>
      <c r="CF368" s="144">
        <v>43894.60125</v>
      </c>
      <c r="CG368" s="144">
        <v>43894.618009259262</v>
      </c>
      <c r="CH368" t="s">
        <v>8483</v>
      </c>
    </row>
    <row r="369" spans="1:86" hidden="1" x14ac:dyDescent="0.35">
      <c r="A369" t="s">
        <v>900</v>
      </c>
      <c r="B369">
        <v>1</v>
      </c>
      <c r="C369">
        <v>1</v>
      </c>
      <c r="D369" t="s">
        <v>1131</v>
      </c>
      <c r="E369" t="s">
        <v>1331</v>
      </c>
      <c r="I369" t="s">
        <v>1685</v>
      </c>
      <c r="J369">
        <v>6</v>
      </c>
      <c r="L369" t="s">
        <v>1803</v>
      </c>
      <c r="M369" t="s">
        <v>1995</v>
      </c>
      <c r="N369">
        <v>8</v>
      </c>
      <c r="P369" t="s">
        <v>2107</v>
      </c>
      <c r="Q369" t="s">
        <v>2356</v>
      </c>
      <c r="U369" t="s">
        <v>2697</v>
      </c>
      <c r="V369">
        <v>7</v>
      </c>
      <c r="X369" t="s">
        <v>2786</v>
      </c>
      <c r="Y369" t="s">
        <v>3005</v>
      </c>
      <c r="Z369">
        <v>7</v>
      </c>
      <c r="AB369" t="s">
        <v>3090</v>
      </c>
      <c r="AC369" t="s">
        <v>3287</v>
      </c>
      <c r="AG369" t="s">
        <v>3547</v>
      </c>
      <c r="AK369" t="s">
        <v>3788</v>
      </c>
      <c r="AO369" t="s">
        <v>4073</v>
      </c>
      <c r="AS369" t="s">
        <v>4339</v>
      </c>
      <c r="AT369">
        <v>7</v>
      </c>
      <c r="AW369" t="s">
        <v>4584</v>
      </c>
      <c r="BA369" t="s">
        <v>4835</v>
      </c>
      <c r="BE369" t="s">
        <v>4949</v>
      </c>
      <c r="BG369" t="s">
        <v>5072</v>
      </c>
      <c r="BH369" t="s">
        <v>5352</v>
      </c>
      <c r="BI369" t="s">
        <v>5578</v>
      </c>
      <c r="BJ369" t="s">
        <v>5892</v>
      </c>
      <c r="BK369" t="s">
        <v>6132</v>
      </c>
      <c r="BL369" t="s">
        <v>6317</v>
      </c>
      <c r="BM369" t="s">
        <v>6458</v>
      </c>
      <c r="BN369" t="s">
        <v>6627</v>
      </c>
      <c r="BO369" t="s">
        <v>6774</v>
      </c>
      <c r="BP369" t="s">
        <v>6830</v>
      </c>
      <c r="BT369" t="s">
        <v>7142</v>
      </c>
      <c r="BU369" t="s">
        <v>7205</v>
      </c>
      <c r="BV369" t="s">
        <v>7364</v>
      </c>
      <c r="BW369" t="s">
        <v>7526</v>
      </c>
      <c r="BX369" t="s">
        <v>7622</v>
      </c>
      <c r="BZ369">
        <v>0</v>
      </c>
      <c r="CA369">
        <v>1</v>
      </c>
      <c r="CB369" t="s">
        <v>7700</v>
      </c>
      <c r="CC369" t="s">
        <v>7774</v>
      </c>
      <c r="CD369" t="s">
        <v>7853</v>
      </c>
      <c r="CE369" t="s">
        <v>8126</v>
      </c>
      <c r="CF369" s="144">
        <v>43894.601539351854</v>
      </c>
      <c r="CG369" s="144">
        <v>43894.611400462964</v>
      </c>
      <c r="CH369" t="s">
        <v>8484</v>
      </c>
    </row>
    <row r="370" spans="1:86" x14ac:dyDescent="0.35">
      <c r="A370" t="s">
        <v>901</v>
      </c>
      <c r="B370">
        <v>1</v>
      </c>
      <c r="C370">
        <v>1</v>
      </c>
      <c r="D370" t="s">
        <v>1132</v>
      </c>
      <c r="E370" t="s">
        <v>1332</v>
      </c>
      <c r="F370">
        <v>3</v>
      </c>
      <c r="I370" t="s">
        <v>1686</v>
      </c>
      <c r="M370" t="s">
        <v>1996</v>
      </c>
      <c r="Q370" t="s">
        <v>2357</v>
      </c>
      <c r="S370">
        <v>5</v>
      </c>
      <c r="U370" t="s">
        <v>2698</v>
      </c>
      <c r="W370">
        <v>3</v>
      </c>
      <c r="Y370" t="s">
        <v>3005</v>
      </c>
      <c r="Z370">
        <v>5</v>
      </c>
      <c r="AC370" t="s">
        <v>3288</v>
      </c>
      <c r="AD370">
        <v>2</v>
      </c>
      <c r="AG370" t="s">
        <v>3547</v>
      </c>
      <c r="AK370" t="s">
        <v>3788</v>
      </c>
      <c r="AO370" t="s">
        <v>4073</v>
      </c>
      <c r="AS370" t="s">
        <v>4339</v>
      </c>
      <c r="AT370">
        <v>6</v>
      </c>
      <c r="AW370" t="s">
        <v>4584</v>
      </c>
      <c r="BA370" t="s">
        <v>4835</v>
      </c>
      <c r="BE370" t="s">
        <v>4949</v>
      </c>
      <c r="BG370" t="s">
        <v>5072</v>
      </c>
      <c r="BH370" t="s">
        <v>5352</v>
      </c>
      <c r="BI370" t="s">
        <v>5578</v>
      </c>
      <c r="BJ370" t="s">
        <v>5893</v>
      </c>
      <c r="BK370" t="s">
        <v>6132</v>
      </c>
      <c r="BL370" t="s">
        <v>6318</v>
      </c>
      <c r="BM370" t="s">
        <v>6458</v>
      </c>
      <c r="BN370" t="s">
        <v>6627</v>
      </c>
      <c r="BO370" t="s">
        <v>6774</v>
      </c>
      <c r="BP370" t="s">
        <v>6830</v>
      </c>
      <c r="BT370" t="s">
        <v>7142</v>
      </c>
      <c r="BU370" t="s">
        <v>7205</v>
      </c>
      <c r="BV370" t="s">
        <v>7365</v>
      </c>
      <c r="BW370" t="s">
        <v>7527</v>
      </c>
      <c r="BX370" t="s">
        <v>7623</v>
      </c>
      <c r="BZ370">
        <v>0</v>
      </c>
      <c r="CA370">
        <v>0</v>
      </c>
      <c r="CE370" t="s">
        <v>8126</v>
      </c>
      <c r="CF370" s="144">
        <v>43894.60429398148</v>
      </c>
      <c r="CG370" s="144">
        <v>43894.608807870369</v>
      </c>
      <c r="CH370" t="s">
        <v>8485</v>
      </c>
    </row>
    <row r="371" spans="1:86" hidden="1" x14ac:dyDescent="0.35">
      <c r="A371" t="s">
        <v>902</v>
      </c>
      <c r="B371">
        <v>1</v>
      </c>
      <c r="C371">
        <v>1</v>
      </c>
      <c r="D371" t="s">
        <v>1133</v>
      </c>
      <c r="E371" t="s">
        <v>1332</v>
      </c>
      <c r="F371">
        <v>6</v>
      </c>
      <c r="I371" t="s">
        <v>1687</v>
      </c>
      <c r="J371">
        <v>6</v>
      </c>
      <c r="M371" t="s">
        <v>1997</v>
      </c>
      <c r="O371">
        <v>3</v>
      </c>
      <c r="Q371" t="s">
        <v>2357</v>
      </c>
      <c r="S371">
        <v>4</v>
      </c>
      <c r="U371" t="s">
        <v>2698</v>
      </c>
      <c r="W371">
        <v>5</v>
      </c>
      <c r="Y371" t="s">
        <v>3005</v>
      </c>
      <c r="Z371">
        <v>3</v>
      </c>
      <c r="AC371" t="s">
        <v>3288</v>
      </c>
      <c r="AD371">
        <v>4</v>
      </c>
      <c r="AG371" t="s">
        <v>3548</v>
      </c>
      <c r="AK371" t="s">
        <v>3789</v>
      </c>
      <c r="AM371">
        <v>3</v>
      </c>
      <c r="AO371" t="s">
        <v>4073</v>
      </c>
      <c r="AS371" t="s">
        <v>4340</v>
      </c>
      <c r="AW371" t="s">
        <v>4585</v>
      </c>
      <c r="AY371">
        <v>3</v>
      </c>
      <c r="BA371" t="s">
        <v>4835</v>
      </c>
      <c r="BE371" t="s">
        <v>4949</v>
      </c>
      <c r="BG371" t="s">
        <v>5072</v>
      </c>
      <c r="BH371" t="s">
        <v>5353</v>
      </c>
      <c r="BI371" t="s">
        <v>5579</v>
      </c>
      <c r="BJ371" t="s">
        <v>5894</v>
      </c>
      <c r="BK371" t="s">
        <v>6133</v>
      </c>
      <c r="BL371" t="s">
        <v>6319</v>
      </c>
      <c r="BM371" t="s">
        <v>6459</v>
      </c>
      <c r="BN371" t="s">
        <v>6627</v>
      </c>
      <c r="BO371" t="s">
        <v>6774</v>
      </c>
      <c r="BP371" t="s">
        <v>6830</v>
      </c>
      <c r="BT371" t="s">
        <v>7143</v>
      </c>
      <c r="BU371" t="s">
        <v>7205</v>
      </c>
      <c r="BV371" t="s">
        <v>7365</v>
      </c>
      <c r="BW371" t="s">
        <v>7528</v>
      </c>
      <c r="BX371" t="s">
        <v>7624</v>
      </c>
      <c r="BZ371">
        <v>0</v>
      </c>
      <c r="CA371">
        <v>0</v>
      </c>
      <c r="CE371" t="s">
        <v>8127</v>
      </c>
      <c r="CF371" s="144">
        <v>43894.577326388891</v>
      </c>
      <c r="CG371" s="144">
        <v>43894.581747685188</v>
      </c>
      <c r="CH371" t="s">
        <v>8486</v>
      </c>
    </row>
    <row r="372" spans="1:86" hidden="1" x14ac:dyDescent="0.35">
      <c r="A372" t="s">
        <v>903</v>
      </c>
      <c r="B372">
        <v>1</v>
      </c>
      <c r="C372">
        <v>1</v>
      </c>
      <c r="D372" t="s">
        <v>1134</v>
      </c>
      <c r="E372" t="s">
        <v>1332</v>
      </c>
      <c r="F372">
        <v>6</v>
      </c>
      <c r="I372" t="s">
        <v>1687</v>
      </c>
      <c r="J372">
        <v>4</v>
      </c>
      <c r="M372" t="s">
        <v>1997</v>
      </c>
      <c r="O372">
        <v>2</v>
      </c>
      <c r="Q372" t="s">
        <v>2357</v>
      </c>
      <c r="S372">
        <v>5</v>
      </c>
      <c r="U372" t="s">
        <v>2699</v>
      </c>
      <c r="V372">
        <v>4</v>
      </c>
      <c r="Y372" t="s">
        <v>3005</v>
      </c>
      <c r="Z372">
        <v>4</v>
      </c>
      <c r="AC372" t="s">
        <v>3289</v>
      </c>
      <c r="AE372">
        <v>4</v>
      </c>
      <c r="AG372" t="s">
        <v>3549</v>
      </c>
      <c r="AI372">
        <v>4</v>
      </c>
      <c r="AK372" t="s">
        <v>3790</v>
      </c>
      <c r="AL372">
        <v>4</v>
      </c>
      <c r="AO372" t="s">
        <v>4074</v>
      </c>
      <c r="AP372">
        <v>4</v>
      </c>
      <c r="AS372" t="s">
        <v>4341</v>
      </c>
      <c r="AT372">
        <v>4</v>
      </c>
      <c r="AW372" t="s">
        <v>4585</v>
      </c>
      <c r="AY372">
        <v>3</v>
      </c>
      <c r="BA372" t="s">
        <v>4836</v>
      </c>
      <c r="BB372">
        <v>3</v>
      </c>
      <c r="BE372" t="s">
        <v>4949</v>
      </c>
      <c r="BG372" t="s">
        <v>5072</v>
      </c>
      <c r="BH372" t="s">
        <v>5354</v>
      </c>
      <c r="BI372" t="s">
        <v>5580</v>
      </c>
      <c r="BJ372" t="s">
        <v>5894</v>
      </c>
      <c r="BK372" t="s">
        <v>6133</v>
      </c>
      <c r="BL372" t="s">
        <v>6320</v>
      </c>
      <c r="BM372" t="s">
        <v>6460</v>
      </c>
      <c r="BN372" t="s">
        <v>6628</v>
      </c>
      <c r="BO372" t="s">
        <v>6774</v>
      </c>
      <c r="BP372" t="s">
        <v>6830</v>
      </c>
      <c r="BT372" t="s">
        <v>7144</v>
      </c>
      <c r="BU372" t="s">
        <v>7205</v>
      </c>
      <c r="BV372" t="s">
        <v>7365</v>
      </c>
      <c r="BW372" t="s">
        <v>7528</v>
      </c>
      <c r="BX372" t="s">
        <v>7624</v>
      </c>
      <c r="BZ372">
        <v>0</v>
      </c>
      <c r="CA372">
        <v>0</v>
      </c>
      <c r="CE372" t="s">
        <v>8128</v>
      </c>
      <c r="CF372" s="144">
        <v>43893.857060185182</v>
      </c>
      <c r="CG372" s="144">
        <v>43893.862638888888</v>
      </c>
      <c r="CH372" t="s">
        <v>8487</v>
      </c>
    </row>
    <row r="373" spans="1:86" hidden="1" x14ac:dyDescent="0.35">
      <c r="A373" t="s">
        <v>904</v>
      </c>
      <c r="B373">
        <v>1</v>
      </c>
      <c r="C373">
        <v>1</v>
      </c>
      <c r="D373" t="s">
        <v>1134</v>
      </c>
      <c r="E373" t="s">
        <v>1333</v>
      </c>
      <c r="I373" t="s">
        <v>1688</v>
      </c>
      <c r="M373" t="s">
        <v>1998</v>
      </c>
      <c r="Q373" t="s">
        <v>2358</v>
      </c>
      <c r="U373" t="s">
        <v>2700</v>
      </c>
      <c r="Y373" t="s">
        <v>3006</v>
      </c>
      <c r="AC373" t="s">
        <v>3290</v>
      </c>
      <c r="AD373">
        <v>3</v>
      </c>
      <c r="AG373" t="s">
        <v>3550</v>
      </c>
      <c r="AH373">
        <v>3</v>
      </c>
      <c r="AK373" t="s">
        <v>3791</v>
      </c>
      <c r="AO373" t="s">
        <v>4075</v>
      </c>
      <c r="AS373" t="s">
        <v>4341</v>
      </c>
      <c r="AT373">
        <v>5</v>
      </c>
      <c r="AW373" t="s">
        <v>4586</v>
      </c>
      <c r="BA373" t="s">
        <v>4837</v>
      </c>
      <c r="BC373">
        <v>5</v>
      </c>
      <c r="BE373" t="s">
        <v>4949</v>
      </c>
      <c r="BG373" t="s">
        <v>5072</v>
      </c>
      <c r="BH373" t="s">
        <v>5355</v>
      </c>
      <c r="BI373" t="s">
        <v>5580</v>
      </c>
      <c r="BJ373" t="s">
        <v>5894</v>
      </c>
      <c r="BK373" t="s">
        <v>6133</v>
      </c>
      <c r="BL373" t="s">
        <v>6321</v>
      </c>
      <c r="BM373" t="s">
        <v>6461</v>
      </c>
      <c r="BN373" t="s">
        <v>6629</v>
      </c>
      <c r="BO373" t="s">
        <v>6774</v>
      </c>
      <c r="BP373" t="s">
        <v>6830</v>
      </c>
      <c r="BT373" t="s">
        <v>7145</v>
      </c>
      <c r="BU373" t="s">
        <v>7205</v>
      </c>
      <c r="BV373" t="s">
        <v>7366</v>
      </c>
      <c r="BW373" t="s">
        <v>7528</v>
      </c>
      <c r="BX373" t="s">
        <v>7624</v>
      </c>
      <c r="BZ373">
        <v>0</v>
      </c>
      <c r="CA373">
        <v>1</v>
      </c>
      <c r="CB373" t="s">
        <v>7701</v>
      </c>
      <c r="CC373" t="s">
        <v>7774</v>
      </c>
      <c r="CD373" t="s">
        <v>7854</v>
      </c>
      <c r="CE373" t="s">
        <v>8128</v>
      </c>
      <c r="CF373" s="144">
        <v>43893.838483796295</v>
      </c>
      <c r="CG373" s="144">
        <v>43893.844108796293</v>
      </c>
      <c r="CH373" t="s">
        <v>8488</v>
      </c>
    </row>
    <row r="374" spans="1:86" hidden="1" x14ac:dyDescent="0.35">
      <c r="A374" t="s">
        <v>905</v>
      </c>
      <c r="B374">
        <v>1</v>
      </c>
      <c r="C374">
        <v>1</v>
      </c>
      <c r="D374" t="s">
        <v>1134</v>
      </c>
      <c r="E374" t="s">
        <v>1333</v>
      </c>
      <c r="I374" t="s">
        <v>1688</v>
      </c>
      <c r="M374" t="s">
        <v>1998</v>
      </c>
      <c r="Q374" t="s">
        <v>2358</v>
      </c>
      <c r="U374" t="s">
        <v>2700</v>
      </c>
      <c r="Y374" t="s">
        <v>3006</v>
      </c>
      <c r="AC374" t="s">
        <v>3291</v>
      </c>
      <c r="AG374" t="s">
        <v>3551</v>
      </c>
      <c r="AK374" t="s">
        <v>3791</v>
      </c>
      <c r="AO374" t="s">
        <v>4075</v>
      </c>
      <c r="AS374" t="s">
        <v>4342</v>
      </c>
      <c r="AW374" t="s">
        <v>4586</v>
      </c>
      <c r="BA374" t="s">
        <v>4838</v>
      </c>
      <c r="BE374" t="s">
        <v>4949</v>
      </c>
      <c r="BG374" t="s">
        <v>5072</v>
      </c>
      <c r="BH374" t="s">
        <v>5356</v>
      </c>
      <c r="BI374" t="s">
        <v>5581</v>
      </c>
      <c r="BJ374" t="s">
        <v>5895</v>
      </c>
      <c r="BK374" t="s">
        <v>6133</v>
      </c>
      <c r="BL374" t="s">
        <v>6321</v>
      </c>
      <c r="BM374" t="s">
        <v>6461</v>
      </c>
      <c r="BN374" t="s">
        <v>6630</v>
      </c>
      <c r="BO374" t="s">
        <v>6775</v>
      </c>
      <c r="BP374" t="s">
        <v>6830</v>
      </c>
      <c r="BT374" t="s">
        <v>7146</v>
      </c>
      <c r="BU374" t="s">
        <v>7205</v>
      </c>
      <c r="BV374" t="s">
        <v>7367</v>
      </c>
      <c r="BW374" t="s">
        <v>7529</v>
      </c>
      <c r="BX374" t="s">
        <v>7624</v>
      </c>
      <c r="BZ374">
        <v>0</v>
      </c>
      <c r="CA374">
        <v>0</v>
      </c>
      <c r="CE374" t="s">
        <v>8129</v>
      </c>
      <c r="CF374" s="144">
        <v>43893.635682870372</v>
      </c>
      <c r="CG374" s="144">
        <v>43893.649016203701</v>
      </c>
      <c r="CH374" t="s">
        <v>8489</v>
      </c>
    </row>
    <row r="375" spans="1:86" x14ac:dyDescent="0.35">
      <c r="A375" t="s">
        <v>906</v>
      </c>
      <c r="B375">
        <v>1</v>
      </c>
      <c r="C375">
        <v>1</v>
      </c>
      <c r="D375" t="s">
        <v>1134</v>
      </c>
      <c r="E375" t="s">
        <v>1333</v>
      </c>
      <c r="I375" t="s">
        <v>1688</v>
      </c>
      <c r="M375" t="s">
        <v>1998</v>
      </c>
      <c r="Q375" t="s">
        <v>2358</v>
      </c>
      <c r="U375" t="s">
        <v>2700</v>
      </c>
      <c r="Y375" t="s">
        <v>3006</v>
      </c>
      <c r="AC375" t="s">
        <v>3291</v>
      </c>
      <c r="AG375" t="s">
        <v>3551</v>
      </c>
      <c r="AK375" t="s">
        <v>3791</v>
      </c>
      <c r="AO375" t="s">
        <v>4075</v>
      </c>
      <c r="AS375" t="s">
        <v>4342</v>
      </c>
      <c r="AW375" t="s">
        <v>4586</v>
      </c>
      <c r="BA375" t="s">
        <v>4838</v>
      </c>
      <c r="BE375" t="s">
        <v>4949</v>
      </c>
      <c r="BG375" t="s">
        <v>5072</v>
      </c>
      <c r="BH375" t="s">
        <v>5356</v>
      </c>
      <c r="BI375" t="s">
        <v>5581</v>
      </c>
      <c r="BJ375" t="s">
        <v>5895</v>
      </c>
      <c r="BK375" t="s">
        <v>6133</v>
      </c>
      <c r="BL375" t="s">
        <v>6321</v>
      </c>
      <c r="BM375" t="s">
        <v>6461</v>
      </c>
      <c r="BN375" t="s">
        <v>6631</v>
      </c>
      <c r="BO375" t="s">
        <v>6775</v>
      </c>
      <c r="BP375" t="s">
        <v>6830</v>
      </c>
      <c r="BT375" t="s">
        <v>7147</v>
      </c>
      <c r="BU375" t="s">
        <v>7205</v>
      </c>
      <c r="BV375" t="s">
        <v>7367</v>
      </c>
      <c r="BW375" t="s">
        <v>7530</v>
      </c>
      <c r="BX375" t="s">
        <v>7624</v>
      </c>
      <c r="BZ375">
        <v>0</v>
      </c>
      <c r="CA375">
        <v>0</v>
      </c>
      <c r="CE375" t="s">
        <v>8130</v>
      </c>
      <c r="CF375" s="144">
        <v>43893.451886574076</v>
      </c>
      <c r="CG375" s="144">
        <v>43893.459826388891</v>
      </c>
      <c r="CH375" t="s">
        <v>8490</v>
      </c>
    </row>
    <row r="376" spans="1:86" x14ac:dyDescent="0.35">
      <c r="A376" t="s">
        <v>907</v>
      </c>
      <c r="B376">
        <v>1</v>
      </c>
      <c r="C376">
        <v>1</v>
      </c>
      <c r="D376" t="s">
        <v>1134</v>
      </c>
      <c r="E376" t="s">
        <v>1333</v>
      </c>
      <c r="I376" t="s">
        <v>1688</v>
      </c>
      <c r="M376" t="s">
        <v>1999</v>
      </c>
      <c r="N376">
        <v>7</v>
      </c>
      <c r="P376" t="s">
        <v>2108</v>
      </c>
      <c r="Q376" t="s">
        <v>2358</v>
      </c>
      <c r="U376" t="s">
        <v>2700</v>
      </c>
      <c r="Y376" t="s">
        <v>3007</v>
      </c>
      <c r="Z376">
        <v>6</v>
      </c>
      <c r="AB376" t="s">
        <v>3091</v>
      </c>
      <c r="AC376" t="s">
        <v>3291</v>
      </c>
      <c r="AG376" t="s">
        <v>3551</v>
      </c>
      <c r="AK376" t="s">
        <v>3791</v>
      </c>
      <c r="AO376" t="s">
        <v>4075</v>
      </c>
      <c r="AS376" t="s">
        <v>4342</v>
      </c>
      <c r="AW376" t="s">
        <v>4586</v>
      </c>
      <c r="BA376" t="s">
        <v>4838</v>
      </c>
      <c r="BE376" t="s">
        <v>4949</v>
      </c>
      <c r="BG376" t="s">
        <v>5072</v>
      </c>
      <c r="BH376" t="s">
        <v>5357</v>
      </c>
      <c r="BI376" t="s">
        <v>5582</v>
      </c>
      <c r="BJ376" t="s">
        <v>5896</v>
      </c>
      <c r="BK376" t="s">
        <v>6133</v>
      </c>
      <c r="BL376" t="s">
        <v>6322</v>
      </c>
      <c r="BM376" t="s">
        <v>6462</v>
      </c>
      <c r="BN376" t="s">
        <v>6632</v>
      </c>
      <c r="BO376" t="s">
        <v>6776</v>
      </c>
      <c r="BP376" t="s">
        <v>6830</v>
      </c>
      <c r="BT376" t="s">
        <v>7147</v>
      </c>
      <c r="BU376" t="s">
        <v>7205</v>
      </c>
      <c r="BV376" t="s">
        <v>7368</v>
      </c>
      <c r="BW376" t="s">
        <v>7530</v>
      </c>
      <c r="BX376" t="s">
        <v>7624</v>
      </c>
      <c r="BZ376">
        <v>0</v>
      </c>
      <c r="CA376">
        <v>0</v>
      </c>
      <c r="CE376" t="s">
        <v>8131</v>
      </c>
      <c r="CF376" s="144">
        <v>43893.353356481479</v>
      </c>
      <c r="CG376" s="144">
        <v>43893.357372685183</v>
      </c>
      <c r="CH376" t="s">
        <v>8491</v>
      </c>
    </row>
    <row r="377" spans="1:86" hidden="1" x14ac:dyDescent="0.35">
      <c r="A377" t="s">
        <v>908</v>
      </c>
      <c r="B377">
        <v>1</v>
      </c>
      <c r="C377">
        <v>1</v>
      </c>
      <c r="D377" t="s">
        <v>1134</v>
      </c>
      <c r="E377" t="s">
        <v>1334</v>
      </c>
      <c r="F377">
        <v>6</v>
      </c>
      <c r="I377" t="s">
        <v>1689</v>
      </c>
      <c r="J377">
        <v>5</v>
      </c>
      <c r="M377" t="s">
        <v>1999</v>
      </c>
      <c r="N377">
        <v>6</v>
      </c>
      <c r="Q377" t="s">
        <v>2359</v>
      </c>
      <c r="S377">
        <v>5</v>
      </c>
      <c r="U377" t="s">
        <v>2700</v>
      </c>
      <c r="Y377" t="s">
        <v>3008</v>
      </c>
      <c r="AC377" t="s">
        <v>3292</v>
      </c>
      <c r="AD377">
        <v>7</v>
      </c>
      <c r="AG377" t="s">
        <v>3552</v>
      </c>
      <c r="AH377">
        <v>7</v>
      </c>
      <c r="AK377" t="s">
        <v>3791</v>
      </c>
      <c r="AO377" t="s">
        <v>4076</v>
      </c>
      <c r="AP377">
        <v>3</v>
      </c>
      <c r="AS377" t="s">
        <v>4343</v>
      </c>
      <c r="AT377">
        <v>6</v>
      </c>
      <c r="AW377" t="s">
        <v>4587</v>
      </c>
      <c r="AX377">
        <v>5</v>
      </c>
      <c r="BA377" t="s">
        <v>4838</v>
      </c>
      <c r="BE377" t="s">
        <v>4949</v>
      </c>
      <c r="BG377" t="s">
        <v>5072</v>
      </c>
      <c r="BH377" t="s">
        <v>5358</v>
      </c>
      <c r="BI377" t="s">
        <v>5583</v>
      </c>
      <c r="BJ377" t="s">
        <v>5897</v>
      </c>
      <c r="BK377" t="s">
        <v>6133</v>
      </c>
      <c r="BL377" t="s">
        <v>6322</v>
      </c>
      <c r="BM377" t="s">
        <v>6463</v>
      </c>
      <c r="BN377" t="s">
        <v>6633</v>
      </c>
      <c r="BO377" t="s">
        <v>6777</v>
      </c>
      <c r="BP377" t="s">
        <v>6830</v>
      </c>
      <c r="BT377" t="s">
        <v>7148</v>
      </c>
      <c r="BU377" t="s">
        <v>7205</v>
      </c>
      <c r="BV377" t="s">
        <v>7368</v>
      </c>
      <c r="BW377" t="s">
        <v>7531</v>
      </c>
      <c r="BX377" t="s">
        <v>7624</v>
      </c>
      <c r="BZ377">
        <v>0</v>
      </c>
      <c r="CA377">
        <v>0</v>
      </c>
      <c r="CE377" t="s">
        <v>8131</v>
      </c>
      <c r="CF377" s="144">
        <v>43892.353831018518</v>
      </c>
      <c r="CG377" s="144">
        <v>43892.360034722224</v>
      </c>
      <c r="CH377" t="s">
        <v>8492</v>
      </c>
    </row>
    <row r="378" spans="1:86" hidden="1" x14ac:dyDescent="0.35">
      <c r="A378" t="s">
        <v>909</v>
      </c>
      <c r="B378">
        <v>1</v>
      </c>
      <c r="C378">
        <v>1</v>
      </c>
      <c r="D378" t="s">
        <v>1135</v>
      </c>
      <c r="E378" t="s">
        <v>1335</v>
      </c>
      <c r="G378">
        <v>5</v>
      </c>
      <c r="H378" t="s">
        <v>1463</v>
      </c>
      <c r="I378" t="s">
        <v>1689</v>
      </c>
      <c r="J378">
        <v>5</v>
      </c>
      <c r="L378" t="s">
        <v>1804</v>
      </c>
      <c r="M378" t="s">
        <v>1999</v>
      </c>
      <c r="N378">
        <v>5</v>
      </c>
      <c r="P378" t="s">
        <v>2109</v>
      </c>
      <c r="Q378" t="s">
        <v>2360</v>
      </c>
      <c r="R378">
        <v>5</v>
      </c>
      <c r="T378" t="s">
        <v>2468</v>
      </c>
      <c r="U378" t="s">
        <v>2701</v>
      </c>
      <c r="V378">
        <v>5</v>
      </c>
      <c r="X378" t="s">
        <v>2787</v>
      </c>
      <c r="Y378" t="s">
        <v>3009</v>
      </c>
      <c r="Z378">
        <v>5</v>
      </c>
      <c r="AB378" t="s">
        <v>3092</v>
      </c>
      <c r="AC378" t="s">
        <v>3292</v>
      </c>
      <c r="AD378">
        <v>7</v>
      </c>
      <c r="AF378" t="s">
        <v>3381</v>
      </c>
      <c r="AG378" t="s">
        <v>3552</v>
      </c>
      <c r="AH378">
        <v>8</v>
      </c>
      <c r="AJ378" t="s">
        <v>3598</v>
      </c>
      <c r="AK378" t="s">
        <v>3792</v>
      </c>
      <c r="AM378">
        <v>4</v>
      </c>
      <c r="AN378" t="s">
        <v>3846</v>
      </c>
      <c r="AO378" t="s">
        <v>4077</v>
      </c>
      <c r="AQ378">
        <v>1</v>
      </c>
      <c r="AR378" t="s">
        <v>4157</v>
      </c>
      <c r="AS378" t="s">
        <v>4343</v>
      </c>
      <c r="AT378">
        <v>5</v>
      </c>
      <c r="AW378" t="s">
        <v>4588</v>
      </c>
      <c r="AY378">
        <v>1</v>
      </c>
      <c r="BA378" t="s">
        <v>4839</v>
      </c>
      <c r="BB378">
        <v>1</v>
      </c>
      <c r="BE378" t="s">
        <v>4949</v>
      </c>
      <c r="BG378" t="s">
        <v>5072</v>
      </c>
      <c r="BH378" t="s">
        <v>5359</v>
      </c>
      <c r="BI378" t="s">
        <v>5584</v>
      </c>
      <c r="BJ378" t="s">
        <v>5898</v>
      </c>
      <c r="BK378" t="s">
        <v>6134</v>
      </c>
      <c r="BL378" t="s">
        <v>6323</v>
      </c>
      <c r="BM378" t="s">
        <v>6464</v>
      </c>
      <c r="BN378" t="s">
        <v>6634</v>
      </c>
      <c r="BO378" t="s">
        <v>6777</v>
      </c>
      <c r="BP378" t="s">
        <v>6830</v>
      </c>
      <c r="BT378" t="s">
        <v>7149</v>
      </c>
      <c r="BU378" t="s">
        <v>7205</v>
      </c>
      <c r="BV378" t="s">
        <v>7369</v>
      </c>
      <c r="BW378" t="s">
        <v>7532</v>
      </c>
      <c r="BX378" t="s">
        <v>7625</v>
      </c>
      <c r="BZ378">
        <v>0</v>
      </c>
      <c r="CA378">
        <v>0</v>
      </c>
      <c r="CE378" t="s">
        <v>8132</v>
      </c>
      <c r="CF378" s="144">
        <v>43889.615243055552</v>
      </c>
      <c r="CG378" s="144">
        <v>43889.623067129629</v>
      </c>
      <c r="CH378" t="s">
        <v>8493</v>
      </c>
    </row>
    <row r="379" spans="1:86" x14ac:dyDescent="0.35">
      <c r="A379" t="s">
        <v>910</v>
      </c>
      <c r="B379">
        <v>1</v>
      </c>
      <c r="C379">
        <v>1</v>
      </c>
      <c r="D379" t="s">
        <v>1136</v>
      </c>
      <c r="E379" t="s">
        <v>1336</v>
      </c>
      <c r="I379" t="s">
        <v>1689</v>
      </c>
      <c r="L379" t="s">
        <v>1805</v>
      </c>
      <c r="M379" t="s">
        <v>1999</v>
      </c>
      <c r="N379">
        <v>7</v>
      </c>
      <c r="Q379" t="s">
        <v>2360</v>
      </c>
      <c r="R379">
        <v>7</v>
      </c>
      <c r="T379" t="s">
        <v>2469</v>
      </c>
      <c r="U379" t="s">
        <v>2701</v>
      </c>
      <c r="V379">
        <v>7</v>
      </c>
      <c r="Y379" t="s">
        <v>3010</v>
      </c>
      <c r="AA379">
        <v>6</v>
      </c>
      <c r="AC379" t="s">
        <v>3292</v>
      </c>
      <c r="AD379">
        <v>6</v>
      </c>
      <c r="AG379" t="s">
        <v>3553</v>
      </c>
      <c r="AK379" t="s">
        <v>3792</v>
      </c>
      <c r="AM379">
        <v>6</v>
      </c>
      <c r="AO379" t="s">
        <v>4077</v>
      </c>
      <c r="AQ379">
        <v>8</v>
      </c>
      <c r="AR379" t="s">
        <v>4158</v>
      </c>
      <c r="AS379" t="s">
        <v>4344</v>
      </c>
      <c r="AU379">
        <v>7</v>
      </c>
      <c r="AW379" t="s">
        <v>4588</v>
      </c>
      <c r="AY379">
        <v>8</v>
      </c>
      <c r="BA379" t="s">
        <v>4840</v>
      </c>
      <c r="BC379">
        <v>7</v>
      </c>
      <c r="BE379" t="s">
        <v>4949</v>
      </c>
      <c r="BG379" t="s">
        <v>5072</v>
      </c>
      <c r="BH379" t="s">
        <v>5359</v>
      </c>
      <c r="BI379" t="s">
        <v>5584</v>
      </c>
      <c r="BJ379" t="s">
        <v>5899</v>
      </c>
      <c r="BK379" t="s">
        <v>6135</v>
      </c>
      <c r="BL379" t="s">
        <v>6324</v>
      </c>
      <c r="BM379" t="s">
        <v>6465</v>
      </c>
      <c r="BN379" t="s">
        <v>6634</v>
      </c>
      <c r="BO379" t="s">
        <v>6777</v>
      </c>
      <c r="BP379" t="s">
        <v>6830</v>
      </c>
      <c r="BT379" t="s">
        <v>7149</v>
      </c>
      <c r="BU379" t="s">
        <v>7205</v>
      </c>
      <c r="BV379" t="s">
        <v>7370</v>
      </c>
      <c r="BW379" t="s">
        <v>7533</v>
      </c>
      <c r="BX379" t="s">
        <v>7626</v>
      </c>
      <c r="BZ379">
        <v>0</v>
      </c>
      <c r="CA379">
        <v>1</v>
      </c>
      <c r="CB379" t="s">
        <v>7702</v>
      </c>
      <c r="CC379" t="s">
        <v>7775</v>
      </c>
      <c r="CD379" t="s">
        <v>7855</v>
      </c>
      <c r="CE379" t="s">
        <v>8133</v>
      </c>
      <c r="CF379" s="144">
        <v>43887.901296296295</v>
      </c>
      <c r="CG379" s="144">
        <v>43887.913217592592</v>
      </c>
      <c r="CH379" t="s">
        <v>8494</v>
      </c>
    </row>
    <row r="380" spans="1:86" x14ac:dyDescent="0.35">
      <c r="A380" t="s">
        <v>911</v>
      </c>
      <c r="B380">
        <v>1</v>
      </c>
      <c r="C380">
        <v>1</v>
      </c>
      <c r="D380" t="s">
        <v>1136</v>
      </c>
      <c r="E380" t="s">
        <v>1336</v>
      </c>
      <c r="I380" t="s">
        <v>1690</v>
      </c>
      <c r="M380" t="s">
        <v>1999</v>
      </c>
      <c r="N380">
        <v>7</v>
      </c>
      <c r="P380" t="s">
        <v>2110</v>
      </c>
      <c r="Q380" t="s">
        <v>2361</v>
      </c>
      <c r="U380" t="s">
        <v>2701</v>
      </c>
      <c r="V380">
        <v>7</v>
      </c>
      <c r="X380" t="s">
        <v>2788</v>
      </c>
      <c r="Y380" t="s">
        <v>3011</v>
      </c>
      <c r="Z380">
        <v>7</v>
      </c>
      <c r="AB380" t="s">
        <v>3093</v>
      </c>
      <c r="AC380" t="s">
        <v>3293</v>
      </c>
      <c r="AG380" t="s">
        <v>3553</v>
      </c>
      <c r="AK380" t="s">
        <v>3793</v>
      </c>
      <c r="AL380">
        <v>7</v>
      </c>
      <c r="AN380" t="s">
        <v>3847</v>
      </c>
      <c r="AO380" t="s">
        <v>4078</v>
      </c>
      <c r="AS380" t="s">
        <v>4345</v>
      </c>
      <c r="AW380" t="s">
        <v>4589</v>
      </c>
      <c r="BA380" t="s">
        <v>4840</v>
      </c>
      <c r="BE380" t="s">
        <v>4949</v>
      </c>
      <c r="BG380" t="s">
        <v>5072</v>
      </c>
      <c r="BH380" t="s">
        <v>5359</v>
      </c>
      <c r="BI380" t="s">
        <v>5584</v>
      </c>
      <c r="BJ380" t="s">
        <v>5900</v>
      </c>
      <c r="BK380" t="s">
        <v>6135</v>
      </c>
      <c r="BL380" t="s">
        <v>6325</v>
      </c>
      <c r="BM380" t="s">
        <v>6466</v>
      </c>
      <c r="BN380" t="s">
        <v>6634</v>
      </c>
      <c r="BO380" t="s">
        <v>6777</v>
      </c>
      <c r="BP380" t="s">
        <v>6830</v>
      </c>
      <c r="BT380" t="s">
        <v>7150</v>
      </c>
      <c r="BU380" t="s">
        <v>7205</v>
      </c>
      <c r="BV380" t="s">
        <v>7370</v>
      </c>
      <c r="BW380" t="s">
        <v>7533</v>
      </c>
      <c r="BX380" t="s">
        <v>7626</v>
      </c>
      <c r="BZ380">
        <v>0</v>
      </c>
      <c r="CA380">
        <v>0</v>
      </c>
      <c r="CE380" t="s">
        <v>8133</v>
      </c>
      <c r="CF380" s="144">
        <v>43887.333043981482</v>
      </c>
      <c r="CG380" s="144">
        <v>43887.343113425923</v>
      </c>
      <c r="CH380" t="s">
        <v>8495</v>
      </c>
    </row>
    <row r="381" spans="1:86" x14ac:dyDescent="0.35">
      <c r="A381" t="s">
        <v>912</v>
      </c>
      <c r="B381">
        <v>1</v>
      </c>
      <c r="C381">
        <v>1</v>
      </c>
      <c r="D381" t="s">
        <v>1136</v>
      </c>
      <c r="E381" t="s">
        <v>1337</v>
      </c>
      <c r="F381">
        <v>6</v>
      </c>
      <c r="I381" t="s">
        <v>1691</v>
      </c>
      <c r="J381">
        <v>4</v>
      </c>
      <c r="M381" t="s">
        <v>1999</v>
      </c>
      <c r="N381">
        <v>4</v>
      </c>
      <c r="Q381" t="s">
        <v>2362</v>
      </c>
      <c r="R381">
        <v>6</v>
      </c>
      <c r="U381" t="s">
        <v>2701</v>
      </c>
      <c r="V381">
        <v>4</v>
      </c>
      <c r="Y381" t="s">
        <v>3012</v>
      </c>
      <c r="AA381">
        <v>4</v>
      </c>
      <c r="AC381" t="s">
        <v>3294</v>
      </c>
      <c r="AD381">
        <v>6</v>
      </c>
      <c r="AG381" t="s">
        <v>3553</v>
      </c>
      <c r="AK381" t="s">
        <v>3794</v>
      </c>
      <c r="AM381">
        <v>6</v>
      </c>
      <c r="AO381" t="s">
        <v>4078</v>
      </c>
      <c r="AS381" t="s">
        <v>4346</v>
      </c>
      <c r="AW381" t="s">
        <v>4589</v>
      </c>
      <c r="BA381" t="s">
        <v>4840</v>
      </c>
      <c r="BC381">
        <v>6</v>
      </c>
      <c r="BE381" t="s">
        <v>4949</v>
      </c>
      <c r="BG381" t="s">
        <v>5072</v>
      </c>
      <c r="BH381" t="s">
        <v>5360</v>
      </c>
      <c r="BI381" t="s">
        <v>5585</v>
      </c>
      <c r="BJ381" t="s">
        <v>5901</v>
      </c>
      <c r="BK381" t="s">
        <v>6136</v>
      </c>
      <c r="BL381" t="s">
        <v>6325</v>
      </c>
      <c r="BM381" t="s">
        <v>6466</v>
      </c>
      <c r="BN381" t="s">
        <v>6634</v>
      </c>
      <c r="BO381" t="s">
        <v>6777</v>
      </c>
      <c r="BP381" t="s">
        <v>6830</v>
      </c>
      <c r="BT381" t="s">
        <v>7151</v>
      </c>
      <c r="BU381" t="s">
        <v>7205</v>
      </c>
      <c r="BV381" t="s">
        <v>7371</v>
      </c>
      <c r="BW381" t="s">
        <v>7533</v>
      </c>
      <c r="BX381" t="s">
        <v>7626</v>
      </c>
      <c r="BZ381">
        <v>0</v>
      </c>
      <c r="CA381">
        <v>0</v>
      </c>
      <c r="CE381" t="s">
        <v>8134</v>
      </c>
      <c r="CF381" s="144">
        <v>43875.506539351853</v>
      </c>
      <c r="CG381" s="144">
        <v>43875.537511574075</v>
      </c>
      <c r="CH381" t="s">
        <v>8496</v>
      </c>
    </row>
    <row r="382" spans="1:86" x14ac:dyDescent="0.35">
      <c r="A382" t="s">
        <v>913</v>
      </c>
      <c r="B382">
        <v>1</v>
      </c>
      <c r="C382">
        <v>1</v>
      </c>
      <c r="D382" t="s">
        <v>1136</v>
      </c>
      <c r="E382" t="s">
        <v>1337</v>
      </c>
      <c r="F382">
        <v>6</v>
      </c>
      <c r="H382" t="s">
        <v>1464</v>
      </c>
      <c r="I382" t="s">
        <v>1691</v>
      </c>
      <c r="J382">
        <v>6</v>
      </c>
      <c r="L382" t="s">
        <v>1806</v>
      </c>
      <c r="M382" t="s">
        <v>1999</v>
      </c>
      <c r="N382">
        <v>2</v>
      </c>
      <c r="Q382" t="s">
        <v>2363</v>
      </c>
      <c r="S382">
        <v>4</v>
      </c>
      <c r="U382" t="s">
        <v>2702</v>
      </c>
      <c r="W382">
        <v>6</v>
      </c>
      <c r="Y382" t="s">
        <v>3012</v>
      </c>
      <c r="AA382">
        <v>4</v>
      </c>
      <c r="AC382" t="s">
        <v>3295</v>
      </c>
      <c r="AG382" t="s">
        <v>3553</v>
      </c>
      <c r="AK382" t="s">
        <v>3795</v>
      </c>
      <c r="AO382" t="s">
        <v>4078</v>
      </c>
      <c r="AS382" t="s">
        <v>4347</v>
      </c>
      <c r="AT382">
        <v>6</v>
      </c>
      <c r="AW382" t="s">
        <v>4590</v>
      </c>
      <c r="AY382">
        <v>2</v>
      </c>
      <c r="BA382" t="s">
        <v>4840</v>
      </c>
      <c r="BC382">
        <v>6</v>
      </c>
      <c r="BE382" t="s">
        <v>4949</v>
      </c>
      <c r="BG382" t="s">
        <v>5073</v>
      </c>
      <c r="BH382" t="s">
        <v>5360</v>
      </c>
      <c r="BI382" t="s">
        <v>5586</v>
      </c>
      <c r="BJ382" t="s">
        <v>5901</v>
      </c>
      <c r="BK382" t="s">
        <v>6137</v>
      </c>
      <c r="BL382" t="s">
        <v>6325</v>
      </c>
      <c r="BM382" t="s">
        <v>6466</v>
      </c>
      <c r="BN382" t="s">
        <v>6634</v>
      </c>
      <c r="BO382" t="s">
        <v>6777</v>
      </c>
      <c r="BP382" t="s">
        <v>6830</v>
      </c>
      <c r="BT382" t="s">
        <v>7151</v>
      </c>
      <c r="BU382" t="s">
        <v>7205</v>
      </c>
      <c r="BV382" t="s">
        <v>7372</v>
      </c>
      <c r="BW382" t="s">
        <v>7533</v>
      </c>
      <c r="BX382" t="s">
        <v>7626</v>
      </c>
      <c r="BZ382">
        <v>0</v>
      </c>
      <c r="CA382">
        <v>1</v>
      </c>
      <c r="CB382" t="s">
        <v>7703</v>
      </c>
      <c r="CC382" t="s">
        <v>7776</v>
      </c>
      <c r="CD382" t="s">
        <v>7856</v>
      </c>
      <c r="CE382" t="s">
        <v>8135</v>
      </c>
      <c r="CF382" s="144">
        <v>43875.447465277779</v>
      </c>
      <c r="CG382" s="144">
        <v>43875.45894675926</v>
      </c>
      <c r="CH382" t="s">
        <v>8496</v>
      </c>
    </row>
    <row r="383" spans="1:86" x14ac:dyDescent="0.35">
      <c r="A383" t="s">
        <v>914</v>
      </c>
      <c r="B383">
        <v>1</v>
      </c>
      <c r="C383">
        <v>1</v>
      </c>
      <c r="D383" t="s">
        <v>1136</v>
      </c>
      <c r="E383" t="s">
        <v>1337</v>
      </c>
      <c r="F383">
        <v>6</v>
      </c>
      <c r="I383" t="s">
        <v>1691</v>
      </c>
      <c r="J383">
        <v>6</v>
      </c>
      <c r="M383" t="s">
        <v>1999</v>
      </c>
      <c r="N383">
        <v>6</v>
      </c>
      <c r="Q383" t="s">
        <v>2364</v>
      </c>
      <c r="U383" t="s">
        <v>2702</v>
      </c>
      <c r="W383">
        <v>6</v>
      </c>
      <c r="Y383" t="s">
        <v>3012</v>
      </c>
      <c r="AA383">
        <v>6</v>
      </c>
      <c r="AC383" t="s">
        <v>3296</v>
      </c>
      <c r="AD383">
        <v>4</v>
      </c>
      <c r="AG383" t="s">
        <v>3554</v>
      </c>
      <c r="AH383">
        <v>4</v>
      </c>
      <c r="AK383" t="s">
        <v>3796</v>
      </c>
      <c r="AL383">
        <v>4</v>
      </c>
      <c r="AO383" t="s">
        <v>4079</v>
      </c>
      <c r="AP383">
        <v>8</v>
      </c>
      <c r="AS383" t="s">
        <v>4348</v>
      </c>
      <c r="AW383" t="s">
        <v>4590</v>
      </c>
      <c r="AY383">
        <v>8</v>
      </c>
      <c r="BA383" t="s">
        <v>4840</v>
      </c>
      <c r="BC383">
        <v>8</v>
      </c>
      <c r="BE383" t="s">
        <v>4949</v>
      </c>
      <c r="BG383" t="s">
        <v>5074</v>
      </c>
      <c r="BH383" t="s">
        <v>5361</v>
      </c>
      <c r="BI383" t="s">
        <v>5586</v>
      </c>
      <c r="BJ383" t="s">
        <v>5902</v>
      </c>
      <c r="BK383" t="s">
        <v>6138</v>
      </c>
      <c r="BL383" t="s">
        <v>6326</v>
      </c>
      <c r="BM383" t="s">
        <v>6467</v>
      </c>
      <c r="BN383" t="s">
        <v>6635</v>
      </c>
      <c r="BO383" t="s">
        <v>6778</v>
      </c>
      <c r="BP383" t="s">
        <v>6830</v>
      </c>
      <c r="BT383" t="s">
        <v>7152</v>
      </c>
      <c r="BU383" t="s">
        <v>7205</v>
      </c>
      <c r="BV383" t="s">
        <v>7372</v>
      </c>
      <c r="BW383" t="s">
        <v>7533</v>
      </c>
      <c r="BX383" t="s">
        <v>7626</v>
      </c>
      <c r="BZ383">
        <v>0</v>
      </c>
      <c r="CA383">
        <v>1</v>
      </c>
      <c r="CB383" t="s">
        <v>7703</v>
      </c>
      <c r="CC383" t="s">
        <v>7777</v>
      </c>
      <c r="CD383" t="s">
        <v>7857</v>
      </c>
      <c r="CE383" t="s">
        <v>8135</v>
      </c>
      <c r="CF383" s="144">
        <v>43874.549386574072</v>
      </c>
      <c r="CG383" s="144">
        <v>43874.559131944443</v>
      </c>
      <c r="CH383" t="s">
        <v>8496</v>
      </c>
    </row>
    <row r="384" spans="1:86" x14ac:dyDescent="0.35">
      <c r="A384" t="s">
        <v>915</v>
      </c>
      <c r="B384">
        <v>1</v>
      </c>
      <c r="C384">
        <v>1</v>
      </c>
      <c r="D384" t="s">
        <v>1136</v>
      </c>
      <c r="E384" t="s">
        <v>1337</v>
      </c>
      <c r="F384">
        <v>6</v>
      </c>
      <c r="H384" s="21"/>
      <c r="I384" t="s">
        <v>1691</v>
      </c>
      <c r="J384">
        <v>4</v>
      </c>
      <c r="L384" s="21"/>
      <c r="M384" t="s">
        <v>1999</v>
      </c>
      <c r="N384">
        <v>4</v>
      </c>
      <c r="Q384" t="s">
        <v>2365</v>
      </c>
      <c r="S384">
        <v>4</v>
      </c>
      <c r="T384" s="21"/>
      <c r="U384" t="s">
        <v>2702</v>
      </c>
      <c r="W384">
        <v>4</v>
      </c>
      <c r="X384" s="21"/>
      <c r="Y384" t="s">
        <v>3013</v>
      </c>
      <c r="Z384">
        <v>4</v>
      </c>
      <c r="AB384" s="21"/>
      <c r="AC384" t="s">
        <v>3296</v>
      </c>
      <c r="AD384">
        <v>6</v>
      </c>
      <c r="AG384" t="s">
        <v>3554</v>
      </c>
      <c r="AH384">
        <v>6</v>
      </c>
      <c r="AJ384" s="21"/>
      <c r="AK384" t="s">
        <v>3796</v>
      </c>
      <c r="AL384">
        <v>6</v>
      </c>
      <c r="AN384" s="21"/>
      <c r="AO384" t="s">
        <v>4079</v>
      </c>
      <c r="AP384">
        <v>2</v>
      </c>
      <c r="AR384" s="21"/>
      <c r="AS384" t="s">
        <v>4349</v>
      </c>
      <c r="AT384">
        <v>6</v>
      </c>
      <c r="AV384" s="21"/>
      <c r="AW384" t="s">
        <v>4590</v>
      </c>
      <c r="AY384">
        <v>4</v>
      </c>
      <c r="AZ384" s="21"/>
      <c r="BA384" t="s">
        <v>4840</v>
      </c>
      <c r="BC384">
        <v>6</v>
      </c>
      <c r="BD384" s="21"/>
      <c r="BE384" t="s">
        <v>4949</v>
      </c>
      <c r="BG384" t="s">
        <v>5075</v>
      </c>
      <c r="BH384" t="s">
        <v>5362</v>
      </c>
      <c r="BI384" t="s">
        <v>5586</v>
      </c>
      <c r="BJ384" t="s">
        <v>5903</v>
      </c>
      <c r="BK384" t="s">
        <v>6138</v>
      </c>
      <c r="BL384" t="s">
        <v>6327</v>
      </c>
      <c r="BM384" t="s">
        <v>6467</v>
      </c>
      <c r="BN384" t="s">
        <v>6636</v>
      </c>
      <c r="BO384" t="s">
        <v>6779</v>
      </c>
      <c r="BP384" t="s">
        <v>6830</v>
      </c>
      <c r="BT384" t="s">
        <v>7153</v>
      </c>
      <c r="BU384" t="s">
        <v>7205</v>
      </c>
      <c r="BV384" t="s">
        <v>7372</v>
      </c>
      <c r="BW384" t="s">
        <v>7533</v>
      </c>
      <c r="BX384" t="s">
        <v>7626</v>
      </c>
      <c r="BZ384">
        <v>0</v>
      </c>
      <c r="CA384">
        <v>1</v>
      </c>
      <c r="CB384" t="s">
        <v>7703</v>
      </c>
      <c r="CC384" t="s">
        <v>7778</v>
      </c>
      <c r="CD384" t="s">
        <v>7858</v>
      </c>
      <c r="CE384" t="s">
        <v>8135</v>
      </c>
      <c r="CF384" s="144">
        <v>43874.441250000003</v>
      </c>
      <c r="CG384" s="144">
        <v>43874.447812500002</v>
      </c>
      <c r="CH384" t="s">
        <v>8496</v>
      </c>
    </row>
    <row r="385" spans="1:86" x14ac:dyDescent="0.35">
      <c r="A385" t="s">
        <v>916</v>
      </c>
      <c r="B385">
        <v>1</v>
      </c>
      <c r="C385">
        <v>1</v>
      </c>
      <c r="D385" t="s">
        <v>1136</v>
      </c>
      <c r="E385" t="s">
        <v>1337</v>
      </c>
      <c r="F385">
        <v>5</v>
      </c>
      <c r="I385" t="s">
        <v>1691</v>
      </c>
      <c r="J385">
        <v>3</v>
      </c>
      <c r="M385" t="s">
        <v>1999</v>
      </c>
      <c r="N385">
        <v>3</v>
      </c>
      <c r="Q385" t="s">
        <v>2365</v>
      </c>
      <c r="S385">
        <v>3</v>
      </c>
      <c r="U385" t="s">
        <v>2702</v>
      </c>
      <c r="W385">
        <v>3</v>
      </c>
      <c r="Y385" t="s">
        <v>3013</v>
      </c>
      <c r="Z385">
        <v>3</v>
      </c>
      <c r="AC385" t="s">
        <v>3296</v>
      </c>
      <c r="AD385">
        <v>5</v>
      </c>
      <c r="AG385" t="s">
        <v>3554</v>
      </c>
      <c r="AH385">
        <v>5</v>
      </c>
      <c r="AK385" t="s">
        <v>3796</v>
      </c>
      <c r="AL385">
        <v>5</v>
      </c>
      <c r="AO385" t="s">
        <v>4079</v>
      </c>
      <c r="AP385">
        <v>1</v>
      </c>
      <c r="AS385" t="s">
        <v>4349</v>
      </c>
      <c r="AT385">
        <v>5</v>
      </c>
      <c r="AW385" t="s">
        <v>4590</v>
      </c>
      <c r="AY385">
        <v>3</v>
      </c>
      <c r="BA385" t="s">
        <v>4840</v>
      </c>
      <c r="BC385">
        <v>5</v>
      </c>
      <c r="BE385" t="s">
        <v>4949</v>
      </c>
      <c r="BG385" t="s">
        <v>5075</v>
      </c>
      <c r="BH385" t="s">
        <v>5362</v>
      </c>
      <c r="BI385" t="s">
        <v>5586</v>
      </c>
      <c r="BJ385" t="s">
        <v>5903</v>
      </c>
      <c r="BK385" t="s">
        <v>6138</v>
      </c>
      <c r="BL385" t="s">
        <v>6327</v>
      </c>
      <c r="BM385" t="s">
        <v>6467</v>
      </c>
      <c r="BN385" t="s">
        <v>6636</v>
      </c>
      <c r="BO385" t="s">
        <v>6779</v>
      </c>
      <c r="BP385" t="s">
        <v>6830</v>
      </c>
      <c r="BT385" t="s">
        <v>7153</v>
      </c>
      <c r="BU385" t="s">
        <v>7205</v>
      </c>
      <c r="BV385" t="s">
        <v>7372</v>
      </c>
      <c r="BW385" t="s">
        <v>7533</v>
      </c>
      <c r="BX385" t="s">
        <v>7626</v>
      </c>
      <c r="BZ385">
        <v>0</v>
      </c>
      <c r="CA385">
        <v>1</v>
      </c>
      <c r="CB385" t="s">
        <v>7703</v>
      </c>
      <c r="CC385" t="s">
        <v>7778</v>
      </c>
      <c r="CD385" t="s">
        <v>7858</v>
      </c>
      <c r="CE385" t="s">
        <v>8135</v>
      </c>
      <c r="CF385" s="144">
        <v>43873.548993055556</v>
      </c>
      <c r="CG385" s="144">
        <v>43873.554108796299</v>
      </c>
      <c r="CH385" s="24" t="s">
        <v>8496</v>
      </c>
    </row>
    <row r="386" spans="1:86" x14ac:dyDescent="0.35">
      <c r="A386" t="s">
        <v>917</v>
      </c>
      <c r="B386">
        <v>1</v>
      </c>
      <c r="C386">
        <v>1</v>
      </c>
      <c r="D386" t="s">
        <v>1137</v>
      </c>
      <c r="E386" t="s">
        <v>1337</v>
      </c>
      <c r="F386">
        <v>6</v>
      </c>
      <c r="I386" t="s">
        <v>1691</v>
      </c>
      <c r="J386">
        <v>6</v>
      </c>
      <c r="M386" t="s">
        <v>1999</v>
      </c>
      <c r="N386">
        <v>4</v>
      </c>
      <c r="Q386" t="s">
        <v>2366</v>
      </c>
      <c r="U386" t="s">
        <v>2703</v>
      </c>
      <c r="Y386" t="s">
        <v>3014</v>
      </c>
      <c r="AC386" t="s">
        <v>3297</v>
      </c>
      <c r="AG386" t="s">
        <v>3555</v>
      </c>
      <c r="AK386" t="s">
        <v>3797</v>
      </c>
      <c r="AO386" t="s">
        <v>4080</v>
      </c>
      <c r="AS386" t="s">
        <v>4350</v>
      </c>
      <c r="AU386">
        <v>5</v>
      </c>
      <c r="AW386" t="s">
        <v>4591</v>
      </c>
      <c r="BA386" t="s">
        <v>4841</v>
      </c>
      <c r="BE386" t="s">
        <v>4949</v>
      </c>
      <c r="BG386" t="s">
        <v>5076</v>
      </c>
      <c r="BH386" t="s">
        <v>5363</v>
      </c>
      <c r="BI386" t="s">
        <v>5586</v>
      </c>
      <c r="BJ386" t="s">
        <v>5903</v>
      </c>
      <c r="BK386" t="s">
        <v>6139</v>
      </c>
      <c r="BL386" t="s">
        <v>6328</v>
      </c>
      <c r="BM386" t="s">
        <v>6468</v>
      </c>
      <c r="BN386" t="s">
        <v>6636</v>
      </c>
      <c r="BO386" t="s">
        <v>6779</v>
      </c>
      <c r="BP386" t="s">
        <v>6831</v>
      </c>
      <c r="BQ386" t="s">
        <v>6847</v>
      </c>
      <c r="BR386" t="s">
        <v>6863</v>
      </c>
      <c r="BS386" t="s">
        <v>6880</v>
      </c>
      <c r="BT386" t="s">
        <v>7153</v>
      </c>
      <c r="BU386" t="s">
        <v>7205</v>
      </c>
      <c r="BV386" t="s">
        <v>7372</v>
      </c>
      <c r="BW386" t="s">
        <v>7533</v>
      </c>
      <c r="BX386" t="s">
        <v>7626</v>
      </c>
      <c r="BZ386">
        <v>0</v>
      </c>
      <c r="CA386">
        <v>1</v>
      </c>
      <c r="CB386" t="s">
        <v>7703</v>
      </c>
      <c r="CC386" t="s">
        <v>7778</v>
      </c>
      <c r="CD386" t="s">
        <v>7858</v>
      </c>
      <c r="CE386" t="s">
        <v>8135</v>
      </c>
      <c r="CF386" s="144">
        <v>43861.350127314814</v>
      </c>
      <c r="CG386" s="144">
        <v>43861.390034722222</v>
      </c>
      <c r="CH386" t="s">
        <v>8497</v>
      </c>
    </row>
  </sheetData>
  <autoFilter ref="A1:CH386" xr:uid="{00000000-0009-0000-0000-000000000000}">
    <filterColumn colId="72">
      <filters>
        <filter val="White"/>
      </filters>
    </filterColumn>
    <filterColumn colId="74">
      <filters>
        <filter val="Kobietę: osoba uznana za kobietę przy urodzeniu, czująca się kobietą"/>
        <filter val="Transsexual woman: A person assigned as male at birth but feels as a woman"/>
        <filter val="Woman: A person assigned female at birth who feels as a woman"/>
      </filters>
    </filterColumn>
  </autoFilter>
  <pageMargins left="0.7" right="0.7" top="0.75" bottom="0.75" header="0.3" footer="0.3"/>
  <pageSetup orientation="portrait" horizontalDpi="200" verticalDpi="200" copies="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H95"/>
  <sheetViews>
    <sheetView topLeftCell="A76" workbookViewId="0">
      <selection activeCell="B96" sqref="B96"/>
    </sheetView>
  </sheetViews>
  <sheetFormatPr baseColWidth="10" defaultColWidth="8.81640625" defaultRowHeight="14.5" x14ac:dyDescent="0.35"/>
  <cols>
    <col min="1" max="1" width="38.54296875" bestFit="1" customWidth="1"/>
    <col min="2" max="2" width="64.453125" bestFit="1" customWidth="1"/>
    <col min="3" max="3" width="63.54296875" bestFit="1" customWidth="1"/>
    <col min="4" max="4" width="55" bestFit="1" customWidth="1"/>
    <col min="5" max="5" width="67.81640625" bestFit="1" customWidth="1"/>
    <col min="6" max="6" width="64.26953125" bestFit="1" customWidth="1"/>
    <col min="7" max="7" width="66.453125" bestFit="1" customWidth="1"/>
    <col min="8" max="8" width="255.7265625" bestFit="1" customWidth="1"/>
    <col min="9" max="9" width="67.81640625" bestFit="1" customWidth="1"/>
    <col min="10" max="10" width="64.26953125" bestFit="1" customWidth="1"/>
    <col min="11" max="11" width="65.54296875" bestFit="1" customWidth="1"/>
    <col min="12" max="12" width="255.7265625" bestFit="1" customWidth="1"/>
    <col min="13" max="13" width="67.81640625" bestFit="1" customWidth="1"/>
    <col min="14" max="14" width="64.26953125" bestFit="1" customWidth="1"/>
    <col min="15" max="15" width="67.453125" bestFit="1" customWidth="1"/>
    <col min="16" max="16" width="255.7265625" bestFit="1" customWidth="1"/>
    <col min="17" max="17" width="67.81640625" bestFit="1" customWidth="1"/>
    <col min="18" max="18" width="66.7265625" bestFit="1" customWidth="1"/>
    <col min="19" max="19" width="65.54296875" bestFit="1" customWidth="1"/>
    <col min="20" max="20" width="255.7265625" bestFit="1" customWidth="1"/>
    <col min="21" max="21" width="67.81640625" bestFit="1" customWidth="1"/>
    <col min="22" max="22" width="66.7265625" bestFit="1" customWidth="1"/>
    <col min="23" max="23" width="67" bestFit="1" customWidth="1"/>
    <col min="24" max="24" width="241.453125" bestFit="1" customWidth="1"/>
    <col min="25" max="25" width="67.81640625" bestFit="1" customWidth="1"/>
    <col min="26" max="26" width="65.54296875" bestFit="1" customWidth="1"/>
    <col min="27" max="27" width="67.453125" bestFit="1" customWidth="1"/>
    <col min="28" max="28" width="255.7265625" bestFit="1" customWidth="1"/>
    <col min="29" max="29" width="67.81640625" bestFit="1" customWidth="1"/>
    <col min="30" max="30" width="66.26953125" bestFit="1" customWidth="1"/>
    <col min="31" max="31" width="67.54296875" bestFit="1" customWidth="1"/>
    <col min="32" max="32" width="252.81640625" bestFit="1" customWidth="1"/>
    <col min="33" max="33" width="67.81640625" bestFit="1" customWidth="1"/>
    <col min="34" max="34" width="66.54296875" bestFit="1" customWidth="1"/>
    <col min="35" max="35" width="64.7265625" bestFit="1" customWidth="1"/>
    <col min="36" max="36" width="203.81640625" bestFit="1" customWidth="1"/>
    <col min="37" max="37" width="67.81640625" bestFit="1" customWidth="1"/>
    <col min="38" max="38" width="67.453125" bestFit="1" customWidth="1"/>
    <col min="39" max="39" width="64.54296875" bestFit="1" customWidth="1"/>
    <col min="40" max="40" width="189.81640625" bestFit="1" customWidth="1"/>
    <col min="41" max="41" width="67.81640625" bestFit="1" customWidth="1"/>
    <col min="42" max="43" width="68.7265625" bestFit="1" customWidth="1"/>
    <col min="44" max="44" width="255.7265625" bestFit="1" customWidth="1"/>
    <col min="45" max="45" width="72.54296875" bestFit="1" customWidth="1"/>
    <col min="46" max="46" width="64.81640625" bestFit="1" customWidth="1"/>
    <col min="47" max="47" width="66" bestFit="1" customWidth="1"/>
    <col min="48" max="48" width="255.7265625" bestFit="1" customWidth="1"/>
    <col min="49" max="49" width="72.54296875" bestFit="1" customWidth="1"/>
    <col min="50" max="50" width="64.7265625" bestFit="1" customWidth="1"/>
    <col min="51" max="51" width="65.81640625" bestFit="1" customWidth="1"/>
    <col min="52" max="52" width="252.54296875" bestFit="1" customWidth="1"/>
    <col min="53" max="53" width="67.81640625" bestFit="1" customWidth="1"/>
    <col min="54" max="54" width="66.26953125" bestFit="1" customWidth="1"/>
    <col min="55" max="55" width="66.1796875" bestFit="1" customWidth="1"/>
    <col min="56" max="56" width="170" bestFit="1" customWidth="1"/>
    <col min="57" max="58" width="44.81640625" bestFit="1" customWidth="1"/>
    <col min="59" max="59" width="33.81640625" bestFit="1" customWidth="1"/>
    <col min="60" max="60" width="24.7265625" bestFit="1" customWidth="1"/>
    <col min="61" max="61" width="53.7265625" bestFit="1" customWidth="1"/>
    <col min="62" max="62" width="34.1796875" bestFit="1" customWidth="1"/>
    <col min="63" max="63" width="46.453125" bestFit="1" customWidth="1"/>
    <col min="64" max="64" width="98.26953125" bestFit="1" customWidth="1"/>
    <col min="65" max="65" width="96.1796875" bestFit="1" customWidth="1"/>
    <col min="66" max="66" width="39.1796875" bestFit="1" customWidth="1"/>
    <col min="67" max="67" width="46.7265625" bestFit="1" customWidth="1"/>
    <col min="68" max="68" width="136.1796875" bestFit="1" customWidth="1"/>
    <col min="69" max="69" width="67" bestFit="1" customWidth="1"/>
    <col min="70" max="70" width="70" bestFit="1" customWidth="1"/>
    <col min="71" max="71" width="49.7265625" bestFit="1" customWidth="1"/>
    <col min="72" max="72" width="35.54296875" bestFit="1" customWidth="1"/>
    <col min="73" max="73" width="49.54296875" bestFit="1" customWidth="1"/>
    <col min="74" max="74" width="45.54296875" bestFit="1" customWidth="1"/>
    <col min="75" max="75" width="87.453125" bestFit="1" customWidth="1"/>
    <col min="76" max="76" width="31.26953125" bestFit="1" customWidth="1"/>
    <col min="77" max="77" width="44.81640625" bestFit="1" customWidth="1"/>
    <col min="78" max="78" width="64" bestFit="1" customWidth="1"/>
    <col min="79" max="79" width="33.1796875" bestFit="1" customWidth="1"/>
    <col min="80" max="80" width="115.453125" bestFit="1" customWidth="1"/>
    <col min="81" max="81" width="39.81640625" bestFit="1" customWidth="1"/>
    <col min="82" max="82" width="22.26953125" bestFit="1" customWidth="1"/>
    <col min="83" max="83" width="41.54296875" bestFit="1" customWidth="1"/>
    <col min="84" max="85" width="15.81640625" bestFit="1" customWidth="1"/>
    <col min="86" max="86" width="11.7265625" bestFit="1" customWidth="1"/>
  </cols>
  <sheetData>
    <row r="1" spans="1:86" ht="15" x14ac:dyDescent="0.25">
      <c r="A1" t="s">
        <v>59</v>
      </c>
      <c r="B1" t="s">
        <v>73</v>
      </c>
      <c r="C1" t="s">
        <v>74</v>
      </c>
      <c r="D1" t="s">
        <v>75</v>
      </c>
      <c r="E1" t="s">
        <v>87</v>
      </c>
      <c r="F1" t="s">
        <v>97</v>
      </c>
      <c r="G1" t="s">
        <v>98</v>
      </c>
      <c r="H1" t="s">
        <v>99</v>
      </c>
      <c r="I1" t="s">
        <v>107</v>
      </c>
      <c r="J1" t="s">
        <v>111</v>
      </c>
      <c r="K1" t="s">
        <v>112</v>
      </c>
      <c r="L1" t="s">
        <v>113</v>
      </c>
      <c r="M1" t="s">
        <v>117</v>
      </c>
      <c r="N1" t="s">
        <v>119</v>
      </c>
      <c r="O1" t="s">
        <v>120</v>
      </c>
      <c r="P1" t="s">
        <v>121</v>
      </c>
      <c r="Q1" t="s">
        <v>127</v>
      </c>
      <c r="R1" t="s">
        <v>128</v>
      </c>
      <c r="S1" t="s">
        <v>129</v>
      </c>
      <c r="T1" t="s">
        <v>130</v>
      </c>
      <c r="U1" t="s">
        <v>135</v>
      </c>
      <c r="V1" t="s">
        <v>138</v>
      </c>
      <c r="W1" t="s">
        <v>139</v>
      </c>
      <c r="X1" t="s">
        <v>140</v>
      </c>
      <c r="Y1" t="s">
        <v>145</v>
      </c>
      <c r="Z1" t="s">
        <v>146</v>
      </c>
      <c r="AA1" t="s">
        <v>147</v>
      </c>
      <c r="AB1" t="s">
        <v>148</v>
      </c>
      <c r="AC1" t="s">
        <v>152</v>
      </c>
      <c r="AD1" t="s">
        <v>158</v>
      </c>
      <c r="AE1" t="s">
        <v>159</v>
      </c>
      <c r="AF1" t="s">
        <v>160</v>
      </c>
      <c r="AG1" t="s">
        <v>168</v>
      </c>
      <c r="AH1" t="s">
        <v>171</v>
      </c>
      <c r="AI1" t="s">
        <v>172</v>
      </c>
      <c r="AJ1" t="s">
        <v>173</v>
      </c>
      <c r="AK1" t="s">
        <v>177</v>
      </c>
      <c r="AL1" t="s">
        <v>178</v>
      </c>
      <c r="AM1" t="s">
        <v>179</v>
      </c>
      <c r="AN1" t="s">
        <v>180</v>
      </c>
      <c r="AO1" t="s">
        <v>186</v>
      </c>
      <c r="AP1" t="s">
        <v>192</v>
      </c>
      <c r="AQ1" t="s">
        <v>193</v>
      </c>
      <c r="AR1" t="s">
        <v>194</v>
      </c>
      <c r="AS1" t="s">
        <v>200</v>
      </c>
      <c r="AT1" t="s">
        <v>206</v>
      </c>
      <c r="AU1" t="s">
        <v>207</v>
      </c>
      <c r="AV1" t="s">
        <v>208</v>
      </c>
      <c r="AW1" t="s">
        <v>210</v>
      </c>
      <c r="AX1" t="s">
        <v>213</v>
      </c>
      <c r="AY1" t="s">
        <v>214</v>
      </c>
      <c r="AZ1" t="s">
        <v>215</v>
      </c>
      <c r="BA1" t="s">
        <v>217</v>
      </c>
      <c r="BB1" t="s">
        <v>218</v>
      </c>
      <c r="BC1" t="s">
        <v>219</v>
      </c>
      <c r="BD1" t="s">
        <v>220</v>
      </c>
      <c r="BE1" t="s">
        <v>221</v>
      </c>
      <c r="BF1" t="s">
        <v>230</v>
      </c>
      <c r="BG1" t="s">
        <v>231</v>
      </c>
      <c r="BH1" t="s">
        <v>234</v>
      </c>
      <c r="BI1" t="s">
        <v>240</v>
      </c>
      <c r="BJ1" t="s">
        <v>248</v>
      </c>
      <c r="BK1" t="s">
        <v>256</v>
      </c>
      <c r="BL1" t="s">
        <v>263</v>
      </c>
      <c r="BM1" t="s">
        <v>268</v>
      </c>
      <c r="BN1" t="s">
        <v>270</v>
      </c>
      <c r="BO1" t="s">
        <v>274</v>
      </c>
      <c r="BP1" t="s">
        <v>278</v>
      </c>
      <c r="BQ1" t="s">
        <v>279</v>
      </c>
      <c r="BR1" t="s">
        <v>280</v>
      </c>
      <c r="BS1" t="s">
        <v>281</v>
      </c>
      <c r="BT1" t="s">
        <v>282</v>
      </c>
      <c r="BU1" t="s">
        <v>296</v>
      </c>
      <c r="BV1" t="s">
        <v>298</v>
      </c>
      <c r="BW1" t="s">
        <v>301</v>
      </c>
      <c r="BX1" t="s">
        <v>303</v>
      </c>
      <c r="BY1" t="s">
        <v>306</v>
      </c>
      <c r="BZ1" t="s">
        <v>307</v>
      </c>
      <c r="CA1" t="s">
        <v>308</v>
      </c>
      <c r="CB1" t="s">
        <v>309</v>
      </c>
      <c r="CC1" t="s">
        <v>314</v>
      </c>
      <c r="CD1" t="s">
        <v>319</v>
      </c>
      <c r="CE1" t="s">
        <v>324</v>
      </c>
      <c r="CF1" t="s">
        <v>331</v>
      </c>
      <c r="CG1" t="s">
        <v>332</v>
      </c>
      <c r="CH1" t="s">
        <v>333</v>
      </c>
    </row>
    <row r="2" spans="1:86" ht="15" customHeight="1" x14ac:dyDescent="0.35">
      <c r="A2" t="s">
        <v>497</v>
      </c>
      <c r="B2">
        <v>1</v>
      </c>
      <c r="C2">
        <v>1</v>
      </c>
      <c r="D2" t="s">
        <v>77</v>
      </c>
      <c r="E2" t="s">
        <v>88</v>
      </c>
      <c r="F2">
        <v>4</v>
      </c>
      <c r="H2" t="s">
        <v>498</v>
      </c>
      <c r="I2" t="s">
        <v>89</v>
      </c>
      <c r="M2" t="s">
        <v>89</v>
      </c>
      <c r="Q2" t="s">
        <v>108</v>
      </c>
      <c r="S2">
        <v>5</v>
      </c>
      <c r="T2" t="s">
        <v>499</v>
      </c>
      <c r="U2" t="s">
        <v>89</v>
      </c>
      <c r="Y2" t="s">
        <v>108</v>
      </c>
      <c r="Z2">
        <v>4</v>
      </c>
      <c r="AB2" t="s">
        <v>500</v>
      </c>
      <c r="AC2" t="s">
        <v>153</v>
      </c>
      <c r="AD2">
        <v>3</v>
      </c>
      <c r="AF2" t="s">
        <v>501</v>
      </c>
      <c r="AG2" t="s">
        <v>89</v>
      </c>
      <c r="AK2" t="s">
        <v>89</v>
      </c>
      <c r="AO2" t="s">
        <v>89</v>
      </c>
      <c r="AS2" t="s">
        <v>89</v>
      </c>
      <c r="AW2" t="s">
        <v>201</v>
      </c>
      <c r="AX2">
        <v>1</v>
      </c>
      <c r="AZ2" t="s">
        <v>502</v>
      </c>
      <c r="BA2" t="s">
        <v>202</v>
      </c>
      <c r="BB2">
        <v>1</v>
      </c>
      <c r="BD2" t="s">
        <v>503</v>
      </c>
      <c r="BE2" t="s">
        <v>504</v>
      </c>
      <c r="BF2" t="s">
        <v>504</v>
      </c>
      <c r="BG2" t="s">
        <v>232</v>
      </c>
      <c r="BH2" t="s">
        <v>239</v>
      </c>
      <c r="BI2" t="s">
        <v>243</v>
      </c>
      <c r="BJ2" t="s">
        <v>252</v>
      </c>
      <c r="BK2" t="s">
        <v>259</v>
      </c>
      <c r="BL2" t="s">
        <v>264</v>
      </c>
      <c r="BM2" t="s">
        <v>264</v>
      </c>
      <c r="BN2" t="s">
        <v>272</v>
      </c>
      <c r="BO2" t="s">
        <v>275</v>
      </c>
      <c r="BP2" t="s">
        <v>264</v>
      </c>
      <c r="BT2" t="s">
        <v>284</v>
      </c>
      <c r="BU2" t="s">
        <v>297</v>
      </c>
      <c r="BV2" t="s">
        <v>300</v>
      </c>
      <c r="BW2" t="s">
        <v>302</v>
      </c>
      <c r="BX2" t="s">
        <v>305</v>
      </c>
      <c r="BZ2">
        <v>1</v>
      </c>
      <c r="CA2">
        <v>1</v>
      </c>
      <c r="CB2" t="s">
        <v>310</v>
      </c>
      <c r="CC2" t="s">
        <v>316</v>
      </c>
      <c r="CD2" t="s">
        <v>505</v>
      </c>
      <c r="CE2" t="s">
        <v>327</v>
      </c>
      <c r="CF2" s="144">
        <v>44146.375462962962</v>
      </c>
      <c r="CG2" s="144">
        <v>44146.384340277778</v>
      </c>
      <c r="CH2" t="s">
        <v>506</v>
      </c>
    </row>
    <row r="3" spans="1:86" ht="15" customHeight="1" x14ac:dyDescent="0.35">
      <c r="A3" t="s">
        <v>537</v>
      </c>
      <c r="B3">
        <v>1</v>
      </c>
      <c r="C3">
        <v>1</v>
      </c>
      <c r="D3" t="s">
        <v>78</v>
      </c>
      <c r="E3" t="s">
        <v>89</v>
      </c>
      <c r="I3" t="s">
        <v>88</v>
      </c>
      <c r="J3">
        <v>3</v>
      </c>
      <c r="M3" t="s">
        <v>88</v>
      </c>
      <c r="N3">
        <v>3</v>
      </c>
      <c r="Q3" t="s">
        <v>90</v>
      </c>
      <c r="R3">
        <v>3</v>
      </c>
      <c r="T3" t="s">
        <v>2374</v>
      </c>
      <c r="U3" t="s">
        <v>90</v>
      </c>
      <c r="V3">
        <v>2</v>
      </c>
      <c r="Y3" t="s">
        <v>89</v>
      </c>
      <c r="AC3" t="s">
        <v>89</v>
      </c>
      <c r="AG3" t="s">
        <v>89</v>
      </c>
      <c r="AK3" t="s">
        <v>89</v>
      </c>
      <c r="AO3" t="s">
        <v>89</v>
      </c>
      <c r="AS3" t="s">
        <v>89</v>
      </c>
      <c r="AW3" t="s">
        <v>211</v>
      </c>
      <c r="AY3">
        <v>3</v>
      </c>
      <c r="BA3" t="s">
        <v>211</v>
      </c>
      <c r="BE3" t="s">
        <v>222</v>
      </c>
      <c r="BG3" t="s">
        <v>4968</v>
      </c>
      <c r="BH3" t="s">
        <v>5082</v>
      </c>
      <c r="BI3" t="s">
        <v>241</v>
      </c>
      <c r="BJ3" t="s">
        <v>253</v>
      </c>
      <c r="BK3" t="s">
        <v>258</v>
      </c>
      <c r="BL3" t="s">
        <v>264</v>
      </c>
      <c r="BM3" t="s">
        <v>264</v>
      </c>
      <c r="BN3" t="s">
        <v>6473</v>
      </c>
      <c r="BO3" t="s">
        <v>276</v>
      </c>
      <c r="BP3" t="s">
        <v>264</v>
      </c>
      <c r="BT3" t="s">
        <v>6886</v>
      </c>
      <c r="BU3" t="s">
        <v>297</v>
      </c>
      <c r="BV3" t="s">
        <v>300</v>
      </c>
      <c r="BW3" t="s">
        <v>302</v>
      </c>
      <c r="BX3" t="s">
        <v>304</v>
      </c>
      <c r="BZ3">
        <v>0</v>
      </c>
      <c r="CA3">
        <v>0</v>
      </c>
      <c r="CE3" t="s">
        <v>7864</v>
      </c>
      <c r="CF3" s="144">
        <v>44118.561006944445</v>
      </c>
      <c r="CG3" s="144">
        <v>44118.569212962961</v>
      </c>
      <c r="CH3" t="s">
        <v>8143</v>
      </c>
    </row>
    <row r="4" spans="1:86" ht="15" customHeight="1" x14ac:dyDescent="0.35">
      <c r="A4" t="s">
        <v>539</v>
      </c>
      <c r="B4">
        <v>1</v>
      </c>
      <c r="C4">
        <v>1</v>
      </c>
      <c r="D4" t="s">
        <v>79</v>
      </c>
      <c r="E4" t="s">
        <v>90</v>
      </c>
      <c r="G4">
        <v>4</v>
      </c>
      <c r="I4" t="s">
        <v>88</v>
      </c>
      <c r="J4">
        <v>6</v>
      </c>
      <c r="M4" t="s">
        <v>88</v>
      </c>
      <c r="N4">
        <v>5</v>
      </c>
      <c r="Q4" t="s">
        <v>90</v>
      </c>
      <c r="R4">
        <v>7</v>
      </c>
      <c r="U4" t="s">
        <v>90</v>
      </c>
      <c r="V4">
        <v>6</v>
      </c>
      <c r="Y4" t="s">
        <v>108</v>
      </c>
      <c r="Z4">
        <v>4</v>
      </c>
      <c r="AC4" t="s">
        <v>89</v>
      </c>
      <c r="AG4" t="s">
        <v>153</v>
      </c>
      <c r="AH4">
        <v>5</v>
      </c>
      <c r="AK4" t="s">
        <v>154</v>
      </c>
      <c r="AL4">
        <v>4</v>
      </c>
      <c r="AO4" t="s">
        <v>89</v>
      </c>
      <c r="AS4" t="s">
        <v>89</v>
      </c>
      <c r="AW4" t="s">
        <v>211</v>
      </c>
      <c r="AY4">
        <v>5</v>
      </c>
      <c r="BA4" t="s">
        <v>211</v>
      </c>
      <c r="BC4">
        <v>5</v>
      </c>
      <c r="BE4" t="s">
        <v>227</v>
      </c>
      <c r="BG4" t="s">
        <v>232</v>
      </c>
      <c r="BH4" t="s">
        <v>238</v>
      </c>
      <c r="BI4" t="s">
        <v>241</v>
      </c>
      <c r="BJ4" t="s">
        <v>439</v>
      </c>
      <c r="BK4" t="s">
        <v>257</v>
      </c>
      <c r="BL4" t="s">
        <v>266</v>
      </c>
      <c r="BM4" t="s">
        <v>264</v>
      </c>
      <c r="BN4" t="s">
        <v>271</v>
      </c>
      <c r="BO4" t="s">
        <v>76</v>
      </c>
      <c r="BP4" t="s">
        <v>264</v>
      </c>
      <c r="BT4" t="s">
        <v>6883</v>
      </c>
      <c r="BU4" t="s">
        <v>297</v>
      </c>
      <c r="BV4" t="s">
        <v>299</v>
      </c>
      <c r="BW4" t="s">
        <v>302</v>
      </c>
      <c r="BX4" t="s">
        <v>304</v>
      </c>
      <c r="BZ4">
        <v>0</v>
      </c>
      <c r="CA4">
        <v>0</v>
      </c>
      <c r="CE4" t="s">
        <v>326</v>
      </c>
      <c r="CF4" s="144">
        <v>44110.623043981483</v>
      </c>
      <c r="CG4" s="144">
        <v>44110.628668981481</v>
      </c>
      <c r="CH4" s="24" t="s">
        <v>8145</v>
      </c>
    </row>
    <row r="5" spans="1:86" ht="15" customHeight="1" x14ac:dyDescent="0.35">
      <c r="A5" t="s">
        <v>540</v>
      </c>
      <c r="B5">
        <v>1</v>
      </c>
      <c r="C5">
        <v>1</v>
      </c>
      <c r="D5" t="s">
        <v>76</v>
      </c>
      <c r="E5" t="s">
        <v>89</v>
      </c>
      <c r="I5" t="s">
        <v>89</v>
      </c>
      <c r="M5" t="s">
        <v>88</v>
      </c>
      <c r="N5">
        <v>7</v>
      </c>
      <c r="P5" t="s">
        <v>2006</v>
      </c>
      <c r="Q5" t="s">
        <v>89</v>
      </c>
      <c r="U5" t="s">
        <v>136</v>
      </c>
      <c r="W5">
        <v>5</v>
      </c>
      <c r="Y5" t="s">
        <v>108</v>
      </c>
      <c r="Z5">
        <v>6</v>
      </c>
      <c r="AC5" t="s">
        <v>89</v>
      </c>
      <c r="AG5" t="s">
        <v>89</v>
      </c>
      <c r="AK5" t="s">
        <v>89</v>
      </c>
      <c r="AO5" t="s">
        <v>89</v>
      </c>
      <c r="AS5" t="s">
        <v>201</v>
      </c>
      <c r="AT5">
        <v>4</v>
      </c>
      <c r="AW5" t="s">
        <v>89</v>
      </c>
      <c r="BA5" t="s">
        <v>211</v>
      </c>
      <c r="BC5">
        <v>5</v>
      </c>
      <c r="BE5" t="s">
        <v>224</v>
      </c>
      <c r="BF5" t="s">
        <v>224</v>
      </c>
      <c r="BG5" t="s">
        <v>232</v>
      </c>
      <c r="BH5" t="s">
        <v>238</v>
      </c>
      <c r="BI5" t="s">
        <v>245</v>
      </c>
      <c r="BJ5" t="s">
        <v>439</v>
      </c>
      <c r="BK5" t="s">
        <v>246</v>
      </c>
      <c r="BL5" t="s">
        <v>264</v>
      </c>
      <c r="BM5" t="s">
        <v>264</v>
      </c>
      <c r="BN5" t="s">
        <v>271</v>
      </c>
      <c r="BO5" t="s">
        <v>275</v>
      </c>
      <c r="BP5" t="s">
        <v>264</v>
      </c>
      <c r="BT5" t="s">
        <v>6886</v>
      </c>
      <c r="BU5" t="s">
        <v>297</v>
      </c>
      <c r="BV5" t="s">
        <v>299</v>
      </c>
      <c r="BW5" t="s">
        <v>302</v>
      </c>
      <c r="BX5" t="s">
        <v>304</v>
      </c>
      <c r="BZ5">
        <v>0</v>
      </c>
      <c r="CA5">
        <v>0</v>
      </c>
      <c r="CE5" t="s">
        <v>327</v>
      </c>
      <c r="CF5" s="144">
        <v>44088.702685185184</v>
      </c>
      <c r="CG5" s="144">
        <v>44088.709120370368</v>
      </c>
      <c r="CH5" t="s">
        <v>8146</v>
      </c>
    </row>
    <row r="6" spans="1:86" ht="15" customHeight="1" x14ac:dyDescent="0.35">
      <c r="A6" t="s">
        <v>541</v>
      </c>
      <c r="B6">
        <v>1</v>
      </c>
      <c r="C6">
        <v>1</v>
      </c>
      <c r="D6" t="s">
        <v>76</v>
      </c>
      <c r="E6" t="s">
        <v>88</v>
      </c>
      <c r="F6">
        <v>8</v>
      </c>
      <c r="H6" t="s">
        <v>1345</v>
      </c>
      <c r="I6" t="s">
        <v>89</v>
      </c>
      <c r="M6" t="s">
        <v>88</v>
      </c>
      <c r="N6">
        <v>6</v>
      </c>
      <c r="P6" t="s">
        <v>2007</v>
      </c>
      <c r="Q6" t="s">
        <v>90</v>
      </c>
      <c r="R6">
        <v>6</v>
      </c>
      <c r="T6" t="s">
        <v>2375</v>
      </c>
      <c r="U6" t="s">
        <v>90</v>
      </c>
      <c r="V6">
        <v>8</v>
      </c>
      <c r="Y6" t="s">
        <v>136</v>
      </c>
      <c r="AA6">
        <v>5</v>
      </c>
      <c r="AC6" t="s">
        <v>89</v>
      </c>
      <c r="AG6" t="s">
        <v>89</v>
      </c>
      <c r="AK6" t="s">
        <v>89</v>
      </c>
      <c r="AO6" t="s">
        <v>89</v>
      </c>
      <c r="AS6" t="s">
        <v>89</v>
      </c>
      <c r="AW6" t="s">
        <v>89</v>
      </c>
      <c r="BA6" t="s">
        <v>89</v>
      </c>
      <c r="BE6" t="s">
        <v>223</v>
      </c>
      <c r="BG6" t="s">
        <v>232</v>
      </c>
      <c r="BH6" t="s">
        <v>235</v>
      </c>
      <c r="BI6" t="s">
        <v>242</v>
      </c>
      <c r="BJ6" t="s">
        <v>255</v>
      </c>
      <c r="BK6" t="s">
        <v>258</v>
      </c>
      <c r="BL6" t="s">
        <v>264</v>
      </c>
      <c r="BM6" t="s">
        <v>264</v>
      </c>
      <c r="BN6" t="s">
        <v>273</v>
      </c>
      <c r="BO6" t="s">
        <v>275</v>
      </c>
      <c r="BP6" t="s">
        <v>264</v>
      </c>
      <c r="BT6" t="s">
        <v>6890</v>
      </c>
      <c r="BU6" t="s">
        <v>297</v>
      </c>
      <c r="BV6" t="s">
        <v>300</v>
      </c>
      <c r="BW6" t="s">
        <v>302</v>
      </c>
      <c r="BX6" t="s">
        <v>304</v>
      </c>
      <c r="BZ6">
        <v>0</v>
      </c>
      <c r="CA6">
        <v>0</v>
      </c>
      <c r="CE6" t="s">
        <v>326</v>
      </c>
      <c r="CF6" s="144">
        <v>44084.547847222224</v>
      </c>
      <c r="CG6" s="144">
        <v>44084.560729166667</v>
      </c>
      <c r="CH6" t="s">
        <v>8147</v>
      </c>
    </row>
    <row r="7" spans="1:86" ht="15" customHeight="1" x14ac:dyDescent="0.35">
      <c r="A7" t="s">
        <v>484</v>
      </c>
      <c r="B7">
        <v>1</v>
      </c>
      <c r="C7">
        <v>1</v>
      </c>
      <c r="D7" t="s">
        <v>76</v>
      </c>
      <c r="E7" t="s">
        <v>88</v>
      </c>
      <c r="F7">
        <v>5</v>
      </c>
      <c r="H7" t="s">
        <v>486</v>
      </c>
      <c r="I7" t="s">
        <v>108</v>
      </c>
      <c r="K7">
        <v>5</v>
      </c>
      <c r="L7" t="s">
        <v>488</v>
      </c>
      <c r="M7" t="s">
        <v>88</v>
      </c>
      <c r="N7">
        <v>5</v>
      </c>
      <c r="Q7" t="s">
        <v>108</v>
      </c>
      <c r="S7">
        <v>8</v>
      </c>
      <c r="T7" t="s">
        <v>489</v>
      </c>
      <c r="U7" t="s">
        <v>89</v>
      </c>
      <c r="Y7" t="s">
        <v>108</v>
      </c>
      <c r="Z7">
        <v>6</v>
      </c>
      <c r="AB7" t="s">
        <v>490</v>
      </c>
      <c r="AC7" t="s">
        <v>153</v>
      </c>
      <c r="AD7">
        <v>5</v>
      </c>
      <c r="AG7" t="s">
        <v>89</v>
      </c>
      <c r="AK7" t="s">
        <v>169</v>
      </c>
      <c r="AM7">
        <v>6</v>
      </c>
      <c r="AO7" t="s">
        <v>89</v>
      </c>
      <c r="AS7" t="s">
        <v>201</v>
      </c>
      <c r="AT7">
        <v>6</v>
      </c>
      <c r="AV7" t="s">
        <v>491</v>
      </c>
      <c r="AW7" t="s">
        <v>89</v>
      </c>
      <c r="BA7" t="s">
        <v>202</v>
      </c>
      <c r="BB7">
        <v>3</v>
      </c>
      <c r="BD7" t="s">
        <v>492</v>
      </c>
      <c r="BE7" t="s">
        <v>227</v>
      </c>
      <c r="BG7" t="s">
        <v>233</v>
      </c>
      <c r="BH7" t="s">
        <v>239</v>
      </c>
      <c r="BI7" t="s">
        <v>241</v>
      </c>
      <c r="BJ7" t="s">
        <v>251</v>
      </c>
      <c r="BK7" t="s">
        <v>259</v>
      </c>
      <c r="BL7" t="s">
        <v>264</v>
      </c>
      <c r="BM7" t="s">
        <v>264</v>
      </c>
      <c r="BN7" t="s">
        <v>272</v>
      </c>
      <c r="BO7" t="s">
        <v>276</v>
      </c>
      <c r="BP7" t="s">
        <v>264</v>
      </c>
      <c r="BT7" t="s">
        <v>289</v>
      </c>
      <c r="BU7" t="s">
        <v>297</v>
      </c>
      <c r="BV7" t="s">
        <v>300</v>
      </c>
      <c r="BW7" t="s">
        <v>302</v>
      </c>
      <c r="BX7" t="s">
        <v>304</v>
      </c>
      <c r="BZ7">
        <v>1</v>
      </c>
      <c r="CA7">
        <v>1</v>
      </c>
      <c r="CB7" t="s">
        <v>76</v>
      </c>
      <c r="CC7" t="s">
        <v>317</v>
      </c>
      <c r="CD7" t="s">
        <v>320</v>
      </c>
      <c r="CE7" t="s">
        <v>326</v>
      </c>
      <c r="CF7" s="144">
        <v>44075.407986111109</v>
      </c>
      <c r="CG7" s="144">
        <v>44075.423483796294</v>
      </c>
      <c r="CH7" t="s">
        <v>495</v>
      </c>
    </row>
    <row r="8" spans="1:86" ht="15" customHeight="1" x14ac:dyDescent="0.35">
      <c r="A8" t="s">
        <v>547</v>
      </c>
      <c r="B8">
        <v>1</v>
      </c>
      <c r="C8">
        <v>1</v>
      </c>
      <c r="D8" t="s">
        <v>79</v>
      </c>
      <c r="E8" t="s">
        <v>88</v>
      </c>
      <c r="F8">
        <v>6</v>
      </c>
      <c r="H8" t="s">
        <v>1350</v>
      </c>
      <c r="I8" t="s">
        <v>108</v>
      </c>
      <c r="K8">
        <v>7</v>
      </c>
      <c r="L8" t="s">
        <v>1701</v>
      </c>
      <c r="M8" t="s">
        <v>88</v>
      </c>
      <c r="N8">
        <v>8</v>
      </c>
      <c r="Q8" t="s">
        <v>108</v>
      </c>
      <c r="S8">
        <v>8</v>
      </c>
      <c r="U8" t="s">
        <v>89</v>
      </c>
      <c r="Y8" t="s">
        <v>108</v>
      </c>
      <c r="Z8">
        <v>8</v>
      </c>
      <c r="AC8" t="s">
        <v>154</v>
      </c>
      <c r="AE8">
        <v>5</v>
      </c>
      <c r="AF8" t="s">
        <v>3305</v>
      </c>
      <c r="AG8" t="s">
        <v>89</v>
      </c>
      <c r="AK8" t="s">
        <v>154</v>
      </c>
      <c r="AL8">
        <v>5</v>
      </c>
      <c r="AO8" t="s">
        <v>187</v>
      </c>
      <c r="AQ8">
        <v>8</v>
      </c>
      <c r="AR8" t="s">
        <v>4087</v>
      </c>
      <c r="AS8" t="s">
        <v>201</v>
      </c>
      <c r="AT8">
        <v>4</v>
      </c>
      <c r="AV8" t="s">
        <v>4358</v>
      </c>
      <c r="AW8" t="s">
        <v>201</v>
      </c>
      <c r="AX8">
        <v>5</v>
      </c>
      <c r="AZ8" t="s">
        <v>4599</v>
      </c>
      <c r="BA8" t="s">
        <v>89</v>
      </c>
      <c r="BE8" t="s">
        <v>228</v>
      </c>
      <c r="BG8" t="s">
        <v>232</v>
      </c>
      <c r="BH8" t="s">
        <v>239</v>
      </c>
      <c r="BI8" t="s">
        <v>241</v>
      </c>
      <c r="BJ8" t="s">
        <v>249</v>
      </c>
      <c r="BK8" t="s">
        <v>257</v>
      </c>
      <c r="BL8" t="s">
        <v>264</v>
      </c>
      <c r="BM8" t="s">
        <v>264</v>
      </c>
      <c r="BN8" t="s">
        <v>272</v>
      </c>
      <c r="BO8" t="s">
        <v>275</v>
      </c>
      <c r="BP8" t="s">
        <v>246</v>
      </c>
      <c r="BT8" t="s">
        <v>6895</v>
      </c>
      <c r="BU8" t="s">
        <v>297</v>
      </c>
      <c r="BV8" t="s">
        <v>299</v>
      </c>
      <c r="BW8" t="s">
        <v>302</v>
      </c>
      <c r="BX8" t="s">
        <v>76</v>
      </c>
      <c r="BZ8">
        <v>0</v>
      </c>
      <c r="CA8">
        <v>0</v>
      </c>
      <c r="CE8" t="s">
        <v>329</v>
      </c>
      <c r="CF8" s="144">
        <v>44016.644652777781</v>
      </c>
      <c r="CG8" s="144">
        <v>44016.655081018522</v>
      </c>
      <c r="CH8" t="s">
        <v>8153</v>
      </c>
    </row>
    <row r="9" spans="1:86" ht="15" customHeight="1" x14ac:dyDescent="0.35">
      <c r="A9" t="s">
        <v>485</v>
      </c>
      <c r="B9">
        <v>1</v>
      </c>
      <c r="C9">
        <v>1</v>
      </c>
      <c r="D9" t="s">
        <v>79</v>
      </c>
      <c r="E9" t="s">
        <v>88</v>
      </c>
      <c r="F9">
        <v>7</v>
      </c>
      <c r="H9" t="s">
        <v>487</v>
      </c>
      <c r="I9" t="s">
        <v>89</v>
      </c>
      <c r="M9" t="s">
        <v>88</v>
      </c>
      <c r="N9">
        <v>6</v>
      </c>
      <c r="Q9" t="s">
        <v>108</v>
      </c>
      <c r="S9">
        <v>5</v>
      </c>
      <c r="U9" t="s">
        <v>89</v>
      </c>
      <c r="Y9" t="s">
        <v>89</v>
      </c>
      <c r="AC9" t="s">
        <v>89</v>
      </c>
      <c r="AG9" t="s">
        <v>89</v>
      </c>
      <c r="AK9" t="s">
        <v>89</v>
      </c>
      <c r="AO9" t="s">
        <v>89</v>
      </c>
      <c r="AS9" t="s">
        <v>89</v>
      </c>
      <c r="AW9" t="s">
        <v>89</v>
      </c>
      <c r="BA9" t="s">
        <v>89</v>
      </c>
      <c r="BE9" t="s">
        <v>493</v>
      </c>
      <c r="BF9" t="s">
        <v>493</v>
      </c>
      <c r="BG9" t="s">
        <v>232</v>
      </c>
      <c r="BH9" t="s">
        <v>239</v>
      </c>
      <c r="BI9" t="s">
        <v>243</v>
      </c>
      <c r="BJ9" t="s">
        <v>252</v>
      </c>
      <c r="BK9" t="s">
        <v>259</v>
      </c>
      <c r="BL9" t="s">
        <v>264</v>
      </c>
      <c r="BM9" t="s">
        <v>264</v>
      </c>
      <c r="BN9" t="s">
        <v>272</v>
      </c>
      <c r="BO9" t="s">
        <v>275</v>
      </c>
      <c r="BP9" t="s">
        <v>264</v>
      </c>
      <c r="BT9" t="s">
        <v>494</v>
      </c>
      <c r="BU9" t="s">
        <v>297</v>
      </c>
      <c r="BV9" t="s">
        <v>300</v>
      </c>
      <c r="BW9" t="s">
        <v>302</v>
      </c>
      <c r="BX9" t="s">
        <v>304</v>
      </c>
      <c r="BZ9">
        <v>1</v>
      </c>
      <c r="CA9">
        <v>1</v>
      </c>
      <c r="CB9" t="s">
        <v>310</v>
      </c>
      <c r="CC9" t="s">
        <v>315</v>
      </c>
      <c r="CD9" t="s">
        <v>322</v>
      </c>
      <c r="CE9" t="s">
        <v>327</v>
      </c>
      <c r="CF9" s="144">
        <v>44012.670868055553</v>
      </c>
      <c r="CG9" s="144">
        <v>44012.67696759259</v>
      </c>
      <c r="CH9" t="s">
        <v>496</v>
      </c>
    </row>
    <row r="10" spans="1:86" ht="15" customHeight="1" x14ac:dyDescent="0.35">
      <c r="A10" t="s">
        <v>550</v>
      </c>
      <c r="B10">
        <v>1</v>
      </c>
      <c r="C10">
        <v>1</v>
      </c>
      <c r="D10" t="s">
        <v>79</v>
      </c>
      <c r="E10" t="s">
        <v>89</v>
      </c>
      <c r="I10" t="s">
        <v>108</v>
      </c>
      <c r="K10">
        <v>4</v>
      </c>
      <c r="L10" t="s">
        <v>1703</v>
      </c>
      <c r="M10" t="s">
        <v>88</v>
      </c>
      <c r="N10">
        <v>6</v>
      </c>
      <c r="P10" t="s">
        <v>2011</v>
      </c>
      <c r="Q10" t="s">
        <v>89</v>
      </c>
      <c r="U10" t="s">
        <v>90</v>
      </c>
      <c r="V10">
        <v>7</v>
      </c>
      <c r="Y10" t="s">
        <v>108</v>
      </c>
      <c r="Z10">
        <v>6</v>
      </c>
      <c r="AB10" t="s">
        <v>3022</v>
      </c>
      <c r="AC10" t="s">
        <v>153</v>
      </c>
      <c r="AD10">
        <v>5</v>
      </c>
      <c r="AF10" t="s">
        <v>3307</v>
      </c>
      <c r="AG10" t="s">
        <v>89</v>
      </c>
      <c r="AK10" t="s">
        <v>89</v>
      </c>
      <c r="AO10" t="s">
        <v>188</v>
      </c>
      <c r="AP10">
        <v>5</v>
      </c>
      <c r="AR10" t="s">
        <v>4089</v>
      </c>
      <c r="AS10" t="s">
        <v>201</v>
      </c>
      <c r="AT10">
        <v>5</v>
      </c>
      <c r="AV10" t="s">
        <v>4359</v>
      </c>
      <c r="AW10" t="s">
        <v>89</v>
      </c>
      <c r="BA10" t="s">
        <v>211</v>
      </c>
      <c r="BC10">
        <v>5</v>
      </c>
      <c r="BD10" t="s">
        <v>4850</v>
      </c>
      <c r="BE10" t="s">
        <v>227</v>
      </c>
      <c r="BG10" t="s">
        <v>232</v>
      </c>
      <c r="BH10" t="s">
        <v>239</v>
      </c>
      <c r="BI10" t="s">
        <v>241</v>
      </c>
      <c r="BJ10" t="s">
        <v>254</v>
      </c>
      <c r="BK10" t="s">
        <v>257</v>
      </c>
      <c r="BL10" t="s">
        <v>264</v>
      </c>
      <c r="BM10" t="s">
        <v>264</v>
      </c>
      <c r="BN10" t="s">
        <v>272</v>
      </c>
      <c r="BO10" t="s">
        <v>275</v>
      </c>
      <c r="BP10" t="s">
        <v>269</v>
      </c>
      <c r="BQ10" t="s">
        <v>6835</v>
      </c>
      <c r="BR10" t="s">
        <v>6835</v>
      </c>
      <c r="BS10" t="s">
        <v>6834</v>
      </c>
      <c r="BT10" t="s">
        <v>290</v>
      </c>
      <c r="BU10" t="s">
        <v>297</v>
      </c>
      <c r="BV10" t="s">
        <v>300</v>
      </c>
      <c r="BW10" t="s">
        <v>302</v>
      </c>
      <c r="BX10" t="s">
        <v>304</v>
      </c>
      <c r="BZ10">
        <v>0</v>
      </c>
      <c r="CA10">
        <v>1</v>
      </c>
      <c r="CB10" t="s">
        <v>310</v>
      </c>
      <c r="CD10" t="s">
        <v>76</v>
      </c>
      <c r="CE10" t="s">
        <v>326</v>
      </c>
      <c r="CF10" s="144">
        <v>44012.540289351855</v>
      </c>
      <c r="CG10" s="144">
        <v>44012.545543981483</v>
      </c>
      <c r="CH10" t="s">
        <v>8156</v>
      </c>
    </row>
    <row r="11" spans="1:86" ht="15" customHeight="1" x14ac:dyDescent="0.35">
      <c r="A11" t="s">
        <v>552</v>
      </c>
      <c r="B11">
        <v>1</v>
      </c>
      <c r="C11">
        <v>1</v>
      </c>
      <c r="D11" t="s">
        <v>78</v>
      </c>
      <c r="E11" t="s">
        <v>89</v>
      </c>
      <c r="I11" t="s">
        <v>88</v>
      </c>
      <c r="J11">
        <v>7</v>
      </c>
      <c r="L11" t="s">
        <v>1704</v>
      </c>
      <c r="M11" t="s">
        <v>88</v>
      </c>
      <c r="N11">
        <v>6</v>
      </c>
      <c r="P11" t="s">
        <v>2012</v>
      </c>
      <c r="Q11" t="s">
        <v>90</v>
      </c>
      <c r="R11">
        <v>6</v>
      </c>
      <c r="T11" t="s">
        <v>2378</v>
      </c>
      <c r="U11" t="s">
        <v>90</v>
      </c>
      <c r="V11">
        <v>5</v>
      </c>
      <c r="Y11" t="s">
        <v>89</v>
      </c>
      <c r="AC11" t="s">
        <v>89</v>
      </c>
      <c r="AG11" t="s">
        <v>89</v>
      </c>
      <c r="AK11" t="s">
        <v>89</v>
      </c>
      <c r="AO11" t="s">
        <v>89</v>
      </c>
      <c r="AS11" t="s">
        <v>89</v>
      </c>
      <c r="AW11" t="s">
        <v>89</v>
      </c>
      <c r="BA11" t="s">
        <v>89</v>
      </c>
      <c r="BE11" t="s">
        <v>222</v>
      </c>
      <c r="BG11" t="s">
        <v>233</v>
      </c>
      <c r="BH11" t="s">
        <v>5082</v>
      </c>
      <c r="BI11" t="s">
        <v>247</v>
      </c>
      <c r="BJ11" t="s">
        <v>252</v>
      </c>
      <c r="BK11" t="s">
        <v>258</v>
      </c>
      <c r="BL11" t="s">
        <v>264</v>
      </c>
      <c r="BM11" t="s">
        <v>269</v>
      </c>
      <c r="BN11" t="s">
        <v>6473</v>
      </c>
      <c r="BO11" t="s">
        <v>76</v>
      </c>
      <c r="BP11" t="s">
        <v>264</v>
      </c>
      <c r="BT11" t="s">
        <v>6900</v>
      </c>
      <c r="BU11" t="s">
        <v>297</v>
      </c>
      <c r="BV11" t="s">
        <v>300</v>
      </c>
      <c r="BW11" t="s">
        <v>302</v>
      </c>
      <c r="BX11" t="s">
        <v>304</v>
      </c>
      <c r="BZ11">
        <v>0</v>
      </c>
      <c r="CA11">
        <v>0</v>
      </c>
      <c r="CE11" t="s">
        <v>330</v>
      </c>
      <c r="CF11" s="144">
        <v>43993.643599537034</v>
      </c>
      <c r="CG11" s="144">
        <v>43993.658668981479</v>
      </c>
      <c r="CH11" t="s">
        <v>8158</v>
      </c>
    </row>
    <row r="12" spans="1:86" ht="15" customHeight="1" x14ac:dyDescent="0.35">
      <c r="A12" t="s">
        <v>554</v>
      </c>
      <c r="B12">
        <v>1</v>
      </c>
      <c r="C12">
        <v>1</v>
      </c>
      <c r="D12" t="s">
        <v>77</v>
      </c>
      <c r="E12" t="s">
        <v>88</v>
      </c>
      <c r="F12">
        <v>5</v>
      </c>
      <c r="I12" t="s">
        <v>88</v>
      </c>
      <c r="J12">
        <v>5</v>
      </c>
      <c r="M12" t="s">
        <v>136</v>
      </c>
      <c r="O12">
        <v>7</v>
      </c>
      <c r="Q12" t="s">
        <v>90</v>
      </c>
      <c r="R12">
        <v>7</v>
      </c>
      <c r="U12" t="s">
        <v>136</v>
      </c>
      <c r="W12">
        <v>7</v>
      </c>
      <c r="Y12" t="s">
        <v>136</v>
      </c>
      <c r="AA12">
        <v>7</v>
      </c>
      <c r="AC12" t="s">
        <v>153</v>
      </c>
      <c r="AD12">
        <v>6</v>
      </c>
      <c r="AG12" t="s">
        <v>169</v>
      </c>
      <c r="AI12">
        <v>5</v>
      </c>
      <c r="AK12" t="s">
        <v>169</v>
      </c>
      <c r="AM12">
        <v>5</v>
      </c>
      <c r="AO12" t="s">
        <v>188</v>
      </c>
      <c r="AP12">
        <v>6</v>
      </c>
      <c r="AS12" t="s">
        <v>201</v>
      </c>
      <c r="AT12">
        <v>6</v>
      </c>
      <c r="AW12" t="s">
        <v>211</v>
      </c>
      <c r="AY12">
        <v>6</v>
      </c>
      <c r="BA12" t="s">
        <v>211</v>
      </c>
      <c r="BC12">
        <v>7</v>
      </c>
      <c r="BE12" t="s">
        <v>223</v>
      </c>
      <c r="BG12" t="s">
        <v>232</v>
      </c>
      <c r="BH12" t="s">
        <v>235</v>
      </c>
      <c r="BI12" t="s">
        <v>241</v>
      </c>
      <c r="BJ12" t="s">
        <v>255</v>
      </c>
      <c r="BK12" t="s">
        <v>259</v>
      </c>
      <c r="BL12" t="s">
        <v>264</v>
      </c>
      <c r="BM12" t="s">
        <v>264</v>
      </c>
      <c r="BN12" t="s">
        <v>272</v>
      </c>
      <c r="BO12" t="s">
        <v>275</v>
      </c>
      <c r="BP12" t="s">
        <v>264</v>
      </c>
      <c r="BT12" t="s">
        <v>6890</v>
      </c>
      <c r="BU12" t="s">
        <v>297</v>
      </c>
      <c r="BV12" t="s">
        <v>299</v>
      </c>
      <c r="BW12" t="s">
        <v>302</v>
      </c>
      <c r="BX12" t="s">
        <v>304</v>
      </c>
      <c r="BZ12">
        <v>0</v>
      </c>
      <c r="CA12">
        <v>0</v>
      </c>
      <c r="CE12" t="s">
        <v>330</v>
      </c>
      <c r="CF12" s="144">
        <v>43986.620347222219</v>
      </c>
      <c r="CG12" s="144">
        <v>43986.631874999999</v>
      </c>
      <c r="CH12" t="s">
        <v>8160</v>
      </c>
    </row>
    <row r="13" spans="1:86" ht="15" customHeight="1" x14ac:dyDescent="0.35">
      <c r="A13" t="s">
        <v>556</v>
      </c>
      <c r="B13">
        <v>1</v>
      </c>
      <c r="C13">
        <v>1</v>
      </c>
      <c r="D13" t="s">
        <v>76</v>
      </c>
      <c r="E13" t="s">
        <v>88</v>
      </c>
      <c r="F13">
        <v>6</v>
      </c>
      <c r="H13" t="s">
        <v>1353</v>
      </c>
      <c r="I13" t="s">
        <v>89</v>
      </c>
      <c r="M13" t="s">
        <v>89</v>
      </c>
      <c r="Q13" t="s">
        <v>89</v>
      </c>
      <c r="U13" t="s">
        <v>89</v>
      </c>
      <c r="Y13" t="s">
        <v>89</v>
      </c>
      <c r="AC13" t="s">
        <v>89</v>
      </c>
      <c r="AG13" t="s">
        <v>89</v>
      </c>
      <c r="AK13" t="s">
        <v>89</v>
      </c>
      <c r="AO13" t="s">
        <v>89</v>
      </c>
      <c r="AS13" t="s">
        <v>201</v>
      </c>
      <c r="AT13">
        <v>6</v>
      </c>
      <c r="AV13" t="s">
        <v>4361</v>
      </c>
      <c r="AW13" t="s">
        <v>211</v>
      </c>
      <c r="AY13">
        <v>7</v>
      </c>
      <c r="AZ13" t="s">
        <v>4600</v>
      </c>
      <c r="BA13" t="s">
        <v>211</v>
      </c>
      <c r="BC13">
        <v>7</v>
      </c>
      <c r="BD13" t="s">
        <v>4851</v>
      </c>
      <c r="BE13" t="s">
        <v>222</v>
      </c>
      <c r="BG13" t="s">
        <v>4968</v>
      </c>
      <c r="BH13" t="s">
        <v>235</v>
      </c>
      <c r="BI13" t="s">
        <v>241</v>
      </c>
      <c r="BJ13" t="s">
        <v>249</v>
      </c>
      <c r="BK13" t="s">
        <v>257</v>
      </c>
      <c r="BL13" t="s">
        <v>264</v>
      </c>
      <c r="BM13" t="s">
        <v>264</v>
      </c>
      <c r="BN13" t="s">
        <v>271</v>
      </c>
      <c r="BO13" t="s">
        <v>275</v>
      </c>
      <c r="BP13" t="s">
        <v>269</v>
      </c>
      <c r="BQ13" t="s">
        <v>6835</v>
      </c>
      <c r="BR13" t="s">
        <v>6835</v>
      </c>
      <c r="BS13" t="s">
        <v>6834</v>
      </c>
      <c r="BT13" t="s">
        <v>6904</v>
      </c>
      <c r="BU13" t="s">
        <v>297</v>
      </c>
      <c r="BV13" t="s">
        <v>7220</v>
      </c>
      <c r="BW13" t="s">
        <v>302</v>
      </c>
      <c r="BX13" t="s">
        <v>304</v>
      </c>
      <c r="BZ13">
        <v>0</v>
      </c>
      <c r="CA13">
        <v>0</v>
      </c>
      <c r="CE13" t="s">
        <v>325</v>
      </c>
      <c r="CF13" s="144">
        <v>43959.372835648152</v>
      </c>
      <c r="CG13" s="144">
        <v>43959.379965277774</v>
      </c>
      <c r="CH13" t="s">
        <v>8162</v>
      </c>
    </row>
    <row r="14" spans="1:86" ht="15" customHeight="1" x14ac:dyDescent="0.35">
      <c r="A14" t="s">
        <v>557</v>
      </c>
      <c r="B14">
        <v>1</v>
      </c>
      <c r="C14">
        <v>1</v>
      </c>
      <c r="D14" t="s">
        <v>77</v>
      </c>
      <c r="E14" t="s">
        <v>88</v>
      </c>
      <c r="F14">
        <v>7</v>
      </c>
      <c r="I14" t="s">
        <v>108</v>
      </c>
      <c r="K14">
        <v>6</v>
      </c>
      <c r="M14" t="s">
        <v>89</v>
      </c>
      <c r="Q14" t="s">
        <v>108</v>
      </c>
      <c r="U14" t="s">
        <v>89</v>
      </c>
      <c r="Y14" t="s">
        <v>89</v>
      </c>
      <c r="AC14" t="s">
        <v>89</v>
      </c>
      <c r="AG14" t="s">
        <v>89</v>
      </c>
      <c r="AK14" t="s">
        <v>89</v>
      </c>
      <c r="AO14" t="s">
        <v>89</v>
      </c>
      <c r="AS14" t="s">
        <v>89</v>
      </c>
      <c r="AW14" t="s">
        <v>89</v>
      </c>
      <c r="BA14" t="s">
        <v>89</v>
      </c>
      <c r="BE14" t="s">
        <v>223</v>
      </c>
      <c r="BG14" t="s">
        <v>232</v>
      </c>
      <c r="BH14" t="s">
        <v>236</v>
      </c>
      <c r="BI14" t="s">
        <v>242</v>
      </c>
      <c r="BJ14" t="s">
        <v>250</v>
      </c>
      <c r="BK14" t="s">
        <v>258</v>
      </c>
      <c r="BL14" t="s">
        <v>265</v>
      </c>
      <c r="BM14" t="s">
        <v>264</v>
      </c>
      <c r="BN14" t="s">
        <v>272</v>
      </c>
      <c r="BO14" t="s">
        <v>275</v>
      </c>
      <c r="BP14" t="s">
        <v>264</v>
      </c>
      <c r="BT14" t="s">
        <v>6890</v>
      </c>
      <c r="BU14" t="s">
        <v>297</v>
      </c>
      <c r="BV14" t="s">
        <v>299</v>
      </c>
      <c r="BW14" t="s">
        <v>302</v>
      </c>
      <c r="BX14" t="s">
        <v>304</v>
      </c>
      <c r="BZ14">
        <v>0</v>
      </c>
      <c r="CA14">
        <v>1</v>
      </c>
      <c r="CB14" t="s">
        <v>310</v>
      </c>
      <c r="CC14" t="s">
        <v>315</v>
      </c>
      <c r="CD14" t="s">
        <v>320</v>
      </c>
      <c r="CE14" t="s">
        <v>325</v>
      </c>
      <c r="CF14" s="144">
        <v>43948.875914351855</v>
      </c>
      <c r="CG14" s="144">
        <v>43948.885347222225</v>
      </c>
      <c r="CH14" t="s">
        <v>8163</v>
      </c>
    </row>
    <row r="15" spans="1:86" ht="15" customHeight="1" x14ac:dyDescent="0.35">
      <c r="A15" t="s">
        <v>558</v>
      </c>
      <c r="B15">
        <v>1</v>
      </c>
      <c r="C15">
        <v>1</v>
      </c>
      <c r="D15" t="s">
        <v>78</v>
      </c>
      <c r="E15" t="s">
        <v>88</v>
      </c>
      <c r="F15">
        <v>7</v>
      </c>
      <c r="H15" t="s">
        <v>1354</v>
      </c>
      <c r="I15" t="s">
        <v>89</v>
      </c>
      <c r="M15" t="s">
        <v>89</v>
      </c>
      <c r="Q15" t="s">
        <v>108</v>
      </c>
      <c r="S15">
        <v>6</v>
      </c>
      <c r="T15" t="s">
        <v>2379</v>
      </c>
      <c r="U15" t="s">
        <v>89</v>
      </c>
      <c r="Y15" t="s">
        <v>89</v>
      </c>
      <c r="AC15" t="s">
        <v>153</v>
      </c>
      <c r="AD15">
        <v>5</v>
      </c>
      <c r="AG15" t="s">
        <v>89</v>
      </c>
      <c r="AK15" t="s">
        <v>89</v>
      </c>
      <c r="AO15" t="s">
        <v>89</v>
      </c>
      <c r="AS15" t="s">
        <v>201</v>
      </c>
      <c r="AT15">
        <v>5</v>
      </c>
      <c r="AV15" t="s">
        <v>4362</v>
      </c>
      <c r="AW15" t="s">
        <v>211</v>
      </c>
      <c r="AY15">
        <v>6</v>
      </c>
      <c r="AZ15" t="s">
        <v>4601</v>
      </c>
      <c r="BA15" t="s">
        <v>211</v>
      </c>
      <c r="BC15">
        <v>6</v>
      </c>
      <c r="BE15" t="s">
        <v>4917</v>
      </c>
      <c r="BF15" t="s">
        <v>4917</v>
      </c>
      <c r="BG15" t="s">
        <v>232</v>
      </c>
      <c r="BH15" t="s">
        <v>237</v>
      </c>
      <c r="BI15" t="s">
        <v>242</v>
      </c>
      <c r="BJ15" t="s">
        <v>249</v>
      </c>
      <c r="BK15" t="s">
        <v>258</v>
      </c>
      <c r="BL15" t="s">
        <v>264</v>
      </c>
      <c r="BM15" t="s">
        <v>264</v>
      </c>
      <c r="BN15" t="s">
        <v>273</v>
      </c>
      <c r="BO15" t="s">
        <v>276</v>
      </c>
      <c r="BP15" t="s">
        <v>264</v>
      </c>
      <c r="BT15" t="s">
        <v>6906</v>
      </c>
      <c r="BU15" t="s">
        <v>297</v>
      </c>
      <c r="BV15" t="s">
        <v>76</v>
      </c>
      <c r="BW15" t="s">
        <v>302</v>
      </c>
      <c r="BX15" t="s">
        <v>304</v>
      </c>
      <c r="BZ15">
        <v>0</v>
      </c>
      <c r="CA15">
        <v>0</v>
      </c>
      <c r="CE15" t="s">
        <v>7864</v>
      </c>
      <c r="CF15" s="144">
        <v>43947.838761574072</v>
      </c>
      <c r="CG15" s="144">
        <v>43947.848506944443</v>
      </c>
      <c r="CH15" t="s">
        <v>8164</v>
      </c>
    </row>
    <row r="16" spans="1:86" ht="15" customHeight="1" x14ac:dyDescent="0.35">
      <c r="A16" t="s">
        <v>60</v>
      </c>
      <c r="B16">
        <v>1</v>
      </c>
      <c r="C16">
        <v>1</v>
      </c>
      <c r="D16" t="s">
        <v>79</v>
      </c>
      <c r="E16" t="s">
        <v>88</v>
      </c>
      <c r="F16">
        <v>8</v>
      </c>
      <c r="I16" t="s">
        <v>88</v>
      </c>
      <c r="J16">
        <v>5</v>
      </c>
      <c r="M16" t="s">
        <v>88</v>
      </c>
      <c r="N16">
        <v>6</v>
      </c>
      <c r="Q16" t="s">
        <v>89</v>
      </c>
      <c r="U16" t="s">
        <v>89</v>
      </c>
      <c r="Y16" t="s">
        <v>108</v>
      </c>
      <c r="Z16">
        <v>6</v>
      </c>
      <c r="AC16" t="s">
        <v>154</v>
      </c>
      <c r="AE16">
        <v>5</v>
      </c>
      <c r="AG16" t="s">
        <v>153</v>
      </c>
      <c r="AH16">
        <v>6</v>
      </c>
      <c r="AK16" t="s">
        <v>154</v>
      </c>
      <c r="AL16">
        <v>8</v>
      </c>
      <c r="AO16" t="s">
        <v>187</v>
      </c>
      <c r="AQ16">
        <v>5</v>
      </c>
      <c r="BE16" t="s">
        <v>223</v>
      </c>
      <c r="BG16" t="s">
        <v>232</v>
      </c>
      <c r="BH16" t="s">
        <v>236</v>
      </c>
      <c r="BI16" t="s">
        <v>243</v>
      </c>
      <c r="BJ16" t="s">
        <v>250</v>
      </c>
      <c r="BK16" t="s">
        <v>258</v>
      </c>
      <c r="BL16" t="s">
        <v>265</v>
      </c>
      <c r="BM16" t="s">
        <v>269</v>
      </c>
      <c r="BN16" t="s">
        <v>272</v>
      </c>
      <c r="BO16" t="s">
        <v>275</v>
      </c>
      <c r="BP16" t="s">
        <v>264</v>
      </c>
      <c r="BT16" t="s">
        <v>283</v>
      </c>
      <c r="BU16" t="s">
        <v>297</v>
      </c>
      <c r="BV16" t="s">
        <v>300</v>
      </c>
      <c r="BW16" t="s">
        <v>302</v>
      </c>
      <c r="BX16" t="s">
        <v>304</v>
      </c>
      <c r="BZ16">
        <v>1</v>
      </c>
      <c r="CA16">
        <v>0</v>
      </c>
      <c r="CE16" t="s">
        <v>326</v>
      </c>
      <c r="CF16" s="144">
        <v>43944.535173611112</v>
      </c>
      <c r="CG16" s="144">
        <v>43944.544583333336</v>
      </c>
      <c r="CH16" t="s">
        <v>334</v>
      </c>
    </row>
    <row r="17" spans="1:86" ht="15" customHeight="1" x14ac:dyDescent="0.35">
      <c r="A17" t="s">
        <v>562</v>
      </c>
      <c r="B17">
        <v>1</v>
      </c>
      <c r="C17">
        <v>1</v>
      </c>
      <c r="D17" t="s">
        <v>79</v>
      </c>
      <c r="E17" t="s">
        <v>89</v>
      </c>
      <c r="I17" t="s">
        <v>108</v>
      </c>
      <c r="K17">
        <v>4</v>
      </c>
      <c r="L17" t="s">
        <v>1706</v>
      </c>
      <c r="M17" t="s">
        <v>88</v>
      </c>
      <c r="N17">
        <v>6</v>
      </c>
      <c r="Q17" t="s">
        <v>108</v>
      </c>
      <c r="S17">
        <v>4</v>
      </c>
      <c r="U17" t="s">
        <v>90</v>
      </c>
      <c r="V17">
        <v>6</v>
      </c>
      <c r="Y17" t="s">
        <v>108</v>
      </c>
      <c r="Z17">
        <v>8</v>
      </c>
      <c r="AC17" t="s">
        <v>153</v>
      </c>
      <c r="AD17">
        <v>3</v>
      </c>
      <c r="AF17" t="s">
        <v>3309</v>
      </c>
      <c r="AG17" t="s">
        <v>89</v>
      </c>
      <c r="AK17" t="s">
        <v>89</v>
      </c>
      <c r="AO17" t="s">
        <v>187</v>
      </c>
      <c r="AQ17">
        <v>2</v>
      </c>
      <c r="AS17" t="s">
        <v>201</v>
      </c>
      <c r="AT17">
        <v>6</v>
      </c>
      <c r="AV17" t="s">
        <v>4364</v>
      </c>
      <c r="AW17" t="s">
        <v>201</v>
      </c>
      <c r="AX17">
        <v>3</v>
      </c>
      <c r="AZ17" t="s">
        <v>4602</v>
      </c>
      <c r="BA17" t="s">
        <v>211</v>
      </c>
      <c r="BC17">
        <v>3</v>
      </c>
      <c r="BE17" t="s">
        <v>4921</v>
      </c>
      <c r="BF17" t="s">
        <v>4921</v>
      </c>
      <c r="BG17" t="s">
        <v>232</v>
      </c>
      <c r="BH17" t="s">
        <v>238</v>
      </c>
      <c r="BI17" t="s">
        <v>244</v>
      </c>
      <c r="BJ17" t="s">
        <v>251</v>
      </c>
      <c r="BK17" t="s">
        <v>259</v>
      </c>
      <c r="BL17" t="s">
        <v>264</v>
      </c>
      <c r="BM17" t="s">
        <v>264</v>
      </c>
      <c r="BN17" t="s">
        <v>271</v>
      </c>
      <c r="BO17" t="s">
        <v>276</v>
      </c>
      <c r="BP17" t="s">
        <v>264</v>
      </c>
      <c r="BT17" t="s">
        <v>4921</v>
      </c>
      <c r="BU17" t="s">
        <v>297</v>
      </c>
      <c r="BV17" t="s">
        <v>300</v>
      </c>
      <c r="BW17" t="s">
        <v>302</v>
      </c>
      <c r="BX17" t="s">
        <v>305</v>
      </c>
      <c r="BZ17">
        <v>0</v>
      </c>
      <c r="CA17">
        <v>0</v>
      </c>
      <c r="CE17" t="s">
        <v>326</v>
      </c>
      <c r="CF17" s="144">
        <v>43930.142592592594</v>
      </c>
      <c r="CG17" s="144">
        <v>43930.150787037041</v>
      </c>
      <c r="CH17" t="s">
        <v>8168</v>
      </c>
    </row>
    <row r="18" spans="1:86" ht="15" customHeight="1" x14ac:dyDescent="0.35">
      <c r="A18" t="s">
        <v>61</v>
      </c>
      <c r="B18">
        <v>1</v>
      </c>
      <c r="C18">
        <v>1</v>
      </c>
      <c r="D18" t="s">
        <v>78</v>
      </c>
      <c r="E18" t="s">
        <v>89</v>
      </c>
      <c r="I18" t="s">
        <v>89</v>
      </c>
      <c r="M18" t="s">
        <v>89</v>
      </c>
      <c r="Q18" t="s">
        <v>89</v>
      </c>
      <c r="U18" t="s">
        <v>89</v>
      </c>
      <c r="Y18" t="s">
        <v>89</v>
      </c>
      <c r="AC18" t="s">
        <v>153</v>
      </c>
      <c r="AD18">
        <v>5</v>
      </c>
      <c r="AF18" t="s">
        <v>161</v>
      </c>
      <c r="AG18" t="s">
        <v>89</v>
      </c>
      <c r="AK18" t="s">
        <v>169</v>
      </c>
      <c r="AM18">
        <v>5</v>
      </c>
      <c r="AN18" t="s">
        <v>181</v>
      </c>
      <c r="AO18" t="s">
        <v>188</v>
      </c>
      <c r="AP18">
        <v>8</v>
      </c>
      <c r="AR18" t="s">
        <v>195</v>
      </c>
      <c r="BE18" t="s">
        <v>225</v>
      </c>
      <c r="BG18" t="s">
        <v>232</v>
      </c>
      <c r="BH18" t="s">
        <v>236</v>
      </c>
      <c r="BI18" t="s">
        <v>242</v>
      </c>
      <c r="BJ18" t="s">
        <v>249</v>
      </c>
      <c r="BK18" t="s">
        <v>258</v>
      </c>
      <c r="BL18" t="s">
        <v>265</v>
      </c>
      <c r="BM18" t="s">
        <v>269</v>
      </c>
      <c r="BN18" t="s">
        <v>272</v>
      </c>
      <c r="BO18" t="s">
        <v>275</v>
      </c>
      <c r="BP18" t="s">
        <v>264</v>
      </c>
      <c r="BT18" t="s">
        <v>285</v>
      </c>
      <c r="BU18" t="s">
        <v>297</v>
      </c>
      <c r="BV18" t="s">
        <v>300</v>
      </c>
      <c r="BW18" t="s">
        <v>302</v>
      </c>
      <c r="BX18" t="s">
        <v>304</v>
      </c>
      <c r="BZ18">
        <v>1</v>
      </c>
      <c r="CA18">
        <v>0</v>
      </c>
      <c r="CE18" t="s">
        <v>327</v>
      </c>
      <c r="CF18" s="144">
        <v>43923.233263888891</v>
      </c>
      <c r="CG18" s="144">
        <v>43923.240949074076</v>
      </c>
      <c r="CH18" t="s">
        <v>335</v>
      </c>
    </row>
    <row r="19" spans="1:86" ht="15" customHeight="1" x14ac:dyDescent="0.35">
      <c r="A19" t="s">
        <v>567</v>
      </c>
      <c r="B19">
        <v>1</v>
      </c>
      <c r="C19">
        <v>1</v>
      </c>
      <c r="D19" t="s">
        <v>79</v>
      </c>
      <c r="E19" t="s">
        <v>88</v>
      </c>
      <c r="F19">
        <v>6</v>
      </c>
      <c r="I19" t="s">
        <v>89</v>
      </c>
      <c r="M19" t="s">
        <v>89</v>
      </c>
      <c r="Q19" t="s">
        <v>108</v>
      </c>
      <c r="S19">
        <v>7</v>
      </c>
      <c r="U19" t="s">
        <v>136</v>
      </c>
      <c r="W19">
        <v>5</v>
      </c>
      <c r="Y19" t="s">
        <v>89</v>
      </c>
      <c r="AC19" t="s">
        <v>89</v>
      </c>
      <c r="AG19" t="s">
        <v>153</v>
      </c>
      <c r="AH19">
        <v>6</v>
      </c>
      <c r="AK19" t="s">
        <v>89</v>
      </c>
      <c r="AO19" t="s">
        <v>187</v>
      </c>
      <c r="AQ19">
        <v>5</v>
      </c>
      <c r="BE19" t="s">
        <v>223</v>
      </c>
      <c r="BG19" t="s">
        <v>4968</v>
      </c>
      <c r="BH19" t="s">
        <v>236</v>
      </c>
      <c r="BI19" t="s">
        <v>243</v>
      </c>
      <c r="BJ19" t="s">
        <v>252</v>
      </c>
      <c r="BK19" t="s">
        <v>259</v>
      </c>
      <c r="BL19" t="s">
        <v>265</v>
      </c>
      <c r="BM19" t="s">
        <v>269</v>
      </c>
      <c r="BN19" t="s">
        <v>272</v>
      </c>
      <c r="BO19" t="s">
        <v>275</v>
      </c>
      <c r="BP19" t="s">
        <v>264</v>
      </c>
      <c r="BT19" t="s">
        <v>283</v>
      </c>
      <c r="BU19" t="s">
        <v>297</v>
      </c>
      <c r="BV19" t="s">
        <v>299</v>
      </c>
      <c r="BW19" t="s">
        <v>302</v>
      </c>
      <c r="BX19" t="s">
        <v>304</v>
      </c>
      <c r="BZ19">
        <v>0</v>
      </c>
      <c r="CA19">
        <v>0</v>
      </c>
      <c r="CE19" t="s">
        <v>329</v>
      </c>
      <c r="CF19" s="144">
        <v>43908.590902777774</v>
      </c>
      <c r="CG19" s="144">
        <v>43908.595312500001</v>
      </c>
      <c r="CH19" t="s">
        <v>8173</v>
      </c>
    </row>
    <row r="20" spans="1:86" ht="15" customHeight="1" x14ac:dyDescent="0.35">
      <c r="A20" t="s">
        <v>568</v>
      </c>
      <c r="B20">
        <v>1</v>
      </c>
      <c r="C20">
        <v>1</v>
      </c>
      <c r="D20" t="s">
        <v>80</v>
      </c>
      <c r="E20" t="s">
        <v>88</v>
      </c>
      <c r="F20">
        <v>6</v>
      </c>
      <c r="H20" s="21" t="s">
        <v>1356</v>
      </c>
      <c r="I20" t="s">
        <v>88</v>
      </c>
      <c r="J20">
        <v>6</v>
      </c>
      <c r="L20" s="21"/>
      <c r="M20" t="s">
        <v>88</v>
      </c>
      <c r="N20">
        <v>7</v>
      </c>
      <c r="Q20" t="s">
        <v>90</v>
      </c>
      <c r="R20">
        <v>6</v>
      </c>
      <c r="T20" s="21"/>
      <c r="U20" t="s">
        <v>90</v>
      </c>
      <c r="V20">
        <v>6</v>
      </c>
      <c r="X20" s="21"/>
      <c r="Y20" t="s">
        <v>108</v>
      </c>
      <c r="Z20">
        <v>5</v>
      </c>
      <c r="AB20" s="21"/>
      <c r="AC20" t="s">
        <v>153</v>
      </c>
      <c r="AD20">
        <v>4</v>
      </c>
      <c r="AG20" t="s">
        <v>89</v>
      </c>
      <c r="AJ20" s="21"/>
      <c r="AK20" t="s">
        <v>169</v>
      </c>
      <c r="AM20">
        <v>2</v>
      </c>
      <c r="AN20" s="21"/>
      <c r="AO20" t="s">
        <v>188</v>
      </c>
      <c r="AP20">
        <v>3</v>
      </c>
      <c r="AR20" s="21"/>
      <c r="AS20" t="s">
        <v>202</v>
      </c>
      <c r="AU20">
        <v>7</v>
      </c>
      <c r="AV20" s="21"/>
      <c r="AW20" t="s">
        <v>89</v>
      </c>
      <c r="AZ20" s="21"/>
      <c r="BA20" t="s">
        <v>202</v>
      </c>
      <c r="BB20">
        <v>7</v>
      </c>
      <c r="BD20" s="21"/>
      <c r="BE20" t="s">
        <v>4925</v>
      </c>
      <c r="BF20" t="s">
        <v>4925</v>
      </c>
      <c r="BG20" t="s">
        <v>232</v>
      </c>
      <c r="BH20" t="s">
        <v>239</v>
      </c>
      <c r="BI20" t="s">
        <v>241</v>
      </c>
      <c r="BJ20" t="s">
        <v>252</v>
      </c>
      <c r="BK20" t="s">
        <v>257</v>
      </c>
      <c r="BL20" t="s">
        <v>264</v>
      </c>
      <c r="BM20" t="s">
        <v>264</v>
      </c>
      <c r="BN20" t="s">
        <v>272</v>
      </c>
      <c r="BO20" t="s">
        <v>275</v>
      </c>
      <c r="BP20" t="s">
        <v>264</v>
      </c>
      <c r="BT20" t="s">
        <v>6916</v>
      </c>
      <c r="BU20" t="s">
        <v>297</v>
      </c>
      <c r="BV20" t="s">
        <v>300</v>
      </c>
      <c r="BW20" t="s">
        <v>302</v>
      </c>
      <c r="BX20" t="s">
        <v>304</v>
      </c>
      <c r="BZ20">
        <v>0</v>
      </c>
      <c r="CA20">
        <v>1</v>
      </c>
      <c r="CB20" t="s">
        <v>310</v>
      </c>
      <c r="CC20" t="s">
        <v>315</v>
      </c>
      <c r="CD20" t="s">
        <v>76</v>
      </c>
      <c r="CE20" t="s">
        <v>327</v>
      </c>
      <c r="CF20" s="144">
        <v>43907.649444444447</v>
      </c>
      <c r="CG20" s="144">
        <v>43907.659884259258</v>
      </c>
      <c r="CH20" t="s">
        <v>8174</v>
      </c>
    </row>
    <row r="21" spans="1:86" ht="15" customHeight="1" x14ac:dyDescent="0.35">
      <c r="A21" t="s">
        <v>62</v>
      </c>
      <c r="B21">
        <v>1</v>
      </c>
      <c r="C21">
        <v>1</v>
      </c>
      <c r="D21" t="s">
        <v>78</v>
      </c>
      <c r="E21" t="s">
        <v>89</v>
      </c>
      <c r="I21" t="s">
        <v>88</v>
      </c>
      <c r="J21">
        <v>6</v>
      </c>
      <c r="L21" t="s">
        <v>114</v>
      </c>
      <c r="M21" t="s">
        <v>88</v>
      </c>
      <c r="N21">
        <v>7</v>
      </c>
      <c r="P21" t="s">
        <v>122</v>
      </c>
      <c r="Q21" t="s">
        <v>90</v>
      </c>
      <c r="R21">
        <v>6</v>
      </c>
      <c r="T21" t="s">
        <v>131</v>
      </c>
      <c r="U21" t="s">
        <v>90</v>
      </c>
      <c r="V21">
        <v>7</v>
      </c>
      <c r="X21" t="s">
        <v>141</v>
      </c>
      <c r="Y21" t="s">
        <v>108</v>
      </c>
      <c r="Z21">
        <v>3</v>
      </c>
      <c r="AB21" t="s">
        <v>149</v>
      </c>
      <c r="AC21" t="s">
        <v>89</v>
      </c>
      <c r="AG21" t="s">
        <v>89</v>
      </c>
      <c r="AK21" t="s">
        <v>89</v>
      </c>
      <c r="AO21" t="s">
        <v>187</v>
      </c>
      <c r="AQ21">
        <v>5</v>
      </c>
      <c r="AR21" t="s">
        <v>196</v>
      </c>
      <c r="AS21" t="s">
        <v>201</v>
      </c>
      <c r="AT21">
        <v>4</v>
      </c>
      <c r="AV21" t="s">
        <v>209</v>
      </c>
      <c r="AW21" t="s">
        <v>201</v>
      </c>
      <c r="AX21">
        <v>2</v>
      </c>
      <c r="AZ21" t="s">
        <v>216</v>
      </c>
      <c r="BA21" t="s">
        <v>211</v>
      </c>
      <c r="BC21">
        <v>4</v>
      </c>
      <c r="BE21" t="s">
        <v>222</v>
      </c>
      <c r="BG21" t="s">
        <v>232</v>
      </c>
      <c r="BH21" t="s">
        <v>235</v>
      </c>
      <c r="BI21" t="s">
        <v>242</v>
      </c>
      <c r="BJ21" t="s">
        <v>253</v>
      </c>
      <c r="BK21" t="s">
        <v>258</v>
      </c>
      <c r="BL21" t="s">
        <v>264</v>
      </c>
      <c r="BM21" t="s">
        <v>264</v>
      </c>
      <c r="BN21" t="s">
        <v>272</v>
      </c>
      <c r="BO21" t="s">
        <v>275</v>
      </c>
      <c r="BP21" t="s">
        <v>264</v>
      </c>
      <c r="BT21" t="s">
        <v>286</v>
      </c>
      <c r="BU21" t="s">
        <v>297</v>
      </c>
      <c r="BV21" t="s">
        <v>300</v>
      </c>
      <c r="BW21" t="s">
        <v>302</v>
      </c>
      <c r="BX21" t="s">
        <v>304</v>
      </c>
      <c r="BZ21">
        <v>1</v>
      </c>
      <c r="CA21">
        <v>0</v>
      </c>
      <c r="CE21" t="s">
        <v>328</v>
      </c>
      <c r="CF21" s="144">
        <v>43907.430335648147</v>
      </c>
      <c r="CG21" s="144">
        <v>43907.442673611113</v>
      </c>
      <c r="CH21" s="24" t="s">
        <v>336</v>
      </c>
    </row>
    <row r="22" spans="1:86" ht="15" customHeight="1" x14ac:dyDescent="0.35">
      <c r="A22" t="s">
        <v>570</v>
      </c>
      <c r="B22">
        <v>1</v>
      </c>
      <c r="C22">
        <v>1</v>
      </c>
      <c r="D22" t="s">
        <v>79</v>
      </c>
      <c r="E22" t="s">
        <v>89</v>
      </c>
      <c r="I22" t="s">
        <v>88</v>
      </c>
      <c r="J22">
        <v>5</v>
      </c>
      <c r="M22" t="s">
        <v>88</v>
      </c>
      <c r="N22">
        <v>6</v>
      </c>
      <c r="Q22" t="s">
        <v>89</v>
      </c>
      <c r="U22" t="s">
        <v>90</v>
      </c>
      <c r="Y22" t="s">
        <v>108</v>
      </c>
      <c r="Z22">
        <v>6</v>
      </c>
      <c r="AB22" t="s">
        <v>3027</v>
      </c>
      <c r="AC22" t="s">
        <v>89</v>
      </c>
      <c r="AG22" t="s">
        <v>89</v>
      </c>
      <c r="AK22" t="s">
        <v>154</v>
      </c>
      <c r="AL22">
        <v>6</v>
      </c>
      <c r="AO22" t="s">
        <v>89</v>
      </c>
      <c r="BE22" t="s">
        <v>226</v>
      </c>
      <c r="BF22" t="s">
        <v>226</v>
      </c>
      <c r="BG22" t="s">
        <v>232</v>
      </c>
      <c r="BH22" t="s">
        <v>236</v>
      </c>
      <c r="BI22" t="s">
        <v>241</v>
      </c>
      <c r="BJ22" t="s">
        <v>249</v>
      </c>
      <c r="BK22" t="s">
        <v>258</v>
      </c>
      <c r="BL22" t="s">
        <v>265</v>
      </c>
      <c r="BM22" t="s">
        <v>264</v>
      </c>
      <c r="BN22" t="s">
        <v>272</v>
      </c>
      <c r="BO22" t="s">
        <v>275</v>
      </c>
      <c r="BP22" t="s">
        <v>264</v>
      </c>
      <c r="BT22" t="s">
        <v>287</v>
      </c>
      <c r="BU22" t="s">
        <v>297</v>
      </c>
      <c r="BV22" t="s">
        <v>246</v>
      </c>
      <c r="BW22" t="s">
        <v>302</v>
      </c>
      <c r="BX22" t="s">
        <v>304</v>
      </c>
      <c r="BZ22">
        <v>0</v>
      </c>
      <c r="CA22">
        <v>0</v>
      </c>
      <c r="CE22" t="s">
        <v>325</v>
      </c>
      <c r="CF22" s="144">
        <v>43904.750868055555</v>
      </c>
      <c r="CG22" s="144">
        <v>43904.757777777777</v>
      </c>
      <c r="CH22" t="s">
        <v>8176</v>
      </c>
    </row>
    <row r="23" spans="1:86" ht="15" customHeight="1" x14ac:dyDescent="0.35">
      <c r="A23" t="s">
        <v>428</v>
      </c>
      <c r="B23">
        <v>1</v>
      </c>
      <c r="C23">
        <v>1</v>
      </c>
      <c r="D23" t="s">
        <v>78</v>
      </c>
      <c r="E23" t="s">
        <v>88</v>
      </c>
      <c r="F23">
        <v>5</v>
      </c>
      <c r="H23" t="s">
        <v>100</v>
      </c>
      <c r="I23" t="s">
        <v>89</v>
      </c>
      <c r="M23" t="s">
        <v>88</v>
      </c>
      <c r="N23">
        <v>6</v>
      </c>
      <c r="P23" t="s">
        <v>100</v>
      </c>
      <c r="Q23" t="s">
        <v>108</v>
      </c>
      <c r="S23">
        <v>7</v>
      </c>
      <c r="T23" t="s">
        <v>100</v>
      </c>
      <c r="U23" t="s">
        <v>90</v>
      </c>
      <c r="V23">
        <v>6</v>
      </c>
      <c r="X23" t="s">
        <v>100</v>
      </c>
      <c r="Y23" t="s">
        <v>108</v>
      </c>
      <c r="Z23">
        <v>7</v>
      </c>
      <c r="AB23" t="s">
        <v>100</v>
      </c>
      <c r="AC23" t="s">
        <v>89</v>
      </c>
      <c r="AG23" t="s">
        <v>89</v>
      </c>
      <c r="AK23" t="s">
        <v>89</v>
      </c>
      <c r="AO23" t="s">
        <v>187</v>
      </c>
      <c r="AQ23">
        <v>6</v>
      </c>
      <c r="AR23" t="s">
        <v>100</v>
      </c>
      <c r="AS23" t="s">
        <v>202</v>
      </c>
      <c r="AU23">
        <v>6</v>
      </c>
      <c r="AV23" t="s">
        <v>438</v>
      </c>
      <c r="AW23" t="s">
        <v>89</v>
      </c>
      <c r="BA23" t="s">
        <v>202</v>
      </c>
      <c r="BB23">
        <v>6</v>
      </c>
      <c r="BD23" t="s">
        <v>100</v>
      </c>
      <c r="BE23" t="s">
        <v>226</v>
      </c>
      <c r="BF23" t="s">
        <v>226</v>
      </c>
      <c r="BG23" t="s">
        <v>232</v>
      </c>
      <c r="BH23" t="s">
        <v>238</v>
      </c>
      <c r="BI23" t="s">
        <v>243</v>
      </c>
      <c r="BJ23" t="s">
        <v>439</v>
      </c>
      <c r="BK23" t="s">
        <v>246</v>
      </c>
      <c r="BL23" t="s">
        <v>264</v>
      </c>
      <c r="BM23" t="s">
        <v>264</v>
      </c>
      <c r="BN23" t="s">
        <v>271</v>
      </c>
      <c r="BO23" t="s">
        <v>76</v>
      </c>
      <c r="BP23" t="s">
        <v>264</v>
      </c>
      <c r="BT23" t="s">
        <v>287</v>
      </c>
      <c r="BU23" t="s">
        <v>297</v>
      </c>
      <c r="BV23" t="s">
        <v>300</v>
      </c>
      <c r="BW23" t="s">
        <v>302</v>
      </c>
      <c r="BX23" t="s">
        <v>304</v>
      </c>
      <c r="BZ23">
        <v>1</v>
      </c>
      <c r="CA23">
        <v>0</v>
      </c>
      <c r="CE23" t="s">
        <v>330</v>
      </c>
      <c r="CF23" s="144">
        <v>43902.360069444447</v>
      </c>
      <c r="CG23" s="144">
        <v>43902.364351851851</v>
      </c>
      <c r="CH23" t="s">
        <v>442</v>
      </c>
    </row>
    <row r="24" spans="1:86" ht="15" customHeight="1" x14ac:dyDescent="0.35">
      <c r="A24" t="s">
        <v>63</v>
      </c>
      <c r="B24">
        <v>1</v>
      </c>
      <c r="C24">
        <v>1</v>
      </c>
      <c r="D24" t="s">
        <v>77</v>
      </c>
      <c r="E24" t="s">
        <v>89</v>
      </c>
      <c r="I24" t="s">
        <v>89</v>
      </c>
      <c r="M24" t="s">
        <v>89</v>
      </c>
      <c r="Q24" t="s">
        <v>89</v>
      </c>
      <c r="U24" t="s">
        <v>89</v>
      </c>
      <c r="Y24" t="s">
        <v>89</v>
      </c>
      <c r="AC24" t="s">
        <v>153</v>
      </c>
      <c r="AD24">
        <v>3</v>
      </c>
      <c r="AF24" t="s">
        <v>162</v>
      </c>
      <c r="AG24" t="s">
        <v>89</v>
      </c>
      <c r="AK24" t="s">
        <v>89</v>
      </c>
      <c r="AO24" t="s">
        <v>89</v>
      </c>
      <c r="AS24" t="s">
        <v>89</v>
      </c>
      <c r="AW24" t="s">
        <v>89</v>
      </c>
      <c r="BA24" t="s">
        <v>89</v>
      </c>
      <c r="BE24" t="s">
        <v>222</v>
      </c>
      <c r="BG24" t="s">
        <v>232</v>
      </c>
      <c r="BH24" t="s">
        <v>239</v>
      </c>
      <c r="BI24" t="s">
        <v>241</v>
      </c>
      <c r="BJ24" t="s">
        <v>252</v>
      </c>
      <c r="BK24" t="s">
        <v>259</v>
      </c>
      <c r="BL24" t="s">
        <v>264</v>
      </c>
      <c r="BM24" t="s">
        <v>264</v>
      </c>
      <c r="BN24" t="s">
        <v>272</v>
      </c>
      <c r="BO24" t="s">
        <v>275</v>
      </c>
      <c r="BP24" t="s">
        <v>264</v>
      </c>
      <c r="BT24" t="s">
        <v>288</v>
      </c>
      <c r="BU24" t="s">
        <v>297</v>
      </c>
      <c r="BV24" t="s">
        <v>300</v>
      </c>
      <c r="BW24" t="s">
        <v>302</v>
      </c>
      <c r="BX24" t="s">
        <v>305</v>
      </c>
      <c r="BZ24">
        <v>1</v>
      </c>
      <c r="CA24">
        <v>1</v>
      </c>
      <c r="CB24" t="s">
        <v>76</v>
      </c>
      <c r="CC24" t="s">
        <v>315</v>
      </c>
      <c r="CD24" t="s">
        <v>76</v>
      </c>
      <c r="CE24" t="s">
        <v>330</v>
      </c>
      <c r="CF24" s="144">
        <v>43895.467939814815</v>
      </c>
      <c r="CG24" s="144">
        <v>43895.473680555559</v>
      </c>
      <c r="CH24" t="s">
        <v>337</v>
      </c>
    </row>
    <row r="25" spans="1:86" ht="15" customHeight="1" x14ac:dyDescent="0.35">
      <c r="A25" t="s">
        <v>575</v>
      </c>
      <c r="B25">
        <v>1</v>
      </c>
      <c r="C25">
        <v>1</v>
      </c>
      <c r="D25" t="s">
        <v>79</v>
      </c>
      <c r="E25" t="s">
        <v>88</v>
      </c>
      <c r="F25">
        <v>7</v>
      </c>
      <c r="H25" t="s">
        <v>1358</v>
      </c>
      <c r="I25" t="s">
        <v>88</v>
      </c>
      <c r="J25">
        <v>7</v>
      </c>
      <c r="L25" t="s">
        <v>1710</v>
      </c>
      <c r="M25" t="s">
        <v>88</v>
      </c>
      <c r="N25">
        <v>6</v>
      </c>
      <c r="Q25" t="s">
        <v>90</v>
      </c>
      <c r="R25">
        <v>6</v>
      </c>
      <c r="U25" t="s">
        <v>90</v>
      </c>
      <c r="V25">
        <v>8</v>
      </c>
      <c r="Y25" t="s">
        <v>108</v>
      </c>
      <c r="Z25">
        <v>6</v>
      </c>
      <c r="AC25" t="s">
        <v>153</v>
      </c>
      <c r="AD25">
        <v>6</v>
      </c>
      <c r="AG25" t="s">
        <v>89</v>
      </c>
      <c r="AK25" t="s">
        <v>89</v>
      </c>
      <c r="AO25" t="s">
        <v>89</v>
      </c>
      <c r="AS25" t="s">
        <v>201</v>
      </c>
      <c r="AT25">
        <v>5</v>
      </c>
      <c r="AW25" t="s">
        <v>89</v>
      </c>
      <c r="BA25" t="s">
        <v>211</v>
      </c>
      <c r="BC25">
        <v>5</v>
      </c>
      <c r="BE25" t="s">
        <v>227</v>
      </c>
      <c r="BG25" t="s">
        <v>232</v>
      </c>
      <c r="BH25" t="s">
        <v>236</v>
      </c>
      <c r="BI25" t="s">
        <v>241</v>
      </c>
      <c r="BJ25" t="s">
        <v>253</v>
      </c>
      <c r="BK25" t="s">
        <v>258</v>
      </c>
      <c r="BL25" t="s">
        <v>265</v>
      </c>
      <c r="BM25" t="s">
        <v>269</v>
      </c>
      <c r="BN25" t="s">
        <v>272</v>
      </c>
      <c r="BO25" t="s">
        <v>275</v>
      </c>
      <c r="BP25" t="s">
        <v>264</v>
      </c>
      <c r="BT25" t="s">
        <v>289</v>
      </c>
      <c r="BU25" t="s">
        <v>297</v>
      </c>
      <c r="BV25" t="s">
        <v>299</v>
      </c>
      <c r="BW25" t="s">
        <v>302</v>
      </c>
      <c r="BX25" t="s">
        <v>304</v>
      </c>
      <c r="BZ25">
        <v>0</v>
      </c>
      <c r="CA25">
        <v>0</v>
      </c>
      <c r="CE25" t="s">
        <v>326</v>
      </c>
      <c r="CF25" s="144">
        <v>43895.44158564815</v>
      </c>
      <c r="CG25" s="144">
        <v>43895.44672453704</v>
      </c>
      <c r="CH25" t="s">
        <v>8181</v>
      </c>
    </row>
    <row r="26" spans="1:86" ht="15" customHeight="1" x14ac:dyDescent="0.35">
      <c r="A26" t="s">
        <v>576</v>
      </c>
      <c r="B26">
        <v>1</v>
      </c>
      <c r="C26">
        <v>1</v>
      </c>
      <c r="D26" t="s">
        <v>78</v>
      </c>
      <c r="E26" t="s">
        <v>89</v>
      </c>
      <c r="I26" t="s">
        <v>89</v>
      </c>
      <c r="M26" t="s">
        <v>88</v>
      </c>
      <c r="N26">
        <v>6</v>
      </c>
      <c r="Q26" t="s">
        <v>108</v>
      </c>
      <c r="S26">
        <v>5</v>
      </c>
      <c r="T26" t="s">
        <v>2384</v>
      </c>
      <c r="U26" t="s">
        <v>136</v>
      </c>
      <c r="W26">
        <v>5</v>
      </c>
      <c r="Y26" t="s">
        <v>108</v>
      </c>
      <c r="AC26" t="s">
        <v>153</v>
      </c>
      <c r="AD26">
        <v>4</v>
      </c>
      <c r="AG26" t="s">
        <v>89</v>
      </c>
      <c r="AK26" t="s">
        <v>169</v>
      </c>
      <c r="AM26">
        <v>4</v>
      </c>
      <c r="AO26" t="s">
        <v>187</v>
      </c>
      <c r="AQ26">
        <v>4</v>
      </c>
      <c r="AR26" t="s">
        <v>4097</v>
      </c>
      <c r="AS26" t="s">
        <v>201</v>
      </c>
      <c r="AT26">
        <v>6</v>
      </c>
      <c r="AW26" t="s">
        <v>201</v>
      </c>
      <c r="AX26">
        <v>4</v>
      </c>
      <c r="BA26" t="s">
        <v>211</v>
      </c>
      <c r="BC26">
        <v>4</v>
      </c>
      <c r="BE26" t="s">
        <v>227</v>
      </c>
      <c r="BG26" t="s">
        <v>232</v>
      </c>
      <c r="BH26" t="s">
        <v>238</v>
      </c>
      <c r="BI26" t="s">
        <v>241</v>
      </c>
      <c r="BJ26" t="s">
        <v>252</v>
      </c>
      <c r="BK26" t="s">
        <v>258</v>
      </c>
      <c r="BL26" t="s">
        <v>264</v>
      </c>
      <c r="BM26" t="s">
        <v>264</v>
      </c>
      <c r="BN26" t="s">
        <v>272</v>
      </c>
      <c r="BO26" t="s">
        <v>275</v>
      </c>
      <c r="BP26" t="s">
        <v>264</v>
      </c>
      <c r="BT26" t="s">
        <v>3369</v>
      </c>
      <c r="BU26" t="s">
        <v>297</v>
      </c>
      <c r="BV26" t="s">
        <v>300</v>
      </c>
      <c r="BW26" t="s">
        <v>302</v>
      </c>
      <c r="BX26" t="s">
        <v>305</v>
      </c>
      <c r="BZ26">
        <v>0</v>
      </c>
      <c r="CA26">
        <v>0</v>
      </c>
      <c r="CE26" t="s">
        <v>7864</v>
      </c>
      <c r="CF26" s="144">
        <v>43894.877442129633</v>
      </c>
      <c r="CG26" s="144">
        <v>43894.885833333334</v>
      </c>
      <c r="CH26" t="s">
        <v>8182</v>
      </c>
    </row>
    <row r="27" spans="1:86" ht="15" customHeight="1" x14ac:dyDescent="0.35">
      <c r="A27" t="s">
        <v>577</v>
      </c>
      <c r="B27">
        <v>1</v>
      </c>
      <c r="C27">
        <v>1</v>
      </c>
      <c r="D27" t="s">
        <v>950</v>
      </c>
      <c r="E27" t="s">
        <v>88</v>
      </c>
      <c r="F27">
        <v>6</v>
      </c>
      <c r="H27" t="s">
        <v>1359</v>
      </c>
      <c r="I27" t="s">
        <v>88</v>
      </c>
      <c r="J27">
        <v>7</v>
      </c>
      <c r="L27" t="s">
        <v>1711</v>
      </c>
      <c r="M27" t="s">
        <v>88</v>
      </c>
      <c r="N27">
        <v>6</v>
      </c>
      <c r="P27" t="s">
        <v>2018</v>
      </c>
      <c r="Q27" t="s">
        <v>89</v>
      </c>
      <c r="U27" t="s">
        <v>89</v>
      </c>
      <c r="Y27" t="s">
        <v>89</v>
      </c>
      <c r="AC27" t="s">
        <v>89</v>
      </c>
      <c r="AG27" t="s">
        <v>89</v>
      </c>
      <c r="AK27" t="s">
        <v>89</v>
      </c>
      <c r="AO27" t="s">
        <v>89</v>
      </c>
      <c r="AS27" t="s">
        <v>89</v>
      </c>
      <c r="AW27" t="s">
        <v>89</v>
      </c>
      <c r="BA27" t="s">
        <v>211</v>
      </c>
      <c r="BC27">
        <v>7</v>
      </c>
      <c r="BD27" t="s">
        <v>4854</v>
      </c>
      <c r="BE27" t="s">
        <v>222</v>
      </c>
      <c r="BG27" t="s">
        <v>4968</v>
      </c>
      <c r="BH27" t="s">
        <v>235</v>
      </c>
      <c r="BI27" t="s">
        <v>241</v>
      </c>
      <c r="BJ27" t="s">
        <v>254</v>
      </c>
      <c r="BK27" t="s">
        <v>258</v>
      </c>
      <c r="BL27" t="s">
        <v>264</v>
      </c>
      <c r="BM27" t="s">
        <v>264</v>
      </c>
      <c r="BN27" t="s">
        <v>272</v>
      </c>
      <c r="BO27" t="s">
        <v>275</v>
      </c>
      <c r="BP27" t="s">
        <v>269</v>
      </c>
      <c r="BQ27" t="s">
        <v>6834</v>
      </c>
      <c r="BR27" t="s">
        <v>6834</v>
      </c>
      <c r="BS27" t="s">
        <v>6834</v>
      </c>
      <c r="BT27" t="s">
        <v>284</v>
      </c>
      <c r="BU27" t="s">
        <v>297</v>
      </c>
      <c r="BV27" t="s">
        <v>300</v>
      </c>
      <c r="BW27" t="s">
        <v>302</v>
      </c>
      <c r="BX27" t="s">
        <v>304</v>
      </c>
      <c r="BZ27">
        <v>0</v>
      </c>
      <c r="CA27">
        <v>0</v>
      </c>
      <c r="CE27" t="s">
        <v>329</v>
      </c>
      <c r="CF27" s="144">
        <v>43894.788506944446</v>
      </c>
      <c r="CG27" s="144">
        <v>43894.860868055555</v>
      </c>
      <c r="CH27" t="s">
        <v>8183</v>
      </c>
    </row>
    <row r="28" spans="1:86" ht="15" customHeight="1" x14ac:dyDescent="0.35">
      <c r="A28" t="s">
        <v>578</v>
      </c>
      <c r="B28">
        <v>1</v>
      </c>
      <c r="C28">
        <v>1</v>
      </c>
      <c r="D28" t="s">
        <v>950</v>
      </c>
      <c r="E28" t="s">
        <v>88</v>
      </c>
      <c r="F28">
        <v>3</v>
      </c>
      <c r="I28" t="s">
        <v>108</v>
      </c>
      <c r="K28">
        <v>3</v>
      </c>
      <c r="M28" t="s">
        <v>88</v>
      </c>
      <c r="N28">
        <v>4</v>
      </c>
      <c r="Q28" t="s">
        <v>108</v>
      </c>
      <c r="S28">
        <v>3</v>
      </c>
      <c r="U28" t="s">
        <v>90</v>
      </c>
      <c r="V28">
        <v>6</v>
      </c>
      <c r="Y28" t="s">
        <v>108</v>
      </c>
      <c r="Z28">
        <v>6</v>
      </c>
      <c r="AC28" t="s">
        <v>153</v>
      </c>
      <c r="AD28">
        <v>6</v>
      </c>
      <c r="AG28" t="s">
        <v>89</v>
      </c>
      <c r="AK28" t="s">
        <v>169</v>
      </c>
      <c r="AM28">
        <v>3</v>
      </c>
      <c r="AO28" t="s">
        <v>89</v>
      </c>
      <c r="AS28" t="s">
        <v>89</v>
      </c>
      <c r="AW28" t="s">
        <v>211</v>
      </c>
      <c r="AY28">
        <v>4</v>
      </c>
      <c r="BA28" t="s">
        <v>211</v>
      </c>
      <c r="BC28">
        <v>4</v>
      </c>
      <c r="BE28" t="s">
        <v>222</v>
      </c>
      <c r="BG28" t="s">
        <v>232</v>
      </c>
      <c r="BH28" t="s">
        <v>238</v>
      </c>
      <c r="BI28" t="s">
        <v>241</v>
      </c>
      <c r="BJ28" t="s">
        <v>252</v>
      </c>
      <c r="BK28" t="s">
        <v>259</v>
      </c>
      <c r="BL28" t="s">
        <v>264</v>
      </c>
      <c r="BM28" t="s">
        <v>264</v>
      </c>
      <c r="BN28" t="s">
        <v>272</v>
      </c>
      <c r="BO28" t="s">
        <v>275</v>
      </c>
      <c r="BP28" t="s">
        <v>264</v>
      </c>
      <c r="BT28" t="s">
        <v>6926</v>
      </c>
      <c r="BU28" t="s">
        <v>297</v>
      </c>
      <c r="BV28" t="s">
        <v>300</v>
      </c>
      <c r="BW28" t="s">
        <v>302</v>
      </c>
      <c r="BX28" t="s">
        <v>304</v>
      </c>
      <c r="BZ28">
        <v>0</v>
      </c>
      <c r="CA28">
        <v>1</v>
      </c>
      <c r="CB28" t="s">
        <v>7642</v>
      </c>
      <c r="CC28" t="s">
        <v>316</v>
      </c>
      <c r="CD28" t="s">
        <v>320</v>
      </c>
      <c r="CE28" t="s">
        <v>327</v>
      </c>
      <c r="CF28" s="144">
        <v>43894.622604166667</v>
      </c>
      <c r="CG28" s="144">
        <v>43894.630740740744</v>
      </c>
      <c r="CH28" t="s">
        <v>8184</v>
      </c>
    </row>
    <row r="29" spans="1:86" ht="15" customHeight="1" x14ac:dyDescent="0.35">
      <c r="A29" t="s">
        <v>579</v>
      </c>
      <c r="B29">
        <v>1</v>
      </c>
      <c r="C29">
        <v>1</v>
      </c>
      <c r="D29" t="s">
        <v>950</v>
      </c>
      <c r="E29" t="s">
        <v>88</v>
      </c>
      <c r="F29">
        <v>3</v>
      </c>
      <c r="H29" t="s">
        <v>1360</v>
      </c>
      <c r="I29" t="s">
        <v>89</v>
      </c>
      <c r="M29" t="s">
        <v>89</v>
      </c>
      <c r="Q29" t="s">
        <v>108</v>
      </c>
      <c r="S29">
        <v>2</v>
      </c>
      <c r="T29" t="s">
        <v>2385</v>
      </c>
      <c r="U29" t="s">
        <v>136</v>
      </c>
      <c r="W29">
        <v>2</v>
      </c>
      <c r="X29" t="s">
        <v>2712</v>
      </c>
      <c r="Y29" t="s">
        <v>89</v>
      </c>
      <c r="AC29" t="s">
        <v>89</v>
      </c>
      <c r="AG29" t="s">
        <v>89</v>
      </c>
      <c r="AK29" t="s">
        <v>89</v>
      </c>
      <c r="AO29" t="s">
        <v>89</v>
      </c>
      <c r="AS29" t="s">
        <v>89</v>
      </c>
      <c r="AW29" t="s">
        <v>89</v>
      </c>
      <c r="BA29" t="s">
        <v>89</v>
      </c>
      <c r="BE29" t="s">
        <v>222</v>
      </c>
      <c r="BG29" t="s">
        <v>232</v>
      </c>
      <c r="BH29" t="s">
        <v>236</v>
      </c>
      <c r="BI29" t="s">
        <v>241</v>
      </c>
      <c r="BJ29" t="s">
        <v>252</v>
      </c>
      <c r="BK29" t="s">
        <v>257</v>
      </c>
      <c r="BL29" t="s">
        <v>264</v>
      </c>
      <c r="BM29" t="s">
        <v>264</v>
      </c>
      <c r="BN29" t="s">
        <v>272</v>
      </c>
      <c r="BO29" t="s">
        <v>275</v>
      </c>
      <c r="BP29" t="s">
        <v>264</v>
      </c>
      <c r="BT29" t="s">
        <v>6927</v>
      </c>
      <c r="BU29" t="s">
        <v>297</v>
      </c>
      <c r="BV29" t="s">
        <v>300</v>
      </c>
      <c r="BW29" t="s">
        <v>302</v>
      </c>
      <c r="BX29" t="s">
        <v>304</v>
      </c>
      <c r="BZ29">
        <v>0</v>
      </c>
      <c r="CA29">
        <v>1</v>
      </c>
      <c r="CB29" t="s">
        <v>76</v>
      </c>
      <c r="CC29" t="s">
        <v>316</v>
      </c>
      <c r="CD29" t="s">
        <v>320</v>
      </c>
      <c r="CE29" t="s">
        <v>327</v>
      </c>
      <c r="CF29" s="144">
        <v>43894.420914351853</v>
      </c>
      <c r="CG29" s="144">
        <v>43894.429270833331</v>
      </c>
      <c r="CH29" t="s">
        <v>8185</v>
      </c>
    </row>
    <row r="30" spans="1:86" ht="15" customHeight="1" x14ac:dyDescent="0.35">
      <c r="A30" t="s">
        <v>580</v>
      </c>
      <c r="B30">
        <v>1</v>
      </c>
      <c r="C30">
        <v>1</v>
      </c>
      <c r="D30" t="s">
        <v>78</v>
      </c>
      <c r="E30" t="s">
        <v>88</v>
      </c>
      <c r="F30">
        <v>6</v>
      </c>
      <c r="I30" t="s">
        <v>88</v>
      </c>
      <c r="J30">
        <v>7</v>
      </c>
      <c r="M30" t="s">
        <v>88</v>
      </c>
      <c r="N30">
        <v>8</v>
      </c>
      <c r="Q30" t="s">
        <v>90</v>
      </c>
      <c r="R30">
        <v>7</v>
      </c>
      <c r="T30" t="s">
        <v>2386</v>
      </c>
      <c r="U30" t="s">
        <v>90</v>
      </c>
      <c r="V30">
        <v>7</v>
      </c>
      <c r="Y30" t="s">
        <v>108</v>
      </c>
      <c r="Z30">
        <v>5</v>
      </c>
      <c r="AC30" t="s">
        <v>153</v>
      </c>
      <c r="AD30">
        <v>8</v>
      </c>
      <c r="AG30" t="s">
        <v>153</v>
      </c>
      <c r="AH30">
        <v>5</v>
      </c>
      <c r="AK30" t="s">
        <v>169</v>
      </c>
      <c r="AM30">
        <v>7</v>
      </c>
      <c r="AO30" t="s">
        <v>187</v>
      </c>
      <c r="AQ30">
        <v>6</v>
      </c>
      <c r="AS30" t="s">
        <v>201</v>
      </c>
      <c r="AT30">
        <v>7</v>
      </c>
      <c r="AW30" t="s">
        <v>201</v>
      </c>
      <c r="AX30">
        <v>4</v>
      </c>
      <c r="BA30" t="s">
        <v>202</v>
      </c>
      <c r="BB30">
        <v>5</v>
      </c>
      <c r="BE30" t="s">
        <v>227</v>
      </c>
      <c r="BG30" t="s">
        <v>232</v>
      </c>
      <c r="BH30" t="s">
        <v>239</v>
      </c>
      <c r="BI30" t="s">
        <v>241</v>
      </c>
      <c r="BJ30" t="s">
        <v>252</v>
      </c>
      <c r="BK30" t="s">
        <v>258</v>
      </c>
      <c r="BL30" t="s">
        <v>265</v>
      </c>
      <c r="BM30" t="s">
        <v>269</v>
      </c>
      <c r="BN30" t="s">
        <v>272</v>
      </c>
      <c r="BO30" t="s">
        <v>275</v>
      </c>
      <c r="BP30" t="s">
        <v>264</v>
      </c>
      <c r="BT30" t="s">
        <v>290</v>
      </c>
      <c r="BU30" t="s">
        <v>297</v>
      </c>
      <c r="BV30" t="s">
        <v>299</v>
      </c>
      <c r="BW30" t="s">
        <v>302</v>
      </c>
      <c r="BX30" t="s">
        <v>304</v>
      </c>
      <c r="BZ30">
        <v>0</v>
      </c>
      <c r="CA30">
        <v>0</v>
      </c>
      <c r="CE30" t="s">
        <v>325</v>
      </c>
      <c r="CF30" s="144">
        <v>43893.473634259259</v>
      </c>
      <c r="CG30" s="144">
        <v>43893.635162037041</v>
      </c>
      <c r="CH30" t="s">
        <v>8186</v>
      </c>
    </row>
    <row r="31" spans="1:86" ht="15" customHeight="1" x14ac:dyDescent="0.35">
      <c r="A31" t="s">
        <v>64</v>
      </c>
      <c r="B31">
        <v>1</v>
      </c>
      <c r="C31">
        <v>1</v>
      </c>
      <c r="D31" t="s">
        <v>80</v>
      </c>
      <c r="E31" t="s">
        <v>88</v>
      </c>
      <c r="F31">
        <v>3</v>
      </c>
      <c r="H31" t="s">
        <v>101</v>
      </c>
      <c r="I31" t="s">
        <v>89</v>
      </c>
      <c r="M31" t="s">
        <v>88</v>
      </c>
      <c r="N31">
        <v>7</v>
      </c>
      <c r="P31" t="s">
        <v>123</v>
      </c>
      <c r="Q31" t="s">
        <v>108</v>
      </c>
      <c r="S31">
        <v>2</v>
      </c>
      <c r="T31" t="s">
        <v>132</v>
      </c>
      <c r="U31" t="s">
        <v>90</v>
      </c>
      <c r="V31">
        <v>7</v>
      </c>
      <c r="X31" t="s">
        <v>142</v>
      </c>
      <c r="Y31" t="s">
        <v>108</v>
      </c>
      <c r="Z31">
        <v>7</v>
      </c>
      <c r="AB31" t="s">
        <v>150</v>
      </c>
      <c r="AC31" t="s">
        <v>89</v>
      </c>
      <c r="AG31" t="s">
        <v>169</v>
      </c>
      <c r="AI31">
        <v>3</v>
      </c>
      <c r="AJ31" t="s">
        <v>174</v>
      </c>
      <c r="AK31" t="s">
        <v>89</v>
      </c>
      <c r="AO31" t="s">
        <v>89</v>
      </c>
      <c r="AS31" t="s">
        <v>89</v>
      </c>
      <c r="AW31" t="s">
        <v>89</v>
      </c>
      <c r="BA31" t="s">
        <v>89</v>
      </c>
      <c r="BE31" t="s">
        <v>222</v>
      </c>
      <c r="BG31" t="s">
        <v>232</v>
      </c>
      <c r="BH31" t="s">
        <v>235</v>
      </c>
      <c r="BI31" t="s">
        <v>241</v>
      </c>
      <c r="BJ31" t="s">
        <v>252</v>
      </c>
      <c r="BK31" t="s">
        <v>259</v>
      </c>
      <c r="BL31" t="s">
        <v>266</v>
      </c>
      <c r="BM31" t="s">
        <v>269</v>
      </c>
      <c r="BN31" t="s">
        <v>272</v>
      </c>
      <c r="BO31" t="s">
        <v>276</v>
      </c>
      <c r="BP31" t="s">
        <v>264</v>
      </c>
      <c r="BT31" t="s">
        <v>284</v>
      </c>
      <c r="BU31" t="s">
        <v>297</v>
      </c>
      <c r="BV31" t="s">
        <v>300</v>
      </c>
      <c r="BW31" t="s">
        <v>302</v>
      </c>
      <c r="BX31" t="s">
        <v>304</v>
      </c>
      <c r="BZ31">
        <v>1</v>
      </c>
      <c r="CA31">
        <v>0</v>
      </c>
      <c r="CE31" t="s">
        <v>327</v>
      </c>
      <c r="CF31" s="144">
        <v>43893.556875000002</v>
      </c>
      <c r="CG31" s="144">
        <v>43893.566157407404</v>
      </c>
      <c r="CH31" t="s">
        <v>338</v>
      </c>
    </row>
    <row r="32" spans="1:86" ht="15" customHeight="1" x14ac:dyDescent="0.35">
      <c r="A32" t="s">
        <v>582</v>
      </c>
      <c r="B32">
        <v>1</v>
      </c>
      <c r="C32">
        <v>1</v>
      </c>
      <c r="D32" t="s">
        <v>78</v>
      </c>
      <c r="E32" t="s">
        <v>89</v>
      </c>
      <c r="I32" t="s">
        <v>88</v>
      </c>
      <c r="J32">
        <v>6</v>
      </c>
      <c r="L32" t="s">
        <v>1712</v>
      </c>
      <c r="M32" t="s">
        <v>88</v>
      </c>
      <c r="N32">
        <v>5</v>
      </c>
      <c r="P32" t="s">
        <v>2020</v>
      </c>
      <c r="Q32" t="s">
        <v>90</v>
      </c>
      <c r="R32">
        <v>5</v>
      </c>
      <c r="T32" t="s">
        <v>2388</v>
      </c>
      <c r="U32" t="s">
        <v>90</v>
      </c>
      <c r="V32">
        <v>5</v>
      </c>
      <c r="X32" t="s">
        <v>2714</v>
      </c>
      <c r="Y32" t="s">
        <v>108</v>
      </c>
      <c r="Z32">
        <v>3</v>
      </c>
      <c r="AB32" t="s">
        <v>3031</v>
      </c>
      <c r="AC32" t="s">
        <v>89</v>
      </c>
      <c r="AG32" t="s">
        <v>89</v>
      </c>
      <c r="AK32" t="s">
        <v>89</v>
      </c>
      <c r="AO32" t="s">
        <v>188</v>
      </c>
      <c r="AP32">
        <v>3</v>
      </c>
      <c r="AR32" t="s">
        <v>4098</v>
      </c>
      <c r="AS32" t="s">
        <v>89</v>
      </c>
      <c r="AW32" t="s">
        <v>89</v>
      </c>
      <c r="BA32" t="s">
        <v>89</v>
      </c>
      <c r="BE32" t="s">
        <v>222</v>
      </c>
      <c r="BG32" t="s">
        <v>233</v>
      </c>
      <c r="BH32" t="s">
        <v>235</v>
      </c>
      <c r="BI32" t="s">
        <v>241</v>
      </c>
      <c r="BJ32" t="s">
        <v>250</v>
      </c>
      <c r="BK32" t="s">
        <v>260</v>
      </c>
      <c r="BL32" t="s">
        <v>266</v>
      </c>
      <c r="BM32" t="s">
        <v>264</v>
      </c>
      <c r="BN32" t="s">
        <v>272</v>
      </c>
      <c r="BO32" t="s">
        <v>275</v>
      </c>
      <c r="BP32" t="s">
        <v>264</v>
      </c>
      <c r="BT32" t="s">
        <v>288</v>
      </c>
      <c r="BU32" t="s">
        <v>297</v>
      </c>
      <c r="BV32" t="s">
        <v>299</v>
      </c>
      <c r="BW32" t="s">
        <v>302</v>
      </c>
      <c r="BX32" t="s">
        <v>304</v>
      </c>
      <c r="BZ32">
        <v>0</v>
      </c>
      <c r="CA32">
        <v>1</v>
      </c>
      <c r="CB32" t="s">
        <v>311</v>
      </c>
      <c r="CC32" t="s">
        <v>7713</v>
      </c>
      <c r="CD32" t="s">
        <v>322</v>
      </c>
      <c r="CE32" t="s">
        <v>329</v>
      </c>
      <c r="CF32" s="144">
        <v>43893.525300925925</v>
      </c>
      <c r="CG32" s="144">
        <v>43893.531111111108</v>
      </c>
      <c r="CH32" t="s">
        <v>8188</v>
      </c>
    </row>
    <row r="33" spans="1:86" ht="15" customHeight="1" x14ac:dyDescent="0.35">
      <c r="A33" t="s">
        <v>65</v>
      </c>
      <c r="B33">
        <v>1</v>
      </c>
      <c r="C33">
        <v>1</v>
      </c>
      <c r="D33" t="s">
        <v>80</v>
      </c>
      <c r="E33" t="s">
        <v>88</v>
      </c>
      <c r="F33">
        <v>6</v>
      </c>
      <c r="H33" t="s">
        <v>102</v>
      </c>
      <c r="I33" t="s">
        <v>88</v>
      </c>
      <c r="J33">
        <v>5</v>
      </c>
      <c r="L33" t="s">
        <v>115</v>
      </c>
      <c r="M33" t="s">
        <v>88</v>
      </c>
      <c r="N33">
        <v>7</v>
      </c>
      <c r="P33" t="s">
        <v>124</v>
      </c>
      <c r="Q33" t="s">
        <v>89</v>
      </c>
      <c r="U33" t="s">
        <v>90</v>
      </c>
      <c r="V33">
        <v>5</v>
      </c>
      <c r="Y33" t="s">
        <v>89</v>
      </c>
      <c r="AC33" t="s">
        <v>153</v>
      </c>
      <c r="AD33">
        <v>6</v>
      </c>
      <c r="AF33" t="s">
        <v>163</v>
      </c>
      <c r="AG33" t="s">
        <v>89</v>
      </c>
      <c r="AK33" t="s">
        <v>169</v>
      </c>
      <c r="AM33">
        <v>6</v>
      </c>
      <c r="AO33" t="s">
        <v>188</v>
      </c>
      <c r="AP33">
        <v>6</v>
      </c>
      <c r="AR33" t="s">
        <v>197</v>
      </c>
      <c r="AS33" t="s">
        <v>202</v>
      </c>
      <c r="AU33">
        <v>6</v>
      </c>
      <c r="AW33" t="s">
        <v>89</v>
      </c>
      <c r="BA33" t="s">
        <v>202</v>
      </c>
      <c r="BB33">
        <v>4</v>
      </c>
      <c r="BE33" t="s">
        <v>227</v>
      </c>
      <c r="BG33" t="s">
        <v>232</v>
      </c>
      <c r="BH33" t="s">
        <v>239</v>
      </c>
      <c r="BI33" t="s">
        <v>241</v>
      </c>
      <c r="BJ33" t="s">
        <v>252</v>
      </c>
      <c r="BK33" t="s">
        <v>259</v>
      </c>
      <c r="BL33" t="s">
        <v>264</v>
      </c>
      <c r="BM33" t="s">
        <v>264</v>
      </c>
      <c r="BN33" t="s">
        <v>272</v>
      </c>
      <c r="BO33" t="s">
        <v>275</v>
      </c>
      <c r="BP33" t="s">
        <v>264</v>
      </c>
      <c r="BT33" t="s">
        <v>290</v>
      </c>
      <c r="BU33" t="s">
        <v>297</v>
      </c>
      <c r="BV33" t="s">
        <v>300</v>
      </c>
      <c r="BW33" t="s">
        <v>302</v>
      </c>
      <c r="BX33" t="s">
        <v>304</v>
      </c>
      <c r="BZ33">
        <v>1</v>
      </c>
      <c r="CA33">
        <v>0</v>
      </c>
      <c r="CE33" t="s">
        <v>330</v>
      </c>
      <c r="CF33" s="144">
        <v>43885.587118055555</v>
      </c>
      <c r="CG33" s="144">
        <v>43885.604675925926</v>
      </c>
      <c r="CH33" t="s">
        <v>339</v>
      </c>
    </row>
    <row r="34" spans="1:86" ht="15" customHeight="1" x14ac:dyDescent="0.35">
      <c r="A34" t="s">
        <v>429</v>
      </c>
      <c r="B34">
        <v>1</v>
      </c>
      <c r="C34">
        <v>1</v>
      </c>
      <c r="D34" t="s">
        <v>79</v>
      </c>
      <c r="E34" t="s">
        <v>89</v>
      </c>
      <c r="H34" s="21"/>
      <c r="I34" t="s">
        <v>89</v>
      </c>
      <c r="L34" s="21"/>
      <c r="M34" t="s">
        <v>88</v>
      </c>
      <c r="N34">
        <v>8</v>
      </c>
      <c r="P34" t="s">
        <v>433</v>
      </c>
      <c r="Q34" t="s">
        <v>90</v>
      </c>
      <c r="R34">
        <v>2</v>
      </c>
      <c r="T34" s="21"/>
      <c r="U34" t="s">
        <v>90</v>
      </c>
      <c r="V34">
        <v>6</v>
      </c>
      <c r="X34" s="21" t="s">
        <v>435</v>
      </c>
      <c r="Y34" t="s">
        <v>108</v>
      </c>
      <c r="Z34">
        <v>7</v>
      </c>
      <c r="AB34" s="21"/>
      <c r="AC34" t="s">
        <v>153</v>
      </c>
      <c r="AD34">
        <v>7</v>
      </c>
      <c r="AF34" t="s">
        <v>436</v>
      </c>
      <c r="AG34" t="s">
        <v>153</v>
      </c>
      <c r="AJ34" s="21"/>
      <c r="AK34" t="s">
        <v>169</v>
      </c>
      <c r="AM34">
        <v>7</v>
      </c>
      <c r="AN34" s="21" t="s">
        <v>435</v>
      </c>
      <c r="AO34" t="s">
        <v>89</v>
      </c>
      <c r="AR34" s="21"/>
      <c r="AS34" t="s">
        <v>89</v>
      </c>
      <c r="AV34" s="21"/>
      <c r="AW34" t="s">
        <v>89</v>
      </c>
      <c r="AZ34" s="21"/>
      <c r="BA34" t="s">
        <v>89</v>
      </c>
      <c r="BD34" s="21"/>
      <c r="BE34" t="s">
        <v>222</v>
      </c>
      <c r="BG34" t="s">
        <v>232</v>
      </c>
      <c r="BH34" t="s">
        <v>239</v>
      </c>
      <c r="BI34" t="s">
        <v>242</v>
      </c>
      <c r="BJ34" t="s">
        <v>250</v>
      </c>
      <c r="BK34" t="s">
        <v>257</v>
      </c>
      <c r="BL34" t="s">
        <v>264</v>
      </c>
      <c r="BM34" t="s">
        <v>264</v>
      </c>
      <c r="BN34" t="s">
        <v>272</v>
      </c>
      <c r="BO34" t="s">
        <v>275</v>
      </c>
      <c r="BP34" t="s">
        <v>269</v>
      </c>
      <c r="BQ34" t="s">
        <v>6835</v>
      </c>
      <c r="BR34" t="s">
        <v>6834</v>
      </c>
      <c r="BS34" t="s">
        <v>6835</v>
      </c>
      <c r="BT34" t="s">
        <v>440</v>
      </c>
      <c r="BU34" t="s">
        <v>297</v>
      </c>
      <c r="BV34" t="s">
        <v>300</v>
      </c>
      <c r="BW34" t="s">
        <v>302</v>
      </c>
      <c r="BX34" t="s">
        <v>305</v>
      </c>
      <c r="BZ34">
        <v>1</v>
      </c>
      <c r="CA34">
        <v>0</v>
      </c>
      <c r="CE34" t="s">
        <v>328</v>
      </c>
      <c r="CF34" s="144">
        <v>43884.751539351855</v>
      </c>
      <c r="CG34" s="144">
        <v>43884.757592592592</v>
      </c>
      <c r="CH34" t="s">
        <v>443</v>
      </c>
    </row>
    <row r="35" spans="1:86" ht="15" customHeight="1" x14ac:dyDescent="0.35">
      <c r="A35" t="s">
        <v>586</v>
      </c>
      <c r="B35">
        <v>1</v>
      </c>
      <c r="C35">
        <v>1</v>
      </c>
      <c r="D35" t="s">
        <v>77</v>
      </c>
      <c r="E35" t="s">
        <v>88</v>
      </c>
      <c r="F35">
        <v>6</v>
      </c>
      <c r="I35" t="s">
        <v>88</v>
      </c>
      <c r="J35">
        <v>4</v>
      </c>
      <c r="M35" t="s">
        <v>88</v>
      </c>
      <c r="N35">
        <v>8</v>
      </c>
      <c r="Q35" t="s">
        <v>108</v>
      </c>
      <c r="S35">
        <v>4</v>
      </c>
      <c r="U35" t="s">
        <v>90</v>
      </c>
      <c r="V35">
        <v>6</v>
      </c>
      <c r="Y35" t="s">
        <v>108</v>
      </c>
      <c r="Z35">
        <v>8</v>
      </c>
      <c r="AC35" t="s">
        <v>154</v>
      </c>
      <c r="AE35">
        <v>2</v>
      </c>
      <c r="AG35" t="s">
        <v>153</v>
      </c>
      <c r="AH35">
        <v>6</v>
      </c>
      <c r="AK35" t="s">
        <v>154</v>
      </c>
      <c r="AL35">
        <v>6</v>
      </c>
      <c r="AO35" t="s">
        <v>188</v>
      </c>
      <c r="AP35">
        <v>4</v>
      </c>
      <c r="AS35" t="s">
        <v>201</v>
      </c>
      <c r="AT35">
        <v>6</v>
      </c>
      <c r="AW35" t="s">
        <v>211</v>
      </c>
      <c r="AY35">
        <v>6</v>
      </c>
      <c r="BA35" t="s">
        <v>211</v>
      </c>
      <c r="BC35">
        <v>8</v>
      </c>
      <c r="BE35" t="s">
        <v>228</v>
      </c>
      <c r="BG35" t="s">
        <v>233</v>
      </c>
      <c r="BH35" t="s">
        <v>236</v>
      </c>
      <c r="BI35" t="s">
        <v>241</v>
      </c>
      <c r="BJ35" t="s">
        <v>246</v>
      </c>
      <c r="BK35" t="s">
        <v>258</v>
      </c>
      <c r="BL35" t="s">
        <v>266</v>
      </c>
      <c r="BM35" t="s">
        <v>269</v>
      </c>
      <c r="BN35" t="s">
        <v>272</v>
      </c>
      <c r="BO35" t="s">
        <v>275</v>
      </c>
      <c r="BP35" t="s">
        <v>264</v>
      </c>
      <c r="BT35" t="s">
        <v>6895</v>
      </c>
      <c r="BU35" t="s">
        <v>297</v>
      </c>
      <c r="BV35" t="s">
        <v>299</v>
      </c>
      <c r="BW35" t="s">
        <v>302</v>
      </c>
      <c r="BX35" t="s">
        <v>304</v>
      </c>
      <c r="BZ35">
        <v>0</v>
      </c>
      <c r="CA35">
        <v>1</v>
      </c>
      <c r="CB35" t="s">
        <v>7645</v>
      </c>
      <c r="CC35" t="s">
        <v>317</v>
      </c>
      <c r="CD35" t="s">
        <v>322</v>
      </c>
      <c r="CE35" t="s">
        <v>329</v>
      </c>
      <c r="CF35" s="144">
        <v>43874.497048611112</v>
      </c>
      <c r="CG35" s="144">
        <v>43874.509467592594</v>
      </c>
      <c r="CH35" t="s">
        <v>8191</v>
      </c>
    </row>
    <row r="36" spans="1:86" ht="15" customHeight="1" x14ac:dyDescent="0.35">
      <c r="A36" t="s">
        <v>588</v>
      </c>
      <c r="B36">
        <v>1</v>
      </c>
      <c r="C36">
        <v>1</v>
      </c>
      <c r="D36" t="s">
        <v>80</v>
      </c>
      <c r="E36" t="s">
        <v>89</v>
      </c>
      <c r="I36" t="s">
        <v>88</v>
      </c>
      <c r="J36">
        <v>6</v>
      </c>
      <c r="L36" t="s">
        <v>1715</v>
      </c>
      <c r="M36" t="s">
        <v>88</v>
      </c>
      <c r="N36">
        <v>7</v>
      </c>
      <c r="Q36" t="s">
        <v>89</v>
      </c>
      <c r="U36" t="s">
        <v>90</v>
      </c>
      <c r="V36">
        <v>7</v>
      </c>
      <c r="X36" t="s">
        <v>2717</v>
      </c>
      <c r="Y36" t="s">
        <v>108</v>
      </c>
      <c r="Z36">
        <v>6</v>
      </c>
      <c r="AC36" t="s">
        <v>89</v>
      </c>
      <c r="AG36" t="s">
        <v>89</v>
      </c>
      <c r="AK36" t="s">
        <v>89</v>
      </c>
      <c r="AO36" t="s">
        <v>187</v>
      </c>
      <c r="AQ36">
        <v>6</v>
      </c>
      <c r="AS36" t="s">
        <v>89</v>
      </c>
      <c r="AW36" t="s">
        <v>89</v>
      </c>
      <c r="BA36" t="s">
        <v>89</v>
      </c>
      <c r="BE36" t="s">
        <v>222</v>
      </c>
      <c r="BG36" t="s">
        <v>232</v>
      </c>
      <c r="BH36" t="s">
        <v>235</v>
      </c>
      <c r="BI36" t="s">
        <v>5396</v>
      </c>
      <c r="BJ36" t="s">
        <v>255</v>
      </c>
      <c r="BK36" t="s">
        <v>258</v>
      </c>
      <c r="BL36" t="s">
        <v>264</v>
      </c>
      <c r="BM36" t="s">
        <v>264</v>
      </c>
      <c r="BN36" t="s">
        <v>272</v>
      </c>
      <c r="BO36" t="s">
        <v>275</v>
      </c>
      <c r="BP36" t="s">
        <v>269</v>
      </c>
      <c r="BQ36" t="s">
        <v>6834</v>
      </c>
      <c r="BR36" t="s">
        <v>6834</v>
      </c>
      <c r="BS36" t="s">
        <v>6834</v>
      </c>
      <c r="BT36" t="s">
        <v>284</v>
      </c>
      <c r="BU36" t="s">
        <v>297</v>
      </c>
      <c r="BV36" t="s">
        <v>300</v>
      </c>
      <c r="BW36" t="s">
        <v>302</v>
      </c>
      <c r="BX36" t="s">
        <v>304</v>
      </c>
      <c r="BZ36">
        <v>0</v>
      </c>
      <c r="CA36">
        <v>1</v>
      </c>
      <c r="CB36" t="s">
        <v>7645</v>
      </c>
      <c r="CC36" t="s">
        <v>7710</v>
      </c>
      <c r="CD36" t="s">
        <v>320</v>
      </c>
      <c r="CE36" t="s">
        <v>329</v>
      </c>
      <c r="CF36" s="144">
        <v>43872.475324074076</v>
      </c>
      <c r="CG36" s="144">
        <v>43872.482777777775</v>
      </c>
      <c r="CH36" t="s">
        <v>8193</v>
      </c>
    </row>
    <row r="37" spans="1:86" ht="15" customHeight="1" x14ac:dyDescent="0.35">
      <c r="A37" t="s">
        <v>589</v>
      </c>
      <c r="B37">
        <v>1</v>
      </c>
      <c r="C37">
        <v>1</v>
      </c>
      <c r="D37" t="s">
        <v>80</v>
      </c>
      <c r="E37" t="s">
        <v>89</v>
      </c>
      <c r="I37" t="s">
        <v>89</v>
      </c>
      <c r="M37" t="s">
        <v>89</v>
      </c>
      <c r="Q37" t="s">
        <v>89</v>
      </c>
      <c r="U37" t="s">
        <v>89</v>
      </c>
      <c r="Y37" t="s">
        <v>89</v>
      </c>
      <c r="AC37" t="s">
        <v>89</v>
      </c>
      <c r="AG37" t="s">
        <v>89</v>
      </c>
      <c r="AK37" t="s">
        <v>89</v>
      </c>
      <c r="AO37" t="s">
        <v>89</v>
      </c>
      <c r="AS37" t="s">
        <v>89</v>
      </c>
      <c r="AW37" t="s">
        <v>89</v>
      </c>
      <c r="BA37" t="s">
        <v>89</v>
      </c>
      <c r="BE37" t="s">
        <v>222</v>
      </c>
      <c r="BG37" t="s">
        <v>232</v>
      </c>
      <c r="BH37" t="s">
        <v>5082</v>
      </c>
      <c r="BI37" t="s">
        <v>243</v>
      </c>
      <c r="BJ37" t="s">
        <v>251</v>
      </c>
      <c r="BK37" t="s">
        <v>258</v>
      </c>
      <c r="BL37" t="s">
        <v>264</v>
      </c>
      <c r="BM37" t="s">
        <v>264</v>
      </c>
      <c r="BN37" t="s">
        <v>6473</v>
      </c>
      <c r="BO37" t="s">
        <v>76</v>
      </c>
      <c r="BP37" t="s">
        <v>269</v>
      </c>
      <c r="BQ37" t="s">
        <v>6834</v>
      </c>
      <c r="BR37" t="s">
        <v>6834</v>
      </c>
      <c r="BS37" t="s">
        <v>6834</v>
      </c>
      <c r="BT37" t="s">
        <v>6936</v>
      </c>
      <c r="BU37" t="s">
        <v>297</v>
      </c>
      <c r="BV37" t="s">
        <v>299</v>
      </c>
      <c r="BW37" t="s">
        <v>302</v>
      </c>
      <c r="BX37" t="s">
        <v>304</v>
      </c>
      <c r="BZ37">
        <v>0</v>
      </c>
      <c r="CA37">
        <v>0</v>
      </c>
      <c r="CE37" t="s">
        <v>7864</v>
      </c>
      <c r="CF37" s="144">
        <v>43871.869340277779</v>
      </c>
      <c r="CG37" s="144">
        <v>43871.874178240738</v>
      </c>
      <c r="CH37" t="s">
        <v>8194</v>
      </c>
    </row>
    <row r="38" spans="1:86" ht="15" customHeight="1" x14ac:dyDescent="0.35">
      <c r="A38" t="s">
        <v>66</v>
      </c>
      <c r="B38">
        <v>1</v>
      </c>
      <c r="C38">
        <v>1</v>
      </c>
      <c r="D38" t="s">
        <v>79</v>
      </c>
      <c r="E38" t="s">
        <v>90</v>
      </c>
      <c r="G38">
        <v>5</v>
      </c>
      <c r="H38" t="s">
        <v>103</v>
      </c>
      <c r="I38" t="s">
        <v>88</v>
      </c>
      <c r="J38">
        <v>6</v>
      </c>
      <c r="L38" t="s">
        <v>116</v>
      </c>
      <c r="M38" t="s">
        <v>89</v>
      </c>
      <c r="Q38" t="s">
        <v>89</v>
      </c>
      <c r="U38" t="s">
        <v>89</v>
      </c>
      <c r="Y38" t="s">
        <v>108</v>
      </c>
      <c r="Z38">
        <v>6</v>
      </c>
      <c r="AB38" t="s">
        <v>151</v>
      </c>
      <c r="AC38" t="s">
        <v>153</v>
      </c>
      <c r="AD38">
        <v>8</v>
      </c>
      <c r="AF38" t="s">
        <v>164</v>
      </c>
      <c r="AG38" t="s">
        <v>89</v>
      </c>
      <c r="AK38" t="s">
        <v>169</v>
      </c>
      <c r="AM38">
        <v>6</v>
      </c>
      <c r="AO38" t="s">
        <v>89</v>
      </c>
      <c r="AS38" t="s">
        <v>89</v>
      </c>
      <c r="AW38" t="s">
        <v>89</v>
      </c>
      <c r="BA38" t="s">
        <v>89</v>
      </c>
      <c r="BE38" t="s">
        <v>222</v>
      </c>
      <c r="BG38" t="s">
        <v>232</v>
      </c>
      <c r="BH38" t="s">
        <v>235</v>
      </c>
      <c r="BI38" t="s">
        <v>243</v>
      </c>
      <c r="BJ38" t="s">
        <v>254</v>
      </c>
      <c r="BK38" t="s">
        <v>258</v>
      </c>
      <c r="BL38" t="s">
        <v>264</v>
      </c>
      <c r="BM38" t="s">
        <v>264</v>
      </c>
      <c r="BN38" t="s">
        <v>272</v>
      </c>
      <c r="BO38" t="s">
        <v>275</v>
      </c>
      <c r="BP38" t="s">
        <v>269</v>
      </c>
      <c r="BQ38" t="s">
        <v>6834</v>
      </c>
      <c r="BR38" t="s">
        <v>6834</v>
      </c>
      <c r="BS38" t="s">
        <v>6834</v>
      </c>
      <c r="BT38" t="s">
        <v>290</v>
      </c>
      <c r="BU38" t="s">
        <v>297</v>
      </c>
      <c r="BV38" t="s">
        <v>300</v>
      </c>
      <c r="BW38" t="s">
        <v>302</v>
      </c>
      <c r="BX38" t="s">
        <v>304</v>
      </c>
      <c r="BZ38">
        <v>1</v>
      </c>
      <c r="CA38">
        <v>1</v>
      </c>
      <c r="CB38" t="s">
        <v>76</v>
      </c>
      <c r="CC38" t="s">
        <v>316</v>
      </c>
      <c r="CD38" t="s">
        <v>321</v>
      </c>
      <c r="CE38" t="s">
        <v>329</v>
      </c>
      <c r="CF38" s="144">
        <v>43857.604143518518</v>
      </c>
      <c r="CG38" s="144">
        <v>43857.621006944442</v>
      </c>
      <c r="CH38" s="24" t="s">
        <v>340</v>
      </c>
    </row>
    <row r="39" spans="1:86" ht="15" customHeight="1" x14ac:dyDescent="0.35">
      <c r="A39" t="s">
        <v>688</v>
      </c>
      <c r="D39" t="s">
        <v>1019</v>
      </c>
      <c r="E39" t="s">
        <v>91</v>
      </c>
      <c r="F39">
        <v>5</v>
      </c>
      <c r="I39" t="s">
        <v>92</v>
      </c>
      <c r="M39" t="s">
        <v>91</v>
      </c>
      <c r="N39">
        <v>8</v>
      </c>
      <c r="Q39" t="s">
        <v>92</v>
      </c>
      <c r="U39" t="s">
        <v>92</v>
      </c>
      <c r="Y39" t="s">
        <v>92</v>
      </c>
      <c r="AC39" t="s">
        <v>92</v>
      </c>
      <c r="AG39" t="s">
        <v>92</v>
      </c>
      <c r="AK39" t="s">
        <v>92</v>
      </c>
      <c r="AO39" t="s">
        <v>92</v>
      </c>
      <c r="BE39" t="s">
        <v>229</v>
      </c>
      <c r="BG39" t="s">
        <v>232</v>
      </c>
      <c r="BH39" t="s">
        <v>238</v>
      </c>
      <c r="BI39" t="s">
        <v>5454</v>
      </c>
      <c r="BJ39" t="s">
        <v>5719</v>
      </c>
      <c r="BK39" t="s">
        <v>257</v>
      </c>
      <c r="BL39" t="s">
        <v>264</v>
      </c>
      <c r="BM39" t="s">
        <v>264</v>
      </c>
      <c r="BN39" t="s">
        <v>271</v>
      </c>
      <c r="BO39" t="s">
        <v>276</v>
      </c>
      <c r="BP39" t="s">
        <v>264</v>
      </c>
      <c r="BT39" t="s">
        <v>291</v>
      </c>
      <c r="BU39" t="s">
        <v>297</v>
      </c>
      <c r="BV39" t="s">
        <v>7243</v>
      </c>
      <c r="BW39" t="s">
        <v>302</v>
      </c>
      <c r="BX39" t="s">
        <v>304</v>
      </c>
      <c r="BZ39">
        <v>0</v>
      </c>
      <c r="CA39">
        <v>0</v>
      </c>
      <c r="CE39" t="s">
        <v>325</v>
      </c>
      <c r="CF39" s="144">
        <v>43922.87462962963</v>
      </c>
      <c r="CG39" s="144">
        <v>43922.885185185187</v>
      </c>
      <c r="CH39" t="s">
        <v>8291</v>
      </c>
    </row>
    <row r="40" spans="1:86" ht="15" customHeight="1" x14ac:dyDescent="0.35">
      <c r="A40" t="s">
        <v>692</v>
      </c>
      <c r="D40" t="s">
        <v>81</v>
      </c>
      <c r="E40" t="s">
        <v>92</v>
      </c>
      <c r="I40" t="s">
        <v>91</v>
      </c>
      <c r="J40">
        <v>3</v>
      </c>
      <c r="M40" t="s">
        <v>91</v>
      </c>
      <c r="Q40" t="s">
        <v>109</v>
      </c>
      <c r="S40">
        <v>4</v>
      </c>
      <c r="U40" t="s">
        <v>1892</v>
      </c>
      <c r="W40">
        <v>3</v>
      </c>
      <c r="Y40" t="s">
        <v>109</v>
      </c>
      <c r="Z40">
        <v>4</v>
      </c>
      <c r="AC40" t="s">
        <v>155</v>
      </c>
      <c r="AD40">
        <v>4</v>
      </c>
      <c r="AG40" t="s">
        <v>92</v>
      </c>
      <c r="AK40" t="s">
        <v>92</v>
      </c>
      <c r="AO40" t="s">
        <v>189</v>
      </c>
      <c r="AQ40">
        <v>2</v>
      </c>
      <c r="BE40" t="s">
        <v>229</v>
      </c>
      <c r="BG40" t="s">
        <v>232</v>
      </c>
      <c r="BH40" t="s">
        <v>236</v>
      </c>
      <c r="BI40" t="s">
        <v>242</v>
      </c>
      <c r="BJ40" t="s">
        <v>249</v>
      </c>
      <c r="BK40" t="s">
        <v>261</v>
      </c>
      <c r="BL40" t="s">
        <v>264</v>
      </c>
      <c r="BM40" t="s">
        <v>264</v>
      </c>
      <c r="BN40" t="s">
        <v>272</v>
      </c>
      <c r="BO40" t="s">
        <v>277</v>
      </c>
      <c r="BP40" t="s">
        <v>264</v>
      </c>
      <c r="BT40" t="s">
        <v>7013</v>
      </c>
      <c r="BU40" t="s">
        <v>297</v>
      </c>
      <c r="BV40" t="s">
        <v>7243</v>
      </c>
      <c r="BW40" t="s">
        <v>302</v>
      </c>
      <c r="BX40" t="s">
        <v>304</v>
      </c>
      <c r="BZ40">
        <v>0</v>
      </c>
      <c r="CA40">
        <v>1</v>
      </c>
      <c r="CB40" t="s">
        <v>7662</v>
      </c>
      <c r="CD40" t="s">
        <v>7810</v>
      </c>
      <c r="CE40" t="s">
        <v>329</v>
      </c>
      <c r="CF40" s="144">
        <v>43911.343888888892</v>
      </c>
      <c r="CG40" s="144">
        <v>43911.350266203706</v>
      </c>
      <c r="CH40" s="24" t="s">
        <v>8295</v>
      </c>
    </row>
    <row r="41" spans="1:86" ht="15" customHeight="1" x14ac:dyDescent="0.35">
      <c r="A41" t="s">
        <v>67</v>
      </c>
      <c r="D41" t="s">
        <v>81</v>
      </c>
      <c r="E41" t="s">
        <v>91</v>
      </c>
      <c r="F41">
        <v>6</v>
      </c>
      <c r="I41" t="s">
        <v>91</v>
      </c>
      <c r="J41">
        <v>2</v>
      </c>
      <c r="M41" t="s">
        <v>91</v>
      </c>
      <c r="N41">
        <v>4</v>
      </c>
      <c r="Q41" t="s">
        <v>109</v>
      </c>
      <c r="S41">
        <v>6</v>
      </c>
      <c r="U41" t="s">
        <v>93</v>
      </c>
      <c r="V41">
        <v>7</v>
      </c>
      <c r="Y41" t="s">
        <v>109</v>
      </c>
      <c r="Z41">
        <v>7</v>
      </c>
      <c r="AC41" t="s">
        <v>155</v>
      </c>
      <c r="AD41">
        <v>5</v>
      </c>
      <c r="AG41" t="s">
        <v>92</v>
      </c>
      <c r="AK41" t="s">
        <v>92</v>
      </c>
      <c r="AO41" t="s">
        <v>189</v>
      </c>
      <c r="AQ41">
        <v>6</v>
      </c>
      <c r="AS41" t="s">
        <v>203</v>
      </c>
      <c r="AT41">
        <v>6</v>
      </c>
      <c r="AW41" t="s">
        <v>203</v>
      </c>
      <c r="AX41">
        <v>5</v>
      </c>
      <c r="BA41" t="s">
        <v>212</v>
      </c>
      <c r="BC41">
        <v>6</v>
      </c>
      <c r="BE41" t="s">
        <v>229</v>
      </c>
      <c r="BG41" t="s">
        <v>232</v>
      </c>
      <c r="BH41" t="s">
        <v>239</v>
      </c>
      <c r="BI41" t="s">
        <v>241</v>
      </c>
      <c r="BJ41" t="s">
        <v>249</v>
      </c>
      <c r="BK41" t="s">
        <v>261</v>
      </c>
      <c r="BL41" t="s">
        <v>264</v>
      </c>
      <c r="BM41" t="s">
        <v>264</v>
      </c>
      <c r="BN41" t="s">
        <v>272</v>
      </c>
      <c r="BO41" t="s">
        <v>277</v>
      </c>
      <c r="BP41" t="s">
        <v>264</v>
      </c>
      <c r="BT41" t="s">
        <v>291</v>
      </c>
      <c r="BU41" t="s">
        <v>297</v>
      </c>
      <c r="BV41" t="s">
        <v>300</v>
      </c>
      <c r="BW41" t="s">
        <v>302</v>
      </c>
      <c r="BX41" t="s">
        <v>304</v>
      </c>
      <c r="BZ41">
        <v>1</v>
      </c>
      <c r="CA41">
        <v>1</v>
      </c>
      <c r="CB41" t="s">
        <v>82</v>
      </c>
      <c r="CD41" t="s">
        <v>320</v>
      </c>
      <c r="CE41" t="s">
        <v>326</v>
      </c>
      <c r="CF41" s="144">
        <v>43901.885821759257</v>
      </c>
      <c r="CG41" s="144">
        <v>43901.896273148152</v>
      </c>
      <c r="CH41" t="s">
        <v>341</v>
      </c>
    </row>
    <row r="42" spans="1:86" ht="15" customHeight="1" x14ac:dyDescent="0.35">
      <c r="A42" t="s">
        <v>697</v>
      </c>
      <c r="D42" t="s">
        <v>81</v>
      </c>
      <c r="E42" t="s">
        <v>91</v>
      </c>
      <c r="F42">
        <v>3</v>
      </c>
      <c r="I42" t="s">
        <v>91</v>
      </c>
      <c r="J42">
        <v>3</v>
      </c>
      <c r="M42" t="s">
        <v>91</v>
      </c>
      <c r="N42">
        <v>4</v>
      </c>
      <c r="Q42" t="s">
        <v>93</v>
      </c>
      <c r="R42">
        <v>3</v>
      </c>
      <c r="U42" t="s">
        <v>93</v>
      </c>
      <c r="V42">
        <v>3</v>
      </c>
      <c r="Y42" t="s">
        <v>109</v>
      </c>
      <c r="Z42">
        <v>5</v>
      </c>
      <c r="AC42" t="s">
        <v>155</v>
      </c>
      <c r="AD42">
        <v>3</v>
      </c>
      <c r="AG42" t="s">
        <v>92</v>
      </c>
      <c r="AK42" t="s">
        <v>3443</v>
      </c>
      <c r="AM42">
        <v>3</v>
      </c>
      <c r="AO42" t="s">
        <v>189</v>
      </c>
      <c r="AQ42">
        <v>4</v>
      </c>
      <c r="AS42" t="s">
        <v>203</v>
      </c>
      <c r="AT42">
        <v>3</v>
      </c>
      <c r="AW42" t="s">
        <v>92</v>
      </c>
      <c r="BA42" t="s">
        <v>212</v>
      </c>
      <c r="BC42">
        <v>2</v>
      </c>
      <c r="BE42" t="s">
        <v>229</v>
      </c>
      <c r="BG42" t="s">
        <v>232</v>
      </c>
      <c r="BH42" t="s">
        <v>235</v>
      </c>
      <c r="BI42" t="s">
        <v>243</v>
      </c>
      <c r="BJ42" t="s">
        <v>5719</v>
      </c>
      <c r="BK42" t="s">
        <v>261</v>
      </c>
      <c r="BL42" t="s">
        <v>266</v>
      </c>
      <c r="BM42" t="s">
        <v>269</v>
      </c>
      <c r="BN42" t="s">
        <v>272</v>
      </c>
      <c r="BO42" t="s">
        <v>277</v>
      </c>
      <c r="BP42" t="s">
        <v>269</v>
      </c>
      <c r="BT42" t="s">
        <v>291</v>
      </c>
      <c r="BU42" t="s">
        <v>297</v>
      </c>
      <c r="BV42" t="s">
        <v>7243</v>
      </c>
      <c r="BW42" t="s">
        <v>302</v>
      </c>
      <c r="BX42" t="s">
        <v>304</v>
      </c>
      <c r="BZ42">
        <v>0</v>
      </c>
      <c r="CA42">
        <v>1</v>
      </c>
      <c r="CD42" t="s">
        <v>7810</v>
      </c>
      <c r="CE42" t="s">
        <v>329</v>
      </c>
      <c r="CF42" s="144">
        <v>43901.623611111114</v>
      </c>
      <c r="CG42" s="144">
        <v>43901.631122685183</v>
      </c>
      <c r="CH42" t="s">
        <v>8300</v>
      </c>
    </row>
    <row r="43" spans="1:86" ht="15" customHeight="1" x14ac:dyDescent="0.35">
      <c r="A43" t="s">
        <v>701</v>
      </c>
      <c r="D43" t="s">
        <v>82</v>
      </c>
      <c r="E43" t="s">
        <v>92</v>
      </c>
      <c r="I43" t="s">
        <v>92</v>
      </c>
      <c r="M43" t="s">
        <v>92</v>
      </c>
      <c r="Q43" t="s">
        <v>92</v>
      </c>
      <c r="U43" t="s">
        <v>92</v>
      </c>
      <c r="Y43" t="s">
        <v>109</v>
      </c>
      <c r="Z43">
        <v>6</v>
      </c>
      <c r="AC43" t="s">
        <v>3176</v>
      </c>
      <c r="AE43">
        <v>4</v>
      </c>
      <c r="AG43" t="s">
        <v>3443</v>
      </c>
      <c r="AI43">
        <v>6</v>
      </c>
      <c r="AK43" t="s">
        <v>92</v>
      </c>
      <c r="AO43" t="s">
        <v>3958</v>
      </c>
      <c r="AP43">
        <v>8</v>
      </c>
      <c r="AS43" t="s">
        <v>92</v>
      </c>
      <c r="AW43" t="s">
        <v>92</v>
      </c>
      <c r="BA43" t="s">
        <v>89</v>
      </c>
      <c r="BE43" t="s">
        <v>229</v>
      </c>
      <c r="BG43" t="s">
        <v>232</v>
      </c>
      <c r="BH43" t="s">
        <v>239</v>
      </c>
      <c r="BI43" t="s">
        <v>243</v>
      </c>
      <c r="BJ43" t="s">
        <v>5719</v>
      </c>
      <c r="BK43" t="s">
        <v>257</v>
      </c>
      <c r="BL43" t="s">
        <v>264</v>
      </c>
      <c r="BM43" t="s">
        <v>264</v>
      </c>
      <c r="BN43" t="s">
        <v>271</v>
      </c>
      <c r="BO43" t="s">
        <v>276</v>
      </c>
      <c r="BP43" t="s">
        <v>264</v>
      </c>
      <c r="BT43" t="s">
        <v>291</v>
      </c>
      <c r="BU43" t="s">
        <v>297</v>
      </c>
      <c r="BV43" t="s">
        <v>7243</v>
      </c>
      <c r="BW43" t="s">
        <v>302</v>
      </c>
      <c r="BX43" t="s">
        <v>304</v>
      </c>
      <c r="BZ43">
        <v>0</v>
      </c>
      <c r="CA43">
        <v>0</v>
      </c>
      <c r="CE43" t="s">
        <v>325</v>
      </c>
      <c r="CF43" s="144">
        <v>43899.814351851855</v>
      </c>
      <c r="CG43" s="144">
        <v>43899.821284722224</v>
      </c>
      <c r="CH43" t="s">
        <v>8304</v>
      </c>
    </row>
    <row r="44" spans="1:86" ht="15" customHeight="1" x14ac:dyDescent="0.35">
      <c r="A44" t="s">
        <v>703</v>
      </c>
      <c r="D44" t="s">
        <v>82</v>
      </c>
      <c r="E44" t="s">
        <v>92</v>
      </c>
      <c r="I44" t="s">
        <v>109</v>
      </c>
      <c r="K44">
        <v>6</v>
      </c>
      <c r="M44" t="s">
        <v>92</v>
      </c>
      <c r="Q44" t="s">
        <v>109</v>
      </c>
      <c r="S44">
        <v>6</v>
      </c>
      <c r="U44" t="s">
        <v>92</v>
      </c>
      <c r="Y44" t="s">
        <v>92</v>
      </c>
      <c r="AC44" t="s">
        <v>3176</v>
      </c>
      <c r="AE44">
        <v>6</v>
      </c>
      <c r="AG44" t="s">
        <v>92</v>
      </c>
      <c r="AK44" t="s">
        <v>3176</v>
      </c>
      <c r="AL44">
        <v>8</v>
      </c>
      <c r="AO44" t="s">
        <v>92</v>
      </c>
      <c r="AS44" t="s">
        <v>203</v>
      </c>
      <c r="AT44">
        <v>7</v>
      </c>
      <c r="AW44" t="s">
        <v>92</v>
      </c>
      <c r="BA44" t="s">
        <v>89</v>
      </c>
      <c r="BE44" t="s">
        <v>229</v>
      </c>
      <c r="BG44" t="s">
        <v>232</v>
      </c>
      <c r="BH44" t="s">
        <v>238</v>
      </c>
      <c r="BI44" t="s">
        <v>5454</v>
      </c>
      <c r="BJ44" t="s">
        <v>246</v>
      </c>
      <c r="BK44" t="s">
        <v>257</v>
      </c>
      <c r="BL44" t="s">
        <v>264</v>
      </c>
      <c r="BM44" t="s">
        <v>264</v>
      </c>
      <c r="BN44" t="s">
        <v>271</v>
      </c>
      <c r="BO44" t="s">
        <v>82</v>
      </c>
      <c r="BP44" t="s">
        <v>264</v>
      </c>
      <c r="BT44" t="s">
        <v>7013</v>
      </c>
      <c r="BU44" t="s">
        <v>297</v>
      </c>
      <c r="BV44" t="s">
        <v>7243</v>
      </c>
      <c r="BW44" t="s">
        <v>302</v>
      </c>
      <c r="BX44" t="s">
        <v>304</v>
      </c>
      <c r="BZ44">
        <v>0</v>
      </c>
      <c r="CA44">
        <v>0</v>
      </c>
      <c r="CE44" t="s">
        <v>325</v>
      </c>
      <c r="CF44" s="144">
        <v>43899.677731481483</v>
      </c>
      <c r="CG44" s="144">
        <v>43899.682060185187</v>
      </c>
      <c r="CH44" t="s">
        <v>8306</v>
      </c>
    </row>
    <row r="45" spans="1:86" ht="15" customHeight="1" x14ac:dyDescent="0.35">
      <c r="A45" t="s">
        <v>705</v>
      </c>
      <c r="D45" t="s">
        <v>1019</v>
      </c>
      <c r="E45" t="s">
        <v>92</v>
      </c>
      <c r="I45" t="s">
        <v>92</v>
      </c>
      <c r="M45" t="s">
        <v>92</v>
      </c>
      <c r="Q45" t="s">
        <v>109</v>
      </c>
      <c r="S45">
        <v>7</v>
      </c>
      <c r="T45" t="s">
        <v>2423</v>
      </c>
      <c r="U45" t="s">
        <v>1892</v>
      </c>
      <c r="W45">
        <v>5</v>
      </c>
      <c r="X45" t="s">
        <v>1398</v>
      </c>
      <c r="Y45" t="s">
        <v>92</v>
      </c>
      <c r="AC45" t="s">
        <v>92</v>
      </c>
      <c r="AG45" t="s">
        <v>92</v>
      </c>
      <c r="AK45" t="s">
        <v>92</v>
      </c>
      <c r="AO45" t="s">
        <v>92</v>
      </c>
      <c r="AS45" t="s">
        <v>203</v>
      </c>
      <c r="AT45">
        <v>7</v>
      </c>
      <c r="AV45" t="s">
        <v>4377</v>
      </c>
      <c r="AW45" t="s">
        <v>92</v>
      </c>
      <c r="BA45" t="s">
        <v>89</v>
      </c>
      <c r="BE45" t="s">
        <v>229</v>
      </c>
      <c r="BG45" t="s">
        <v>232</v>
      </c>
      <c r="BH45" t="s">
        <v>235</v>
      </c>
      <c r="BI45" t="s">
        <v>242</v>
      </c>
      <c r="BJ45" t="s">
        <v>5719</v>
      </c>
      <c r="BK45" t="s">
        <v>6013</v>
      </c>
      <c r="BL45" t="s">
        <v>264</v>
      </c>
      <c r="BM45" t="s">
        <v>264</v>
      </c>
      <c r="BN45" t="s">
        <v>272</v>
      </c>
      <c r="BO45" t="s">
        <v>277</v>
      </c>
      <c r="BP45" t="s">
        <v>264</v>
      </c>
      <c r="BT45" t="s">
        <v>291</v>
      </c>
      <c r="BU45" t="s">
        <v>297</v>
      </c>
      <c r="BV45" t="s">
        <v>7243</v>
      </c>
      <c r="BW45" t="s">
        <v>302</v>
      </c>
      <c r="BX45" t="s">
        <v>304</v>
      </c>
      <c r="BZ45">
        <v>0</v>
      </c>
      <c r="CA45">
        <v>1</v>
      </c>
      <c r="CB45" t="s">
        <v>7665</v>
      </c>
      <c r="CD45" t="s">
        <v>7810</v>
      </c>
      <c r="CE45" t="s">
        <v>329</v>
      </c>
      <c r="CF45" s="144">
        <v>43896.838599537034</v>
      </c>
      <c r="CG45" s="144">
        <v>43896.844166666669</v>
      </c>
      <c r="CH45" t="s">
        <v>8308</v>
      </c>
    </row>
    <row r="46" spans="1:86" ht="15" customHeight="1" x14ac:dyDescent="0.35">
      <c r="A46" t="s">
        <v>713</v>
      </c>
      <c r="D46" t="s">
        <v>81</v>
      </c>
      <c r="E46" t="s">
        <v>93</v>
      </c>
      <c r="G46">
        <v>4</v>
      </c>
      <c r="I46" t="s">
        <v>92</v>
      </c>
      <c r="M46" t="s">
        <v>91</v>
      </c>
      <c r="N46">
        <v>5</v>
      </c>
      <c r="Q46" t="s">
        <v>93</v>
      </c>
      <c r="R46">
        <v>3</v>
      </c>
      <c r="U46" t="s">
        <v>93</v>
      </c>
      <c r="V46">
        <v>4</v>
      </c>
      <c r="Y46" t="s">
        <v>109</v>
      </c>
      <c r="Z46">
        <v>3</v>
      </c>
      <c r="AC46" t="s">
        <v>3176</v>
      </c>
      <c r="AE46">
        <v>4</v>
      </c>
      <c r="AG46" t="s">
        <v>3443</v>
      </c>
      <c r="AI46">
        <v>7</v>
      </c>
      <c r="AK46" t="s">
        <v>3443</v>
      </c>
      <c r="AM46">
        <v>7</v>
      </c>
      <c r="AO46" t="s">
        <v>92</v>
      </c>
      <c r="AS46" t="s">
        <v>92</v>
      </c>
      <c r="AW46" t="s">
        <v>92</v>
      </c>
      <c r="BA46" t="s">
        <v>212</v>
      </c>
      <c r="BC46">
        <v>7</v>
      </c>
      <c r="BE46" t="s">
        <v>229</v>
      </c>
      <c r="BG46" t="s">
        <v>4968</v>
      </c>
      <c r="BH46" t="s">
        <v>238</v>
      </c>
      <c r="BI46" t="s">
        <v>243</v>
      </c>
      <c r="BJ46" t="s">
        <v>246</v>
      </c>
      <c r="BK46" t="s">
        <v>257</v>
      </c>
      <c r="BL46" t="s">
        <v>264</v>
      </c>
      <c r="BM46" t="s">
        <v>264</v>
      </c>
      <c r="BN46" t="s">
        <v>271</v>
      </c>
      <c r="BO46" t="s">
        <v>82</v>
      </c>
      <c r="BP46" t="s">
        <v>264</v>
      </c>
      <c r="BT46" t="s">
        <v>7013</v>
      </c>
      <c r="BU46" t="s">
        <v>297</v>
      </c>
      <c r="BV46" t="s">
        <v>7243</v>
      </c>
      <c r="BW46" t="s">
        <v>302</v>
      </c>
      <c r="BX46" t="s">
        <v>304</v>
      </c>
      <c r="BZ46">
        <v>0</v>
      </c>
      <c r="CA46">
        <v>0</v>
      </c>
      <c r="CE46" t="s">
        <v>325</v>
      </c>
      <c r="CF46" s="144">
        <v>43879.797465277778</v>
      </c>
      <c r="CG46" s="144">
        <v>43879.805833333332</v>
      </c>
      <c r="CH46" t="s">
        <v>8316</v>
      </c>
    </row>
    <row r="47" spans="1:86" ht="15" customHeight="1" x14ac:dyDescent="0.35">
      <c r="A47" t="s">
        <v>714</v>
      </c>
      <c r="D47" t="s">
        <v>1019</v>
      </c>
      <c r="E47" t="s">
        <v>92</v>
      </c>
      <c r="I47" t="s">
        <v>92</v>
      </c>
      <c r="M47" t="s">
        <v>91</v>
      </c>
      <c r="N47">
        <v>8</v>
      </c>
      <c r="Q47" t="s">
        <v>92</v>
      </c>
      <c r="U47" t="s">
        <v>93</v>
      </c>
      <c r="V47">
        <v>7</v>
      </c>
      <c r="Y47" t="s">
        <v>109</v>
      </c>
      <c r="Z47">
        <v>7</v>
      </c>
      <c r="AC47" t="s">
        <v>92</v>
      </c>
      <c r="AG47" t="s">
        <v>155</v>
      </c>
      <c r="AH47">
        <v>5</v>
      </c>
      <c r="AK47" t="s">
        <v>92</v>
      </c>
      <c r="AO47" t="s">
        <v>189</v>
      </c>
      <c r="AQ47">
        <v>6</v>
      </c>
      <c r="AS47" t="s">
        <v>92</v>
      </c>
      <c r="AW47" t="s">
        <v>92</v>
      </c>
      <c r="BA47" t="s">
        <v>89</v>
      </c>
      <c r="BE47" t="s">
        <v>229</v>
      </c>
      <c r="BG47" t="s">
        <v>232</v>
      </c>
      <c r="BH47" t="s">
        <v>238</v>
      </c>
      <c r="BI47" t="s">
        <v>243</v>
      </c>
      <c r="BJ47" t="s">
        <v>246</v>
      </c>
      <c r="BK47" t="s">
        <v>257</v>
      </c>
      <c r="BL47" t="s">
        <v>264</v>
      </c>
      <c r="BM47" t="s">
        <v>269</v>
      </c>
      <c r="BN47" t="s">
        <v>271</v>
      </c>
      <c r="BO47" t="s">
        <v>82</v>
      </c>
      <c r="BP47" t="s">
        <v>264</v>
      </c>
      <c r="BT47" t="s">
        <v>291</v>
      </c>
      <c r="BU47" t="s">
        <v>297</v>
      </c>
      <c r="BV47" t="s">
        <v>7243</v>
      </c>
      <c r="BW47" t="s">
        <v>302</v>
      </c>
      <c r="BX47" t="s">
        <v>304</v>
      </c>
      <c r="BZ47">
        <v>0</v>
      </c>
      <c r="CA47">
        <v>0</v>
      </c>
      <c r="CE47" t="s">
        <v>325</v>
      </c>
      <c r="CF47" s="144">
        <v>43879.792210648149</v>
      </c>
      <c r="CG47" s="144">
        <v>43879.800497685188</v>
      </c>
      <c r="CH47" t="s">
        <v>8317</v>
      </c>
    </row>
    <row r="48" spans="1:86" ht="15" customHeight="1" x14ac:dyDescent="0.35">
      <c r="A48" t="s">
        <v>716</v>
      </c>
      <c r="B48">
        <v>1</v>
      </c>
      <c r="C48">
        <v>1</v>
      </c>
      <c r="D48" t="s">
        <v>509</v>
      </c>
      <c r="E48" t="s">
        <v>511</v>
      </c>
      <c r="F48">
        <v>6</v>
      </c>
      <c r="H48" t="s">
        <v>1407</v>
      </c>
      <c r="I48" t="s">
        <v>511</v>
      </c>
      <c r="J48">
        <v>6</v>
      </c>
      <c r="L48" t="s">
        <v>1754</v>
      </c>
      <c r="M48" t="s">
        <v>510</v>
      </c>
      <c r="Q48" t="s">
        <v>510</v>
      </c>
      <c r="U48" t="s">
        <v>2582</v>
      </c>
      <c r="W48">
        <v>6</v>
      </c>
      <c r="X48" t="s">
        <v>2741</v>
      </c>
      <c r="Y48" t="s">
        <v>95</v>
      </c>
      <c r="AC48" t="s">
        <v>510</v>
      </c>
      <c r="AG48" t="s">
        <v>510</v>
      </c>
      <c r="AK48" t="s">
        <v>510</v>
      </c>
      <c r="AO48" t="s">
        <v>510</v>
      </c>
      <c r="AS48" t="s">
        <v>510</v>
      </c>
      <c r="AW48" t="s">
        <v>510</v>
      </c>
      <c r="BA48" t="s">
        <v>4498</v>
      </c>
      <c r="BC48">
        <v>5</v>
      </c>
      <c r="BD48" s="21" t="s">
        <v>1364</v>
      </c>
      <c r="BE48" t="s">
        <v>223</v>
      </c>
      <c r="BG48" t="s">
        <v>232</v>
      </c>
      <c r="BH48" t="s">
        <v>236</v>
      </c>
      <c r="BI48" t="s">
        <v>243</v>
      </c>
      <c r="BJ48" t="s">
        <v>5739</v>
      </c>
      <c r="BK48" t="s">
        <v>257</v>
      </c>
      <c r="BL48" t="s">
        <v>264</v>
      </c>
      <c r="BM48" t="s">
        <v>264</v>
      </c>
      <c r="BN48" t="s">
        <v>273</v>
      </c>
      <c r="BO48" t="s">
        <v>275</v>
      </c>
      <c r="BP48" t="s">
        <v>264</v>
      </c>
      <c r="BT48" t="s">
        <v>7027</v>
      </c>
      <c r="BU48" t="s">
        <v>297</v>
      </c>
      <c r="BV48" t="s">
        <v>300</v>
      </c>
      <c r="BW48" t="s">
        <v>302</v>
      </c>
      <c r="BX48" t="s">
        <v>304</v>
      </c>
      <c r="BZ48">
        <v>0</v>
      </c>
      <c r="CA48">
        <v>0</v>
      </c>
      <c r="CE48" t="s">
        <v>7943</v>
      </c>
      <c r="CF48" s="144">
        <v>44107.510208333333</v>
      </c>
      <c r="CG48" s="144">
        <v>44107.529131944444</v>
      </c>
      <c r="CH48" t="s">
        <v>8319</v>
      </c>
    </row>
    <row r="49" spans="1:86" ht="15" customHeight="1" x14ac:dyDescent="0.35">
      <c r="A49" t="s">
        <v>720</v>
      </c>
      <c r="B49">
        <v>1</v>
      </c>
      <c r="C49">
        <v>1</v>
      </c>
      <c r="D49" t="s">
        <v>509</v>
      </c>
      <c r="E49" t="s">
        <v>511</v>
      </c>
      <c r="F49">
        <v>6</v>
      </c>
      <c r="I49" t="s">
        <v>510</v>
      </c>
      <c r="M49" t="s">
        <v>510</v>
      </c>
      <c r="Q49" t="s">
        <v>1243</v>
      </c>
      <c r="R49">
        <v>6</v>
      </c>
      <c r="U49" t="s">
        <v>95</v>
      </c>
      <c r="Y49" t="s">
        <v>95</v>
      </c>
      <c r="AC49" t="s">
        <v>510</v>
      </c>
      <c r="AG49" t="s">
        <v>510</v>
      </c>
      <c r="AK49" t="s">
        <v>3194</v>
      </c>
      <c r="AL49">
        <v>8</v>
      </c>
      <c r="AN49" t="s">
        <v>3816</v>
      </c>
      <c r="AO49" t="s">
        <v>510</v>
      </c>
      <c r="AS49" t="s">
        <v>510</v>
      </c>
      <c r="AW49" t="s">
        <v>4498</v>
      </c>
      <c r="AY49">
        <v>6</v>
      </c>
      <c r="BA49" t="s">
        <v>4498</v>
      </c>
      <c r="BC49">
        <v>6</v>
      </c>
      <c r="BE49" t="s">
        <v>223</v>
      </c>
      <c r="BG49" t="s">
        <v>232</v>
      </c>
      <c r="BH49" t="s">
        <v>239</v>
      </c>
      <c r="BI49" t="s">
        <v>241</v>
      </c>
      <c r="BJ49" t="s">
        <v>249</v>
      </c>
      <c r="BK49" t="s">
        <v>257</v>
      </c>
      <c r="BL49" t="s">
        <v>264</v>
      </c>
      <c r="BM49" t="s">
        <v>264</v>
      </c>
      <c r="BN49" t="s">
        <v>273</v>
      </c>
      <c r="BO49" t="s">
        <v>275</v>
      </c>
      <c r="BP49" t="s">
        <v>264</v>
      </c>
      <c r="BT49" t="s">
        <v>7027</v>
      </c>
      <c r="BU49" t="s">
        <v>297</v>
      </c>
      <c r="BV49" t="s">
        <v>299</v>
      </c>
      <c r="BW49" t="s">
        <v>302</v>
      </c>
      <c r="BX49" t="s">
        <v>304</v>
      </c>
      <c r="BZ49">
        <v>0</v>
      </c>
      <c r="CA49">
        <v>0</v>
      </c>
      <c r="CE49" t="s">
        <v>328</v>
      </c>
      <c r="CF49" s="144">
        <v>44106.627997685187</v>
      </c>
      <c r="CG49" s="144">
        <v>44106.637164351851</v>
      </c>
      <c r="CH49" s="24" t="s">
        <v>8323</v>
      </c>
    </row>
    <row r="50" spans="1:86" ht="15" customHeight="1" x14ac:dyDescent="0.35">
      <c r="A50" t="s">
        <v>723</v>
      </c>
      <c r="B50">
        <v>1</v>
      </c>
      <c r="C50">
        <v>1</v>
      </c>
      <c r="D50" t="s">
        <v>79</v>
      </c>
      <c r="E50" t="s">
        <v>510</v>
      </c>
      <c r="I50" t="s">
        <v>511</v>
      </c>
      <c r="J50">
        <v>6</v>
      </c>
      <c r="L50" t="s">
        <v>1755</v>
      </c>
      <c r="M50" t="s">
        <v>511</v>
      </c>
      <c r="N50">
        <v>6</v>
      </c>
      <c r="P50" t="s">
        <v>2056</v>
      </c>
      <c r="Q50" t="s">
        <v>510</v>
      </c>
      <c r="U50" t="s">
        <v>1243</v>
      </c>
      <c r="V50">
        <v>6</v>
      </c>
      <c r="Y50" t="s">
        <v>95</v>
      </c>
      <c r="AC50" t="s">
        <v>510</v>
      </c>
      <c r="AG50" t="s">
        <v>3460</v>
      </c>
      <c r="AI50">
        <v>7</v>
      </c>
      <c r="AJ50" t="s">
        <v>3572</v>
      </c>
      <c r="AK50" t="s">
        <v>510</v>
      </c>
      <c r="AO50" t="s">
        <v>510</v>
      </c>
      <c r="AS50" t="s">
        <v>4254</v>
      </c>
      <c r="AT50">
        <v>7</v>
      </c>
      <c r="AW50" t="s">
        <v>4254</v>
      </c>
      <c r="AX50">
        <v>6</v>
      </c>
      <c r="BA50" t="s">
        <v>4498</v>
      </c>
      <c r="BC50">
        <v>5</v>
      </c>
      <c r="BE50" t="s">
        <v>223</v>
      </c>
      <c r="BG50" t="s">
        <v>4968</v>
      </c>
      <c r="BH50" t="s">
        <v>239</v>
      </c>
      <c r="BI50" t="s">
        <v>241</v>
      </c>
      <c r="BJ50" t="s">
        <v>439</v>
      </c>
      <c r="BK50" t="s">
        <v>257</v>
      </c>
      <c r="BL50" t="s">
        <v>264</v>
      </c>
      <c r="BM50" t="s">
        <v>264</v>
      </c>
      <c r="BN50" t="s">
        <v>6483</v>
      </c>
      <c r="BP50" t="s">
        <v>264</v>
      </c>
      <c r="BT50" t="s">
        <v>522</v>
      </c>
      <c r="BU50" t="s">
        <v>297</v>
      </c>
      <c r="BV50" t="s">
        <v>300</v>
      </c>
      <c r="BW50" t="s">
        <v>302</v>
      </c>
      <c r="BX50" t="s">
        <v>304</v>
      </c>
      <c r="BZ50">
        <v>0</v>
      </c>
      <c r="CA50">
        <v>0</v>
      </c>
      <c r="CE50" t="s">
        <v>328</v>
      </c>
      <c r="CF50" s="144">
        <v>43994.507199074076</v>
      </c>
      <c r="CG50" s="144">
        <v>43994.512164351851</v>
      </c>
      <c r="CH50" t="s">
        <v>8326</v>
      </c>
    </row>
    <row r="51" spans="1:86" ht="15" customHeight="1" x14ac:dyDescent="0.35">
      <c r="A51" t="s">
        <v>507</v>
      </c>
      <c r="B51">
        <v>1</v>
      </c>
      <c r="C51">
        <v>1</v>
      </c>
      <c r="D51" t="s">
        <v>509</v>
      </c>
      <c r="E51" t="s">
        <v>510</v>
      </c>
      <c r="I51" t="s">
        <v>511</v>
      </c>
      <c r="J51">
        <v>6</v>
      </c>
      <c r="L51" t="s">
        <v>513</v>
      </c>
      <c r="M51" t="s">
        <v>510</v>
      </c>
      <c r="Q51" t="s">
        <v>510</v>
      </c>
      <c r="U51" t="s">
        <v>95</v>
      </c>
      <c r="Y51" t="s">
        <v>512</v>
      </c>
      <c r="Z51">
        <v>6</v>
      </c>
      <c r="AB51" t="s">
        <v>515</v>
      </c>
      <c r="AC51" t="s">
        <v>510</v>
      </c>
      <c r="AG51" t="s">
        <v>510</v>
      </c>
      <c r="AK51" t="s">
        <v>510</v>
      </c>
      <c r="AO51" t="s">
        <v>510</v>
      </c>
      <c r="AS51" t="s">
        <v>510</v>
      </c>
      <c r="AW51" t="s">
        <v>510</v>
      </c>
      <c r="BA51" t="s">
        <v>510</v>
      </c>
      <c r="BE51" t="s">
        <v>223</v>
      </c>
      <c r="BG51" t="s">
        <v>232</v>
      </c>
      <c r="BH51" t="s">
        <v>239</v>
      </c>
      <c r="BI51" t="s">
        <v>247</v>
      </c>
      <c r="BJ51" t="s">
        <v>249</v>
      </c>
      <c r="BK51" t="s">
        <v>259</v>
      </c>
      <c r="BL51" t="s">
        <v>264</v>
      </c>
      <c r="BM51" t="s">
        <v>264</v>
      </c>
      <c r="BN51" t="s">
        <v>273</v>
      </c>
      <c r="BO51" t="s">
        <v>275</v>
      </c>
      <c r="BP51" t="s">
        <v>264</v>
      </c>
      <c r="BT51" t="s">
        <v>522</v>
      </c>
      <c r="BU51" t="s">
        <v>297</v>
      </c>
      <c r="BV51" t="s">
        <v>300</v>
      </c>
      <c r="BW51" t="s">
        <v>302</v>
      </c>
      <c r="BX51" t="s">
        <v>304</v>
      </c>
      <c r="BZ51">
        <v>1</v>
      </c>
      <c r="CA51">
        <v>0</v>
      </c>
      <c r="CE51" t="s">
        <v>326</v>
      </c>
      <c r="CF51" s="144">
        <v>43922.422349537039</v>
      </c>
      <c r="CG51" s="144">
        <v>43922.447592592594</v>
      </c>
      <c r="CH51" t="s">
        <v>524</v>
      </c>
    </row>
    <row r="52" spans="1:86" ht="15" customHeight="1" x14ac:dyDescent="0.35">
      <c r="A52" t="s">
        <v>852</v>
      </c>
      <c r="B52">
        <v>1</v>
      </c>
      <c r="C52">
        <v>1</v>
      </c>
      <c r="D52" t="s">
        <v>86</v>
      </c>
      <c r="E52" t="s">
        <v>95</v>
      </c>
      <c r="I52" t="s">
        <v>94</v>
      </c>
      <c r="J52">
        <v>7</v>
      </c>
      <c r="L52" t="s">
        <v>1793</v>
      </c>
      <c r="M52" t="s">
        <v>94</v>
      </c>
      <c r="N52">
        <v>6</v>
      </c>
      <c r="Q52" t="s">
        <v>96</v>
      </c>
      <c r="R52">
        <v>7</v>
      </c>
      <c r="U52" t="s">
        <v>137</v>
      </c>
      <c r="V52">
        <v>6</v>
      </c>
      <c r="Y52" t="s">
        <v>110</v>
      </c>
      <c r="Z52">
        <v>8</v>
      </c>
      <c r="AB52" t="s">
        <v>3082</v>
      </c>
      <c r="AC52" t="s">
        <v>95</v>
      </c>
      <c r="AG52" t="s">
        <v>95</v>
      </c>
      <c r="AK52" t="s">
        <v>95</v>
      </c>
      <c r="AO52" t="s">
        <v>190</v>
      </c>
      <c r="AQ52">
        <v>5</v>
      </c>
      <c r="AS52" t="s">
        <v>95</v>
      </c>
      <c r="AW52" t="s">
        <v>95</v>
      </c>
      <c r="BA52" t="s">
        <v>4574</v>
      </c>
      <c r="BC52">
        <v>4</v>
      </c>
      <c r="BE52" t="s">
        <v>225</v>
      </c>
      <c r="BG52" t="s">
        <v>4968</v>
      </c>
      <c r="BH52" t="s">
        <v>239</v>
      </c>
      <c r="BI52" t="s">
        <v>241</v>
      </c>
      <c r="BJ52" t="s">
        <v>252</v>
      </c>
      <c r="BK52" t="s">
        <v>258</v>
      </c>
      <c r="BL52" t="s">
        <v>264</v>
      </c>
      <c r="BM52" t="s">
        <v>264</v>
      </c>
      <c r="BN52" t="s">
        <v>272</v>
      </c>
      <c r="BO52" t="s">
        <v>275</v>
      </c>
      <c r="BP52" t="s">
        <v>264</v>
      </c>
      <c r="BT52" t="s">
        <v>293</v>
      </c>
      <c r="BU52" t="s">
        <v>297</v>
      </c>
      <c r="BV52" t="s">
        <v>300</v>
      </c>
      <c r="BW52" t="s">
        <v>302</v>
      </c>
      <c r="BX52" t="s">
        <v>304</v>
      </c>
      <c r="BZ52">
        <v>0</v>
      </c>
      <c r="CA52">
        <v>0</v>
      </c>
      <c r="CE52" t="s">
        <v>329</v>
      </c>
      <c r="CF52" s="144">
        <v>44127.402083333334</v>
      </c>
      <c r="CG52" s="144">
        <v>44127.409363425926</v>
      </c>
      <c r="CH52" t="s">
        <v>8436</v>
      </c>
    </row>
    <row r="53" spans="1:86" ht="15" customHeight="1" x14ac:dyDescent="0.35">
      <c r="A53" t="s">
        <v>855</v>
      </c>
      <c r="B53">
        <v>1</v>
      </c>
      <c r="C53">
        <v>1</v>
      </c>
      <c r="D53" t="s">
        <v>86</v>
      </c>
      <c r="E53" t="s">
        <v>94</v>
      </c>
      <c r="F53">
        <v>6</v>
      </c>
      <c r="I53" t="s">
        <v>110</v>
      </c>
      <c r="K53">
        <v>6</v>
      </c>
      <c r="M53" t="s">
        <v>94</v>
      </c>
      <c r="N53">
        <v>7</v>
      </c>
      <c r="Q53" t="s">
        <v>110</v>
      </c>
      <c r="S53">
        <v>7</v>
      </c>
      <c r="U53" t="s">
        <v>118</v>
      </c>
      <c r="W53">
        <v>7</v>
      </c>
      <c r="Y53" t="s">
        <v>110</v>
      </c>
      <c r="Z53">
        <v>7</v>
      </c>
      <c r="AC53" t="s">
        <v>156</v>
      </c>
      <c r="AD53">
        <v>8</v>
      </c>
      <c r="AG53" t="s">
        <v>156</v>
      </c>
      <c r="AH53">
        <v>6</v>
      </c>
      <c r="AK53" t="s">
        <v>170</v>
      </c>
      <c r="AM53">
        <v>7</v>
      </c>
      <c r="AO53" t="s">
        <v>190</v>
      </c>
      <c r="AQ53">
        <v>6</v>
      </c>
      <c r="AS53" t="s">
        <v>204</v>
      </c>
      <c r="AT53">
        <v>6</v>
      </c>
      <c r="AW53" t="s">
        <v>204</v>
      </c>
      <c r="AX53">
        <v>6</v>
      </c>
      <c r="BA53" t="s">
        <v>205</v>
      </c>
      <c r="BB53">
        <v>6</v>
      </c>
      <c r="BE53" t="s">
        <v>225</v>
      </c>
      <c r="BG53" t="s">
        <v>232</v>
      </c>
      <c r="BH53" t="s">
        <v>239</v>
      </c>
      <c r="BI53" t="s">
        <v>241</v>
      </c>
      <c r="BJ53" t="s">
        <v>249</v>
      </c>
      <c r="BK53" t="s">
        <v>258</v>
      </c>
      <c r="BL53" t="s">
        <v>264</v>
      </c>
      <c r="BM53" t="s">
        <v>264</v>
      </c>
      <c r="BN53" t="s">
        <v>272</v>
      </c>
      <c r="BO53" t="s">
        <v>275</v>
      </c>
      <c r="BP53" t="s">
        <v>264</v>
      </c>
      <c r="BT53" t="s">
        <v>293</v>
      </c>
      <c r="BU53" t="s">
        <v>297</v>
      </c>
      <c r="BV53" t="s">
        <v>300</v>
      </c>
      <c r="BW53" t="s">
        <v>302</v>
      </c>
      <c r="BX53" t="s">
        <v>304</v>
      </c>
      <c r="BZ53">
        <v>0</v>
      </c>
      <c r="CA53">
        <v>0</v>
      </c>
      <c r="CE53" t="s">
        <v>329</v>
      </c>
      <c r="CF53" s="144">
        <v>44120.79619212963</v>
      </c>
      <c r="CG53" s="144">
        <v>44120.801828703705</v>
      </c>
      <c r="CH53" t="s">
        <v>8439</v>
      </c>
    </row>
    <row r="54" spans="1:86" ht="15" customHeight="1" x14ac:dyDescent="0.35">
      <c r="A54" t="s">
        <v>508</v>
      </c>
      <c r="B54">
        <v>1</v>
      </c>
      <c r="C54">
        <v>1</v>
      </c>
      <c r="D54" t="s">
        <v>84</v>
      </c>
      <c r="E54" t="s">
        <v>95</v>
      </c>
      <c r="I54" t="s">
        <v>95</v>
      </c>
      <c r="M54" t="s">
        <v>95</v>
      </c>
      <c r="Q54" t="s">
        <v>95</v>
      </c>
      <c r="U54" t="s">
        <v>137</v>
      </c>
      <c r="V54">
        <v>6</v>
      </c>
      <c r="X54" t="s">
        <v>514</v>
      </c>
      <c r="Y54" t="s">
        <v>110</v>
      </c>
      <c r="Z54">
        <v>6</v>
      </c>
      <c r="AB54" t="s">
        <v>516</v>
      </c>
      <c r="AC54" t="s">
        <v>95</v>
      </c>
      <c r="AG54" t="s">
        <v>156</v>
      </c>
      <c r="AH54">
        <v>4</v>
      </c>
      <c r="AJ54" t="s">
        <v>517</v>
      </c>
      <c r="AK54" t="s">
        <v>157</v>
      </c>
      <c r="AL54">
        <v>5</v>
      </c>
      <c r="AN54" t="s">
        <v>518</v>
      </c>
      <c r="AO54" t="s">
        <v>190</v>
      </c>
      <c r="AQ54">
        <v>6</v>
      </c>
      <c r="AR54" t="s">
        <v>519</v>
      </c>
      <c r="AS54" t="s">
        <v>95</v>
      </c>
      <c r="AW54" t="s">
        <v>204</v>
      </c>
      <c r="AX54">
        <v>5</v>
      </c>
      <c r="AZ54" t="s">
        <v>520</v>
      </c>
      <c r="BA54" t="s">
        <v>205</v>
      </c>
      <c r="BB54">
        <v>5</v>
      </c>
      <c r="BD54" t="s">
        <v>521</v>
      </c>
      <c r="BE54" t="s">
        <v>225</v>
      </c>
      <c r="BG54" t="s">
        <v>232</v>
      </c>
      <c r="BH54" t="s">
        <v>238</v>
      </c>
      <c r="BI54" t="s">
        <v>243</v>
      </c>
      <c r="BJ54" t="s">
        <v>249</v>
      </c>
      <c r="BK54" t="s">
        <v>259</v>
      </c>
      <c r="BL54" t="s">
        <v>266</v>
      </c>
      <c r="BM54" t="s">
        <v>264</v>
      </c>
      <c r="BN54" t="s">
        <v>76</v>
      </c>
      <c r="BO54" t="s">
        <v>275</v>
      </c>
      <c r="BP54" t="s">
        <v>264</v>
      </c>
      <c r="BT54" t="s">
        <v>293</v>
      </c>
      <c r="BU54" t="s">
        <v>297</v>
      </c>
      <c r="BV54" t="s">
        <v>299</v>
      </c>
      <c r="BW54" t="s">
        <v>302</v>
      </c>
      <c r="BX54" t="s">
        <v>304</v>
      </c>
      <c r="BZ54">
        <v>1</v>
      </c>
      <c r="CA54">
        <v>1</v>
      </c>
      <c r="CB54" t="s">
        <v>313</v>
      </c>
      <c r="CC54" t="s">
        <v>523</v>
      </c>
      <c r="CD54" t="s">
        <v>312</v>
      </c>
      <c r="CE54" t="s">
        <v>327</v>
      </c>
      <c r="CF54" s="144">
        <v>44113.325937499998</v>
      </c>
      <c r="CG54" s="144">
        <v>44113.336365740739</v>
      </c>
      <c r="CH54" t="s">
        <v>525</v>
      </c>
    </row>
    <row r="55" spans="1:86" x14ac:dyDescent="0.35">
      <c r="A55" t="s">
        <v>857</v>
      </c>
      <c r="B55">
        <v>1</v>
      </c>
      <c r="C55">
        <v>1</v>
      </c>
      <c r="D55" t="s">
        <v>84</v>
      </c>
      <c r="E55" t="s">
        <v>94</v>
      </c>
      <c r="F55">
        <v>8</v>
      </c>
      <c r="H55" t="s">
        <v>1452</v>
      </c>
      <c r="I55" t="s">
        <v>110</v>
      </c>
      <c r="K55">
        <v>7</v>
      </c>
      <c r="L55" t="s">
        <v>1794</v>
      </c>
      <c r="M55" t="s">
        <v>118</v>
      </c>
      <c r="O55">
        <v>4</v>
      </c>
      <c r="Q55" t="s">
        <v>110</v>
      </c>
      <c r="S55">
        <v>8</v>
      </c>
      <c r="T55" t="s">
        <v>2460</v>
      </c>
      <c r="U55" t="s">
        <v>137</v>
      </c>
      <c r="V55">
        <v>6</v>
      </c>
      <c r="X55" t="s">
        <v>2777</v>
      </c>
      <c r="Y55" t="s">
        <v>110</v>
      </c>
      <c r="Z55">
        <v>8</v>
      </c>
      <c r="AC55" t="s">
        <v>157</v>
      </c>
      <c r="AE55">
        <v>7</v>
      </c>
      <c r="AF55" t="s">
        <v>3373</v>
      </c>
      <c r="AG55" t="s">
        <v>170</v>
      </c>
      <c r="AI55">
        <v>7</v>
      </c>
      <c r="AK55" t="s">
        <v>170</v>
      </c>
      <c r="AO55" t="s">
        <v>191</v>
      </c>
      <c r="AP55">
        <v>6</v>
      </c>
      <c r="AR55" t="s">
        <v>4150</v>
      </c>
      <c r="AS55" t="s">
        <v>204</v>
      </c>
      <c r="AT55">
        <v>7</v>
      </c>
      <c r="AV55" t="s">
        <v>4400</v>
      </c>
      <c r="AW55" t="s">
        <v>204</v>
      </c>
      <c r="AX55">
        <v>6</v>
      </c>
      <c r="BA55" t="s">
        <v>4574</v>
      </c>
      <c r="BC55">
        <v>7</v>
      </c>
      <c r="BE55" t="s">
        <v>225</v>
      </c>
      <c r="BG55" t="s">
        <v>232</v>
      </c>
      <c r="BH55" t="s">
        <v>238</v>
      </c>
      <c r="BI55" t="s">
        <v>243</v>
      </c>
      <c r="BJ55" t="s">
        <v>249</v>
      </c>
      <c r="BK55" t="s">
        <v>259</v>
      </c>
      <c r="BL55" t="s">
        <v>264</v>
      </c>
      <c r="BM55" t="s">
        <v>264</v>
      </c>
      <c r="BN55" t="s">
        <v>6586</v>
      </c>
      <c r="BO55" t="s">
        <v>275</v>
      </c>
      <c r="BP55" t="s">
        <v>264</v>
      </c>
      <c r="BT55" t="s">
        <v>294</v>
      </c>
      <c r="BU55" t="s">
        <v>297</v>
      </c>
      <c r="BV55" t="s">
        <v>300</v>
      </c>
      <c r="BW55" t="s">
        <v>302</v>
      </c>
      <c r="BX55" t="s">
        <v>304</v>
      </c>
      <c r="BZ55">
        <v>0</v>
      </c>
      <c r="CA55">
        <v>0</v>
      </c>
      <c r="CE55" t="s">
        <v>329</v>
      </c>
      <c r="CF55" s="144">
        <v>44112.509039351855</v>
      </c>
      <c r="CG55" s="144">
        <v>44112.515902777777</v>
      </c>
      <c r="CH55" t="s">
        <v>8441</v>
      </c>
    </row>
    <row r="56" spans="1:86" x14ac:dyDescent="0.35">
      <c r="A56" t="s">
        <v>858</v>
      </c>
      <c r="B56">
        <v>1</v>
      </c>
      <c r="C56">
        <v>1</v>
      </c>
      <c r="D56" t="s">
        <v>83</v>
      </c>
      <c r="E56" t="s">
        <v>94</v>
      </c>
      <c r="F56">
        <v>7</v>
      </c>
      <c r="I56" t="s">
        <v>95</v>
      </c>
      <c r="M56" t="s">
        <v>94</v>
      </c>
      <c r="N56">
        <v>8</v>
      </c>
      <c r="Q56" t="s">
        <v>110</v>
      </c>
      <c r="S56">
        <v>6</v>
      </c>
      <c r="U56" t="s">
        <v>137</v>
      </c>
      <c r="V56">
        <v>7</v>
      </c>
      <c r="Y56" t="s">
        <v>110</v>
      </c>
      <c r="Z56">
        <v>8</v>
      </c>
      <c r="AC56" t="s">
        <v>156</v>
      </c>
      <c r="AD56">
        <v>5</v>
      </c>
      <c r="AG56" t="s">
        <v>95</v>
      </c>
      <c r="AK56" t="s">
        <v>95</v>
      </c>
      <c r="AO56" t="s">
        <v>95</v>
      </c>
      <c r="AS56" t="s">
        <v>204</v>
      </c>
      <c r="AT56">
        <v>6</v>
      </c>
      <c r="AW56" t="s">
        <v>204</v>
      </c>
      <c r="AX56">
        <v>6</v>
      </c>
      <c r="BA56" t="s">
        <v>95</v>
      </c>
      <c r="BE56" t="s">
        <v>225</v>
      </c>
      <c r="BG56" t="s">
        <v>232</v>
      </c>
      <c r="BH56" t="s">
        <v>239</v>
      </c>
      <c r="BI56" t="s">
        <v>241</v>
      </c>
      <c r="BJ56" t="s">
        <v>254</v>
      </c>
      <c r="BK56" t="s">
        <v>259</v>
      </c>
      <c r="BL56" t="s">
        <v>264</v>
      </c>
      <c r="BM56" t="s">
        <v>264</v>
      </c>
      <c r="BN56" t="s">
        <v>272</v>
      </c>
      <c r="BO56" t="s">
        <v>275</v>
      </c>
      <c r="BP56" t="s">
        <v>264</v>
      </c>
      <c r="BT56" t="s">
        <v>292</v>
      </c>
      <c r="BU56" t="s">
        <v>297</v>
      </c>
      <c r="BV56" t="s">
        <v>299</v>
      </c>
      <c r="BW56" t="s">
        <v>302</v>
      </c>
      <c r="BX56" t="s">
        <v>304</v>
      </c>
      <c r="BZ56">
        <v>0</v>
      </c>
      <c r="CA56">
        <v>0</v>
      </c>
      <c r="CE56" t="s">
        <v>329</v>
      </c>
      <c r="CF56" s="144">
        <v>43969.261435185188</v>
      </c>
      <c r="CG56" s="144">
        <v>43969.271087962959</v>
      </c>
      <c r="CH56" t="s">
        <v>8442</v>
      </c>
    </row>
    <row r="57" spans="1:86" x14ac:dyDescent="0.35">
      <c r="A57" t="s">
        <v>861</v>
      </c>
      <c r="B57">
        <v>1</v>
      </c>
      <c r="C57">
        <v>1</v>
      </c>
      <c r="D57" t="s">
        <v>84</v>
      </c>
      <c r="E57" t="s">
        <v>95</v>
      </c>
      <c r="I57" t="s">
        <v>94</v>
      </c>
      <c r="J57">
        <v>4</v>
      </c>
      <c r="M57" t="s">
        <v>94</v>
      </c>
      <c r="Q57" t="s">
        <v>95</v>
      </c>
      <c r="T57" s="21"/>
      <c r="U57" t="s">
        <v>137</v>
      </c>
      <c r="V57">
        <v>6</v>
      </c>
      <c r="Y57" t="s">
        <v>110</v>
      </c>
      <c r="Z57">
        <v>4</v>
      </c>
      <c r="AC57" t="s">
        <v>156</v>
      </c>
      <c r="AD57">
        <v>7</v>
      </c>
      <c r="AG57" t="s">
        <v>95</v>
      </c>
      <c r="AK57" t="s">
        <v>170</v>
      </c>
      <c r="AM57">
        <v>6</v>
      </c>
      <c r="AO57" t="s">
        <v>191</v>
      </c>
      <c r="AP57">
        <v>8</v>
      </c>
      <c r="AS57" t="s">
        <v>204</v>
      </c>
      <c r="AT57">
        <v>6</v>
      </c>
      <c r="AW57" t="s">
        <v>95</v>
      </c>
      <c r="BA57" t="s">
        <v>4574</v>
      </c>
      <c r="BC57">
        <v>5</v>
      </c>
      <c r="BE57" t="s">
        <v>225</v>
      </c>
      <c r="BG57" t="s">
        <v>232</v>
      </c>
      <c r="BH57" t="s">
        <v>236</v>
      </c>
      <c r="BI57" t="s">
        <v>242</v>
      </c>
      <c r="BJ57" t="s">
        <v>252</v>
      </c>
      <c r="BK57" t="s">
        <v>258</v>
      </c>
      <c r="BL57" t="s">
        <v>265</v>
      </c>
      <c r="BM57" t="s">
        <v>269</v>
      </c>
      <c r="BN57" t="s">
        <v>273</v>
      </c>
      <c r="BO57" t="s">
        <v>275</v>
      </c>
      <c r="BP57" t="s">
        <v>264</v>
      </c>
      <c r="BT57" t="s">
        <v>7116</v>
      </c>
      <c r="BU57" t="s">
        <v>297</v>
      </c>
      <c r="BV57" t="s">
        <v>246</v>
      </c>
      <c r="BW57" t="s">
        <v>302</v>
      </c>
      <c r="BX57" t="s">
        <v>304</v>
      </c>
      <c r="BZ57">
        <v>0</v>
      </c>
      <c r="CA57">
        <v>0</v>
      </c>
      <c r="CE57" t="s">
        <v>326</v>
      </c>
      <c r="CF57" s="144">
        <v>43955.908009259256</v>
      </c>
      <c r="CG57" s="144">
        <v>43955.914085648146</v>
      </c>
      <c r="CH57" t="s">
        <v>8445</v>
      </c>
    </row>
    <row r="58" spans="1:86" x14ac:dyDescent="0.35">
      <c r="A58" t="s">
        <v>863</v>
      </c>
      <c r="B58">
        <v>1</v>
      </c>
      <c r="C58">
        <v>1</v>
      </c>
      <c r="D58" t="s">
        <v>84</v>
      </c>
      <c r="E58" t="s">
        <v>94</v>
      </c>
      <c r="F58">
        <v>7</v>
      </c>
      <c r="H58" t="s">
        <v>1453</v>
      </c>
      <c r="I58" t="s">
        <v>94</v>
      </c>
      <c r="J58">
        <v>4</v>
      </c>
      <c r="L58" t="s">
        <v>1453</v>
      </c>
      <c r="M58" t="s">
        <v>118</v>
      </c>
      <c r="O58">
        <v>4</v>
      </c>
      <c r="P58" t="s">
        <v>2099</v>
      </c>
      <c r="Q58" t="s">
        <v>95</v>
      </c>
      <c r="U58" t="s">
        <v>118</v>
      </c>
      <c r="W58">
        <v>5</v>
      </c>
      <c r="X58" t="s">
        <v>2779</v>
      </c>
      <c r="Y58" t="s">
        <v>95</v>
      </c>
      <c r="AC58" t="s">
        <v>95</v>
      </c>
      <c r="AG58" t="s">
        <v>95</v>
      </c>
      <c r="AK58" t="s">
        <v>95</v>
      </c>
      <c r="AO58" t="s">
        <v>191</v>
      </c>
      <c r="AP58">
        <v>7</v>
      </c>
      <c r="AR58" t="s">
        <v>4151</v>
      </c>
      <c r="AS58" t="s">
        <v>204</v>
      </c>
      <c r="AT58">
        <v>6</v>
      </c>
      <c r="AV58" t="s">
        <v>4401</v>
      </c>
      <c r="AW58" t="s">
        <v>95</v>
      </c>
      <c r="BA58" t="s">
        <v>95</v>
      </c>
      <c r="BE58" t="s">
        <v>225</v>
      </c>
      <c r="BG58" t="s">
        <v>232</v>
      </c>
      <c r="BH58" t="s">
        <v>236</v>
      </c>
      <c r="BI58" t="s">
        <v>242</v>
      </c>
      <c r="BJ58" t="s">
        <v>254</v>
      </c>
      <c r="BK58" t="s">
        <v>258</v>
      </c>
      <c r="BL58" t="s">
        <v>265</v>
      </c>
      <c r="BM58" t="s">
        <v>264</v>
      </c>
      <c r="BN58" t="s">
        <v>272</v>
      </c>
      <c r="BO58" t="s">
        <v>275</v>
      </c>
      <c r="BP58" t="s">
        <v>264</v>
      </c>
      <c r="BT58" t="s">
        <v>294</v>
      </c>
      <c r="BU58" t="s">
        <v>297</v>
      </c>
      <c r="BV58" t="s">
        <v>300</v>
      </c>
      <c r="BW58" t="s">
        <v>302</v>
      </c>
      <c r="BX58" t="s">
        <v>304</v>
      </c>
      <c r="BZ58">
        <v>0</v>
      </c>
      <c r="CA58">
        <v>0</v>
      </c>
      <c r="CE58" t="s">
        <v>325</v>
      </c>
      <c r="CF58" s="144">
        <v>43918.758981481478</v>
      </c>
      <c r="CG58" s="144">
        <v>43918.764456018522</v>
      </c>
      <c r="CH58" t="s">
        <v>8447</v>
      </c>
    </row>
    <row r="59" spans="1:86" x14ac:dyDescent="0.35">
      <c r="A59" t="s">
        <v>68</v>
      </c>
      <c r="B59">
        <v>1</v>
      </c>
      <c r="C59">
        <v>1</v>
      </c>
      <c r="D59" t="s">
        <v>85</v>
      </c>
      <c r="E59" t="s">
        <v>94</v>
      </c>
      <c r="F59">
        <v>6</v>
      </c>
      <c r="H59" t="s">
        <v>104</v>
      </c>
      <c r="I59" t="s">
        <v>95</v>
      </c>
      <c r="M59" t="s">
        <v>94</v>
      </c>
      <c r="N59">
        <v>7</v>
      </c>
      <c r="P59" t="s">
        <v>125</v>
      </c>
      <c r="Q59" t="s">
        <v>95</v>
      </c>
      <c r="U59" t="s">
        <v>118</v>
      </c>
      <c r="W59">
        <v>6</v>
      </c>
      <c r="X59" t="s">
        <v>143</v>
      </c>
      <c r="Y59" t="s">
        <v>118</v>
      </c>
      <c r="AA59">
        <v>6</v>
      </c>
      <c r="AC59" t="s">
        <v>156</v>
      </c>
      <c r="AD59">
        <v>8</v>
      </c>
      <c r="AF59" t="s">
        <v>165</v>
      </c>
      <c r="AG59" t="s">
        <v>156</v>
      </c>
      <c r="AH59">
        <v>7</v>
      </c>
      <c r="AJ59" t="s">
        <v>175</v>
      </c>
      <c r="AK59" t="s">
        <v>170</v>
      </c>
      <c r="AM59">
        <v>6</v>
      </c>
      <c r="AN59" t="s">
        <v>182</v>
      </c>
      <c r="AO59" t="s">
        <v>191</v>
      </c>
      <c r="AP59">
        <v>7</v>
      </c>
      <c r="AR59" t="s">
        <v>198</v>
      </c>
      <c r="BE59" t="s">
        <v>225</v>
      </c>
      <c r="BG59" t="s">
        <v>232</v>
      </c>
      <c r="BH59" t="s">
        <v>236</v>
      </c>
      <c r="BI59" t="s">
        <v>244</v>
      </c>
      <c r="BJ59" t="s">
        <v>249</v>
      </c>
      <c r="BK59" t="s">
        <v>257</v>
      </c>
      <c r="BL59" t="s">
        <v>267</v>
      </c>
      <c r="BM59" t="s">
        <v>269</v>
      </c>
      <c r="BN59" t="s">
        <v>272</v>
      </c>
      <c r="BO59" t="s">
        <v>275</v>
      </c>
      <c r="BP59" t="s">
        <v>269</v>
      </c>
      <c r="BQ59" t="s">
        <v>6834</v>
      </c>
      <c r="BR59" t="s">
        <v>6834</v>
      </c>
      <c r="BS59" t="s">
        <v>6835</v>
      </c>
      <c r="BT59" t="s">
        <v>295</v>
      </c>
      <c r="BU59" t="s">
        <v>297</v>
      </c>
      <c r="BV59" t="s">
        <v>300</v>
      </c>
      <c r="BW59" t="s">
        <v>302</v>
      </c>
      <c r="BX59" t="s">
        <v>304</v>
      </c>
      <c r="BZ59">
        <v>1</v>
      </c>
      <c r="CA59">
        <v>0</v>
      </c>
      <c r="CE59" t="s">
        <v>325</v>
      </c>
      <c r="CF59" s="144">
        <v>43917.639456018522</v>
      </c>
      <c r="CG59" s="144">
        <v>43917.648726851854</v>
      </c>
      <c r="CH59" s="24" t="s">
        <v>342</v>
      </c>
    </row>
    <row r="60" spans="1:86" x14ac:dyDescent="0.35">
      <c r="A60" t="s">
        <v>430</v>
      </c>
      <c r="B60">
        <v>1</v>
      </c>
      <c r="C60">
        <v>1</v>
      </c>
      <c r="D60" t="s">
        <v>83</v>
      </c>
      <c r="E60" t="s">
        <v>94</v>
      </c>
      <c r="F60">
        <v>7</v>
      </c>
      <c r="H60" t="s">
        <v>431</v>
      </c>
      <c r="I60" t="s">
        <v>94</v>
      </c>
      <c r="J60">
        <v>6</v>
      </c>
      <c r="L60" t="s">
        <v>432</v>
      </c>
      <c r="M60" t="s">
        <v>95</v>
      </c>
      <c r="Q60" t="s">
        <v>96</v>
      </c>
      <c r="R60">
        <v>6</v>
      </c>
      <c r="T60" t="s">
        <v>434</v>
      </c>
      <c r="U60" t="s">
        <v>95</v>
      </c>
      <c r="Y60" t="s">
        <v>95</v>
      </c>
      <c r="AC60" t="s">
        <v>156</v>
      </c>
      <c r="AD60">
        <v>1</v>
      </c>
      <c r="AF60" t="s">
        <v>437</v>
      </c>
      <c r="AG60" t="s">
        <v>95</v>
      </c>
      <c r="AK60" t="s">
        <v>95</v>
      </c>
      <c r="AO60" t="s">
        <v>95</v>
      </c>
      <c r="BE60" t="s">
        <v>225</v>
      </c>
      <c r="BG60" t="s">
        <v>232</v>
      </c>
      <c r="BH60" t="s">
        <v>239</v>
      </c>
      <c r="BI60" t="s">
        <v>242</v>
      </c>
      <c r="BJ60" t="s">
        <v>252</v>
      </c>
      <c r="BK60" t="s">
        <v>258</v>
      </c>
      <c r="BL60" t="s">
        <v>264</v>
      </c>
      <c r="BM60" t="s">
        <v>264</v>
      </c>
      <c r="BN60" t="s">
        <v>272</v>
      </c>
      <c r="BO60" t="s">
        <v>275</v>
      </c>
      <c r="BP60" t="s">
        <v>264</v>
      </c>
      <c r="BT60" t="s">
        <v>441</v>
      </c>
      <c r="BU60" t="s">
        <v>297</v>
      </c>
      <c r="BV60" t="s">
        <v>300</v>
      </c>
      <c r="BW60" t="s">
        <v>302</v>
      </c>
      <c r="BX60" t="s">
        <v>304</v>
      </c>
      <c r="BZ60">
        <v>1</v>
      </c>
      <c r="CA60">
        <v>0</v>
      </c>
      <c r="CE60" t="s">
        <v>329</v>
      </c>
      <c r="CF60" s="144">
        <v>43917.626655092594</v>
      </c>
      <c r="CG60" s="144">
        <v>43917.636111111111</v>
      </c>
      <c r="CH60" t="s">
        <v>444</v>
      </c>
    </row>
    <row r="61" spans="1:86" x14ac:dyDescent="0.35">
      <c r="A61" t="s">
        <v>69</v>
      </c>
      <c r="B61">
        <v>1</v>
      </c>
      <c r="C61">
        <v>1</v>
      </c>
      <c r="D61" t="s">
        <v>85</v>
      </c>
      <c r="E61" t="s">
        <v>94</v>
      </c>
      <c r="F61">
        <v>6</v>
      </c>
      <c r="H61" t="s">
        <v>105</v>
      </c>
      <c r="I61" t="s">
        <v>95</v>
      </c>
      <c r="M61" t="s">
        <v>94</v>
      </c>
      <c r="N61">
        <v>4</v>
      </c>
      <c r="P61" t="s">
        <v>126</v>
      </c>
      <c r="Q61" t="s">
        <v>110</v>
      </c>
      <c r="S61">
        <v>5</v>
      </c>
      <c r="T61" t="s">
        <v>133</v>
      </c>
      <c r="U61" t="s">
        <v>118</v>
      </c>
      <c r="W61">
        <v>6</v>
      </c>
      <c r="X61" t="s">
        <v>144</v>
      </c>
      <c r="Y61" t="s">
        <v>95</v>
      </c>
      <c r="AC61" t="s">
        <v>156</v>
      </c>
      <c r="AD61">
        <v>7</v>
      </c>
      <c r="AF61" t="s">
        <v>166</v>
      </c>
      <c r="AG61" t="s">
        <v>95</v>
      </c>
      <c r="AK61" t="s">
        <v>170</v>
      </c>
      <c r="AM61">
        <v>7</v>
      </c>
      <c r="AN61" t="s">
        <v>183</v>
      </c>
      <c r="AO61" t="s">
        <v>190</v>
      </c>
      <c r="AQ61">
        <v>7</v>
      </c>
      <c r="AR61" t="s">
        <v>199</v>
      </c>
      <c r="BE61" t="s">
        <v>225</v>
      </c>
      <c r="BG61" t="s">
        <v>232</v>
      </c>
      <c r="BH61" t="s">
        <v>239</v>
      </c>
      <c r="BI61" t="s">
        <v>241</v>
      </c>
      <c r="BJ61" t="s">
        <v>252</v>
      </c>
      <c r="BK61" t="s">
        <v>258</v>
      </c>
      <c r="BL61" t="s">
        <v>264</v>
      </c>
      <c r="BM61" t="s">
        <v>264</v>
      </c>
      <c r="BN61" t="s">
        <v>272</v>
      </c>
      <c r="BO61" t="s">
        <v>275</v>
      </c>
      <c r="BP61" t="s">
        <v>264</v>
      </c>
      <c r="BT61" t="s">
        <v>293</v>
      </c>
      <c r="BU61" t="s">
        <v>297</v>
      </c>
      <c r="BV61" t="s">
        <v>299</v>
      </c>
      <c r="BW61" t="s">
        <v>302</v>
      </c>
      <c r="BX61" t="s">
        <v>304</v>
      </c>
      <c r="BZ61">
        <v>1</v>
      </c>
      <c r="CA61">
        <v>0</v>
      </c>
      <c r="CE61" t="s">
        <v>330</v>
      </c>
      <c r="CF61" s="144">
        <v>43917.601817129631</v>
      </c>
      <c r="CG61" s="144">
        <v>43917.619814814818</v>
      </c>
      <c r="CH61" t="s">
        <v>343</v>
      </c>
    </row>
    <row r="62" spans="1:86" x14ac:dyDescent="0.35">
      <c r="A62" t="s">
        <v>867</v>
      </c>
      <c r="B62">
        <v>1</v>
      </c>
      <c r="C62">
        <v>1</v>
      </c>
      <c r="D62" t="s">
        <v>84</v>
      </c>
      <c r="E62" t="s">
        <v>94</v>
      </c>
      <c r="F62">
        <v>6</v>
      </c>
      <c r="H62" t="s">
        <v>1457</v>
      </c>
      <c r="I62" t="s">
        <v>94</v>
      </c>
      <c r="J62">
        <v>6</v>
      </c>
      <c r="M62" t="s">
        <v>94</v>
      </c>
      <c r="N62">
        <v>6</v>
      </c>
      <c r="Q62" t="s">
        <v>110</v>
      </c>
      <c r="S62">
        <v>6</v>
      </c>
      <c r="U62" t="s">
        <v>137</v>
      </c>
      <c r="V62">
        <v>6</v>
      </c>
      <c r="Y62" t="s">
        <v>110</v>
      </c>
      <c r="Z62">
        <v>6</v>
      </c>
      <c r="AC62" t="s">
        <v>156</v>
      </c>
      <c r="AD62">
        <v>5</v>
      </c>
      <c r="AG62" t="s">
        <v>95</v>
      </c>
      <c r="AK62" t="s">
        <v>95</v>
      </c>
      <c r="AO62" t="s">
        <v>190</v>
      </c>
      <c r="AQ62">
        <v>5</v>
      </c>
      <c r="AS62" t="s">
        <v>95</v>
      </c>
      <c r="AW62" t="s">
        <v>204</v>
      </c>
      <c r="AX62">
        <v>5</v>
      </c>
      <c r="BA62" t="s">
        <v>205</v>
      </c>
      <c r="BB62">
        <v>5</v>
      </c>
      <c r="BE62" t="s">
        <v>225</v>
      </c>
      <c r="BG62" t="s">
        <v>232</v>
      </c>
      <c r="BH62" t="s">
        <v>236</v>
      </c>
      <c r="BI62" t="s">
        <v>241</v>
      </c>
      <c r="BJ62" t="s">
        <v>254</v>
      </c>
      <c r="BK62" t="s">
        <v>258</v>
      </c>
      <c r="BL62" t="s">
        <v>264</v>
      </c>
      <c r="BM62" t="s">
        <v>264</v>
      </c>
      <c r="BN62" t="s">
        <v>272</v>
      </c>
      <c r="BO62" t="s">
        <v>275</v>
      </c>
      <c r="BP62" t="s">
        <v>264</v>
      </c>
      <c r="BT62" t="s">
        <v>294</v>
      </c>
      <c r="BU62" t="s">
        <v>297</v>
      </c>
      <c r="BV62" t="s">
        <v>299</v>
      </c>
      <c r="BW62" t="s">
        <v>302</v>
      </c>
      <c r="BX62" t="s">
        <v>304</v>
      </c>
      <c r="BZ62">
        <v>0</v>
      </c>
      <c r="CA62">
        <v>0</v>
      </c>
      <c r="CE62" t="s">
        <v>326</v>
      </c>
      <c r="CF62" s="144">
        <v>43906.673449074071</v>
      </c>
      <c r="CG62" s="144">
        <v>43906.677928240744</v>
      </c>
      <c r="CH62" t="s">
        <v>8451</v>
      </c>
    </row>
    <row r="63" spans="1:86" x14ac:dyDescent="0.35">
      <c r="A63" t="s">
        <v>70</v>
      </c>
      <c r="B63">
        <v>1</v>
      </c>
      <c r="C63">
        <v>1</v>
      </c>
      <c r="D63" t="s">
        <v>84</v>
      </c>
      <c r="E63" t="s">
        <v>94</v>
      </c>
      <c r="F63">
        <v>7</v>
      </c>
      <c r="I63" t="s">
        <v>95</v>
      </c>
      <c r="M63" t="s">
        <v>95</v>
      </c>
      <c r="Q63" t="s">
        <v>95</v>
      </c>
      <c r="U63" t="s">
        <v>137</v>
      </c>
      <c r="V63">
        <v>6</v>
      </c>
      <c r="Y63" t="s">
        <v>95</v>
      </c>
      <c r="AC63" t="s">
        <v>156</v>
      </c>
      <c r="AD63">
        <v>7</v>
      </c>
      <c r="AF63" t="s">
        <v>167</v>
      </c>
      <c r="AG63" t="s">
        <v>156</v>
      </c>
      <c r="AH63">
        <v>7</v>
      </c>
      <c r="AJ63" t="s">
        <v>176</v>
      </c>
      <c r="AK63" t="s">
        <v>157</v>
      </c>
      <c r="AL63">
        <v>7</v>
      </c>
      <c r="AN63" t="s">
        <v>184</v>
      </c>
      <c r="AO63" t="s">
        <v>191</v>
      </c>
      <c r="AP63">
        <v>7</v>
      </c>
      <c r="BE63" t="s">
        <v>225</v>
      </c>
      <c r="BG63" t="s">
        <v>232</v>
      </c>
      <c r="BH63" t="s">
        <v>238</v>
      </c>
      <c r="BI63" t="s">
        <v>241</v>
      </c>
      <c r="BJ63" t="s">
        <v>252</v>
      </c>
      <c r="BK63" t="s">
        <v>260</v>
      </c>
      <c r="BL63" t="s">
        <v>264</v>
      </c>
      <c r="BM63" t="s">
        <v>264</v>
      </c>
      <c r="BN63" t="s">
        <v>272</v>
      </c>
      <c r="BO63" t="s">
        <v>275</v>
      </c>
      <c r="BP63" t="s">
        <v>264</v>
      </c>
      <c r="BT63" t="s">
        <v>294</v>
      </c>
      <c r="BU63" t="s">
        <v>297</v>
      </c>
      <c r="BV63" t="s">
        <v>299</v>
      </c>
      <c r="BW63" t="s">
        <v>302</v>
      </c>
      <c r="BX63" t="s">
        <v>304</v>
      </c>
      <c r="BZ63">
        <v>1</v>
      </c>
      <c r="CA63">
        <v>0</v>
      </c>
      <c r="CE63" t="s">
        <v>326</v>
      </c>
      <c r="CF63" s="144">
        <v>43906.332696759258</v>
      </c>
      <c r="CG63" s="144">
        <v>43906.338576388887</v>
      </c>
      <c r="CH63" t="s">
        <v>344</v>
      </c>
    </row>
    <row r="64" spans="1:86" x14ac:dyDescent="0.35">
      <c r="A64" t="s">
        <v>71</v>
      </c>
      <c r="B64">
        <v>1</v>
      </c>
      <c r="C64">
        <v>1</v>
      </c>
      <c r="D64" t="s">
        <v>86</v>
      </c>
      <c r="E64" t="s">
        <v>94</v>
      </c>
      <c r="F64">
        <v>4</v>
      </c>
      <c r="I64" t="s">
        <v>94</v>
      </c>
      <c r="J64">
        <v>6</v>
      </c>
      <c r="M64" t="s">
        <v>94</v>
      </c>
      <c r="N64">
        <v>6</v>
      </c>
      <c r="Q64" t="s">
        <v>95</v>
      </c>
      <c r="U64" t="s">
        <v>137</v>
      </c>
      <c r="V64">
        <v>4</v>
      </c>
      <c r="Y64" t="s">
        <v>110</v>
      </c>
      <c r="Z64">
        <v>2</v>
      </c>
      <c r="AC64" t="s">
        <v>95</v>
      </c>
      <c r="AG64" t="s">
        <v>156</v>
      </c>
      <c r="AH64">
        <v>3</v>
      </c>
      <c r="AK64" t="s">
        <v>170</v>
      </c>
      <c r="AM64">
        <v>1</v>
      </c>
      <c r="AO64" t="s">
        <v>95</v>
      </c>
      <c r="AS64" t="s">
        <v>204</v>
      </c>
      <c r="AT64">
        <v>3</v>
      </c>
      <c r="AW64" t="s">
        <v>204</v>
      </c>
      <c r="AX64">
        <v>3</v>
      </c>
      <c r="BA64" t="s">
        <v>95</v>
      </c>
      <c r="BE64" t="s">
        <v>225</v>
      </c>
      <c r="BG64" t="s">
        <v>232</v>
      </c>
      <c r="BH64" t="s">
        <v>236</v>
      </c>
      <c r="BI64" t="s">
        <v>241</v>
      </c>
      <c r="BJ64" t="s">
        <v>254</v>
      </c>
      <c r="BK64" t="s">
        <v>258</v>
      </c>
      <c r="BL64" t="s">
        <v>264</v>
      </c>
      <c r="BM64" t="s">
        <v>264</v>
      </c>
      <c r="BN64" t="s">
        <v>272</v>
      </c>
      <c r="BO64" t="s">
        <v>275</v>
      </c>
      <c r="BP64" t="s">
        <v>264</v>
      </c>
      <c r="BT64" t="s">
        <v>293</v>
      </c>
      <c r="BU64" t="s">
        <v>297</v>
      </c>
      <c r="BV64" t="s">
        <v>299</v>
      </c>
      <c r="BW64" t="s">
        <v>302</v>
      </c>
      <c r="BX64" t="s">
        <v>304</v>
      </c>
      <c r="BZ64">
        <v>1</v>
      </c>
      <c r="CA64">
        <v>0</v>
      </c>
      <c r="CE64" t="s">
        <v>326</v>
      </c>
      <c r="CF64" s="144">
        <v>43904.743368055555</v>
      </c>
      <c r="CG64" s="144">
        <v>43904.748981481483</v>
      </c>
      <c r="CH64" t="s">
        <v>345</v>
      </c>
    </row>
    <row r="65" spans="1:86" x14ac:dyDescent="0.35">
      <c r="A65" t="s">
        <v>872</v>
      </c>
      <c r="B65">
        <v>1</v>
      </c>
      <c r="C65">
        <v>1</v>
      </c>
      <c r="D65" t="s">
        <v>84</v>
      </c>
      <c r="E65" t="s">
        <v>94</v>
      </c>
      <c r="F65">
        <v>3</v>
      </c>
      <c r="I65" t="s">
        <v>94</v>
      </c>
      <c r="J65">
        <v>3</v>
      </c>
      <c r="M65" t="s">
        <v>94</v>
      </c>
      <c r="N65">
        <v>2</v>
      </c>
      <c r="Q65" t="s">
        <v>96</v>
      </c>
      <c r="R65">
        <v>5</v>
      </c>
      <c r="U65" t="s">
        <v>137</v>
      </c>
      <c r="V65">
        <v>5</v>
      </c>
      <c r="Y65" t="s">
        <v>118</v>
      </c>
      <c r="AA65">
        <v>3</v>
      </c>
      <c r="AC65" t="s">
        <v>95</v>
      </c>
      <c r="AG65" t="s">
        <v>95</v>
      </c>
      <c r="AK65" t="s">
        <v>95</v>
      </c>
      <c r="AO65" t="s">
        <v>190</v>
      </c>
      <c r="AQ65">
        <v>4</v>
      </c>
      <c r="AS65" t="s">
        <v>95</v>
      </c>
      <c r="AW65" t="s">
        <v>204</v>
      </c>
      <c r="AX65">
        <v>4</v>
      </c>
      <c r="BA65" t="s">
        <v>205</v>
      </c>
      <c r="BB65">
        <v>5</v>
      </c>
      <c r="BE65" t="s">
        <v>225</v>
      </c>
      <c r="BG65" t="s">
        <v>232</v>
      </c>
      <c r="BH65" t="s">
        <v>236</v>
      </c>
      <c r="BI65" t="s">
        <v>241</v>
      </c>
      <c r="BJ65" t="s">
        <v>250</v>
      </c>
      <c r="BK65" t="s">
        <v>258</v>
      </c>
      <c r="BL65" t="s">
        <v>264</v>
      </c>
      <c r="BM65" t="s">
        <v>264</v>
      </c>
      <c r="BN65" t="s">
        <v>272</v>
      </c>
      <c r="BO65" t="s">
        <v>275</v>
      </c>
      <c r="BP65" t="s">
        <v>264</v>
      </c>
      <c r="BT65" t="s">
        <v>294</v>
      </c>
      <c r="BU65" t="s">
        <v>297</v>
      </c>
      <c r="BV65" t="s">
        <v>299</v>
      </c>
      <c r="BW65" t="s">
        <v>302</v>
      </c>
      <c r="BX65" t="s">
        <v>304</v>
      </c>
      <c r="BZ65">
        <v>0</v>
      </c>
      <c r="CA65">
        <v>0</v>
      </c>
      <c r="CE65" t="s">
        <v>328</v>
      </c>
      <c r="CF65" s="144">
        <v>43903.449918981481</v>
      </c>
      <c r="CG65" s="144">
        <v>43903.49628472222</v>
      </c>
      <c r="CH65" t="s">
        <v>8456</v>
      </c>
    </row>
    <row r="66" spans="1:86" x14ac:dyDescent="0.35">
      <c r="A66" t="s">
        <v>873</v>
      </c>
      <c r="B66">
        <v>1</v>
      </c>
      <c r="C66">
        <v>1</v>
      </c>
      <c r="D66" t="s">
        <v>84</v>
      </c>
      <c r="E66" t="s">
        <v>95</v>
      </c>
      <c r="I66" t="s">
        <v>94</v>
      </c>
      <c r="J66">
        <v>7</v>
      </c>
      <c r="M66" t="s">
        <v>95</v>
      </c>
      <c r="Q66" t="s">
        <v>95</v>
      </c>
      <c r="U66" t="s">
        <v>95</v>
      </c>
      <c r="Y66" t="s">
        <v>95</v>
      </c>
      <c r="AC66" t="s">
        <v>95</v>
      </c>
      <c r="AG66" t="s">
        <v>95</v>
      </c>
      <c r="AK66" t="s">
        <v>95</v>
      </c>
      <c r="AO66" t="s">
        <v>95</v>
      </c>
      <c r="AS66" t="s">
        <v>95</v>
      </c>
      <c r="AW66" t="s">
        <v>95</v>
      </c>
      <c r="BA66" t="s">
        <v>95</v>
      </c>
      <c r="BE66" t="s">
        <v>225</v>
      </c>
      <c r="BG66" t="s">
        <v>232</v>
      </c>
      <c r="BH66" t="s">
        <v>235</v>
      </c>
      <c r="BI66" t="s">
        <v>241</v>
      </c>
      <c r="BJ66" t="s">
        <v>253</v>
      </c>
      <c r="BK66" t="s">
        <v>258</v>
      </c>
      <c r="BL66" t="s">
        <v>266</v>
      </c>
      <c r="BM66" t="s">
        <v>269</v>
      </c>
      <c r="BN66" t="s">
        <v>272</v>
      </c>
      <c r="BO66" t="s">
        <v>275</v>
      </c>
      <c r="BP66" t="s">
        <v>264</v>
      </c>
      <c r="BT66" t="s">
        <v>294</v>
      </c>
      <c r="BU66" t="s">
        <v>297</v>
      </c>
      <c r="BV66" t="s">
        <v>299</v>
      </c>
      <c r="BW66" t="s">
        <v>302</v>
      </c>
      <c r="BX66" t="s">
        <v>304</v>
      </c>
      <c r="BZ66">
        <v>0</v>
      </c>
      <c r="CA66">
        <v>0</v>
      </c>
      <c r="CE66" t="s">
        <v>329</v>
      </c>
      <c r="CF66" s="144">
        <v>43903.455891203703</v>
      </c>
      <c r="CG66" s="144">
        <v>43903.463368055556</v>
      </c>
      <c r="CH66" t="s">
        <v>8457</v>
      </c>
    </row>
    <row r="67" spans="1:86" x14ac:dyDescent="0.35">
      <c r="A67" t="s">
        <v>875</v>
      </c>
      <c r="B67">
        <v>1</v>
      </c>
      <c r="C67">
        <v>1</v>
      </c>
      <c r="D67" t="s">
        <v>84</v>
      </c>
      <c r="E67" t="s">
        <v>95</v>
      </c>
      <c r="I67" t="s">
        <v>94</v>
      </c>
      <c r="J67">
        <v>7</v>
      </c>
      <c r="L67" t="s">
        <v>1799</v>
      </c>
      <c r="M67" t="s">
        <v>95</v>
      </c>
      <c r="Q67" t="s">
        <v>110</v>
      </c>
      <c r="S67">
        <v>7</v>
      </c>
      <c r="T67" t="s">
        <v>2465</v>
      </c>
      <c r="U67" t="s">
        <v>118</v>
      </c>
      <c r="W67">
        <v>7</v>
      </c>
      <c r="X67" t="s">
        <v>2783</v>
      </c>
      <c r="Y67" t="s">
        <v>110</v>
      </c>
      <c r="Z67">
        <v>7</v>
      </c>
      <c r="AB67" t="s">
        <v>3086</v>
      </c>
      <c r="AC67" t="s">
        <v>95</v>
      </c>
      <c r="AG67" t="s">
        <v>95</v>
      </c>
      <c r="AK67" t="s">
        <v>95</v>
      </c>
      <c r="AO67" t="s">
        <v>95</v>
      </c>
      <c r="AS67" t="s">
        <v>95</v>
      </c>
      <c r="AW67" t="s">
        <v>95</v>
      </c>
      <c r="BA67" t="s">
        <v>95</v>
      </c>
      <c r="BE67" t="s">
        <v>225</v>
      </c>
      <c r="BG67" t="s">
        <v>232</v>
      </c>
      <c r="BH67" t="s">
        <v>236</v>
      </c>
      <c r="BI67" t="s">
        <v>241</v>
      </c>
      <c r="BJ67" t="s">
        <v>246</v>
      </c>
      <c r="BK67" t="s">
        <v>258</v>
      </c>
      <c r="BL67" t="s">
        <v>266</v>
      </c>
      <c r="BM67" t="s">
        <v>269</v>
      </c>
      <c r="BN67" t="s">
        <v>272</v>
      </c>
      <c r="BO67" t="s">
        <v>275</v>
      </c>
      <c r="BP67" t="s">
        <v>264</v>
      </c>
      <c r="BT67" t="s">
        <v>294</v>
      </c>
      <c r="BU67" t="s">
        <v>297</v>
      </c>
      <c r="BV67" t="s">
        <v>300</v>
      </c>
      <c r="BW67" t="s">
        <v>302</v>
      </c>
      <c r="BX67" t="s">
        <v>304</v>
      </c>
      <c r="BZ67">
        <v>0</v>
      </c>
      <c r="CA67">
        <v>0</v>
      </c>
      <c r="CE67" t="s">
        <v>328</v>
      </c>
      <c r="CF67" s="144">
        <v>43903.38653935185</v>
      </c>
      <c r="CG67" s="144">
        <v>43903.404444444444</v>
      </c>
      <c r="CH67" t="s">
        <v>8459</v>
      </c>
    </row>
    <row r="68" spans="1:86" ht="15" customHeight="1" x14ac:dyDescent="0.35">
      <c r="A68" t="s">
        <v>876</v>
      </c>
      <c r="B68">
        <v>1</v>
      </c>
      <c r="C68">
        <v>1</v>
      </c>
      <c r="D68" t="s">
        <v>84</v>
      </c>
      <c r="E68" t="s">
        <v>95</v>
      </c>
      <c r="I68" t="s">
        <v>95</v>
      </c>
      <c r="M68" t="s">
        <v>94</v>
      </c>
      <c r="N68">
        <v>7</v>
      </c>
      <c r="Q68" t="s">
        <v>95</v>
      </c>
      <c r="U68" t="s">
        <v>137</v>
      </c>
      <c r="V68">
        <v>7</v>
      </c>
      <c r="Y68" t="s">
        <v>110</v>
      </c>
      <c r="Z68">
        <v>7</v>
      </c>
      <c r="AB68" s="22"/>
      <c r="AC68" t="s">
        <v>95</v>
      </c>
      <c r="AG68" t="s">
        <v>95</v>
      </c>
      <c r="AK68" t="s">
        <v>95</v>
      </c>
      <c r="AO68" t="s">
        <v>95</v>
      </c>
      <c r="BE68" t="s">
        <v>225</v>
      </c>
      <c r="BG68" t="s">
        <v>4968</v>
      </c>
      <c r="BH68" t="s">
        <v>239</v>
      </c>
      <c r="BI68" t="s">
        <v>243</v>
      </c>
      <c r="BJ68" t="s">
        <v>439</v>
      </c>
      <c r="BK68" t="s">
        <v>259</v>
      </c>
      <c r="BL68" t="s">
        <v>6214</v>
      </c>
      <c r="BM68" t="s">
        <v>264</v>
      </c>
      <c r="BN68" t="s">
        <v>271</v>
      </c>
      <c r="BO68" t="s">
        <v>76</v>
      </c>
      <c r="BP68" t="s">
        <v>264</v>
      </c>
      <c r="BT68" t="s">
        <v>441</v>
      </c>
      <c r="BU68" t="s">
        <v>297</v>
      </c>
      <c r="BV68" t="s">
        <v>300</v>
      </c>
      <c r="BW68" t="s">
        <v>302</v>
      </c>
      <c r="BX68" t="s">
        <v>304</v>
      </c>
      <c r="BZ68">
        <v>0</v>
      </c>
      <c r="CA68">
        <v>0</v>
      </c>
      <c r="CE68" t="s">
        <v>325</v>
      </c>
      <c r="CF68" s="144">
        <v>43903.388032407405</v>
      </c>
      <c r="CG68" s="144">
        <v>43903.395810185182</v>
      </c>
      <c r="CH68" t="s">
        <v>8460</v>
      </c>
    </row>
    <row r="69" spans="1:86" x14ac:dyDescent="0.35">
      <c r="A69" t="s">
        <v>877</v>
      </c>
      <c r="B69">
        <v>1</v>
      </c>
      <c r="C69">
        <v>1</v>
      </c>
      <c r="D69" t="s">
        <v>83</v>
      </c>
      <c r="E69" t="s">
        <v>95</v>
      </c>
      <c r="I69" t="s">
        <v>95</v>
      </c>
      <c r="M69" t="s">
        <v>95</v>
      </c>
      <c r="Q69" t="s">
        <v>95</v>
      </c>
      <c r="U69" t="s">
        <v>95</v>
      </c>
      <c r="Y69" t="s">
        <v>95</v>
      </c>
      <c r="AC69" t="s">
        <v>95</v>
      </c>
      <c r="AG69" t="s">
        <v>95</v>
      </c>
      <c r="AK69" t="s">
        <v>95</v>
      </c>
      <c r="AO69" t="s">
        <v>190</v>
      </c>
      <c r="AQ69">
        <v>6</v>
      </c>
      <c r="AR69" t="s">
        <v>4154</v>
      </c>
      <c r="AS69" t="s">
        <v>95</v>
      </c>
      <c r="AW69" t="s">
        <v>95</v>
      </c>
      <c r="BA69" t="s">
        <v>95</v>
      </c>
      <c r="BE69" t="s">
        <v>225</v>
      </c>
      <c r="BG69" t="s">
        <v>232</v>
      </c>
      <c r="BH69" t="s">
        <v>236</v>
      </c>
      <c r="BI69" t="s">
        <v>241</v>
      </c>
      <c r="BJ69" t="s">
        <v>252</v>
      </c>
      <c r="BK69" t="s">
        <v>258</v>
      </c>
      <c r="BL69" t="s">
        <v>264</v>
      </c>
      <c r="BM69" t="s">
        <v>264</v>
      </c>
      <c r="BN69" t="s">
        <v>272</v>
      </c>
      <c r="BO69" t="s">
        <v>275</v>
      </c>
      <c r="BP69" t="s">
        <v>264</v>
      </c>
      <c r="BT69" t="s">
        <v>295</v>
      </c>
      <c r="BU69" t="s">
        <v>297</v>
      </c>
      <c r="BV69" t="s">
        <v>300</v>
      </c>
      <c r="BW69" t="s">
        <v>302</v>
      </c>
      <c r="BX69" t="s">
        <v>304</v>
      </c>
      <c r="BZ69">
        <v>0</v>
      </c>
      <c r="CA69">
        <v>0</v>
      </c>
      <c r="CE69" t="s">
        <v>327</v>
      </c>
      <c r="CF69" s="144">
        <v>43903.385914351849</v>
      </c>
      <c r="CG69" s="144">
        <v>43903.3903125</v>
      </c>
      <c r="CH69" s="24" t="s">
        <v>8461</v>
      </c>
    </row>
    <row r="70" spans="1:86" x14ac:dyDescent="0.35">
      <c r="A70" t="s">
        <v>878</v>
      </c>
      <c r="B70">
        <v>1</v>
      </c>
      <c r="C70">
        <v>1</v>
      </c>
      <c r="D70" t="s">
        <v>84</v>
      </c>
      <c r="E70" t="s">
        <v>96</v>
      </c>
      <c r="G70">
        <v>2</v>
      </c>
      <c r="H70" t="s">
        <v>1458</v>
      </c>
      <c r="I70" t="s">
        <v>94</v>
      </c>
      <c r="J70">
        <v>3</v>
      </c>
      <c r="M70" t="s">
        <v>94</v>
      </c>
      <c r="N70">
        <v>7</v>
      </c>
      <c r="Q70" t="s">
        <v>96</v>
      </c>
      <c r="R70">
        <v>2</v>
      </c>
      <c r="U70" t="s">
        <v>137</v>
      </c>
      <c r="V70">
        <v>3</v>
      </c>
      <c r="Y70" t="s">
        <v>110</v>
      </c>
      <c r="Z70">
        <v>6</v>
      </c>
      <c r="AC70" t="s">
        <v>95</v>
      </c>
      <c r="AG70" t="s">
        <v>95</v>
      </c>
      <c r="AK70" t="s">
        <v>95</v>
      </c>
      <c r="AO70" t="s">
        <v>190</v>
      </c>
      <c r="AQ70">
        <v>3</v>
      </c>
      <c r="AS70" t="s">
        <v>204</v>
      </c>
      <c r="AT70">
        <v>4</v>
      </c>
      <c r="AW70" t="s">
        <v>4574</v>
      </c>
      <c r="AY70">
        <v>8</v>
      </c>
      <c r="BA70" t="s">
        <v>4574</v>
      </c>
      <c r="BC70">
        <v>7</v>
      </c>
      <c r="BE70" t="s">
        <v>225</v>
      </c>
      <c r="BG70" t="s">
        <v>232</v>
      </c>
      <c r="BH70" t="s">
        <v>239</v>
      </c>
      <c r="BI70" t="s">
        <v>241</v>
      </c>
      <c r="BJ70" t="s">
        <v>252</v>
      </c>
      <c r="BK70" t="s">
        <v>259</v>
      </c>
      <c r="BL70" t="s">
        <v>264</v>
      </c>
      <c r="BM70" t="s">
        <v>264</v>
      </c>
      <c r="BN70" t="s">
        <v>272</v>
      </c>
      <c r="BO70" t="s">
        <v>275</v>
      </c>
      <c r="BP70" t="s">
        <v>264</v>
      </c>
      <c r="BT70" t="s">
        <v>7128</v>
      </c>
      <c r="BU70" t="s">
        <v>297</v>
      </c>
      <c r="BV70" t="s">
        <v>300</v>
      </c>
      <c r="BW70" t="s">
        <v>302</v>
      </c>
      <c r="BX70" t="s">
        <v>305</v>
      </c>
      <c r="BZ70">
        <v>0</v>
      </c>
      <c r="CA70">
        <v>0</v>
      </c>
      <c r="CE70" t="s">
        <v>328</v>
      </c>
      <c r="CF70" s="144">
        <v>43903.343877314815</v>
      </c>
      <c r="CG70" s="144">
        <v>43903.386701388888</v>
      </c>
      <c r="CH70" t="s">
        <v>8462</v>
      </c>
    </row>
    <row r="71" spans="1:86" x14ac:dyDescent="0.35">
      <c r="A71" t="s">
        <v>879</v>
      </c>
      <c r="B71">
        <v>1</v>
      </c>
      <c r="C71">
        <v>1</v>
      </c>
      <c r="D71" t="s">
        <v>84</v>
      </c>
      <c r="E71" t="s">
        <v>95</v>
      </c>
      <c r="I71" t="s">
        <v>110</v>
      </c>
      <c r="K71">
        <v>6</v>
      </c>
      <c r="M71" t="s">
        <v>94</v>
      </c>
      <c r="N71">
        <v>6</v>
      </c>
      <c r="Q71" t="s">
        <v>95</v>
      </c>
      <c r="U71" t="s">
        <v>137</v>
      </c>
      <c r="V71">
        <v>6</v>
      </c>
      <c r="Y71" t="s">
        <v>110</v>
      </c>
      <c r="Z71">
        <v>7</v>
      </c>
      <c r="AC71" t="s">
        <v>95</v>
      </c>
      <c r="AG71" t="s">
        <v>95</v>
      </c>
      <c r="AK71" t="s">
        <v>95</v>
      </c>
      <c r="AO71" t="s">
        <v>191</v>
      </c>
      <c r="AP71">
        <v>6</v>
      </c>
      <c r="AS71" t="s">
        <v>95</v>
      </c>
      <c r="AW71" t="s">
        <v>95</v>
      </c>
      <c r="BA71" t="s">
        <v>4574</v>
      </c>
      <c r="BC71">
        <v>6</v>
      </c>
      <c r="BE71" t="s">
        <v>225</v>
      </c>
      <c r="BG71" t="s">
        <v>4968</v>
      </c>
      <c r="BH71" t="s">
        <v>239</v>
      </c>
      <c r="BI71" t="s">
        <v>241</v>
      </c>
      <c r="BJ71" t="s">
        <v>252</v>
      </c>
      <c r="BK71" t="s">
        <v>259</v>
      </c>
      <c r="BL71" t="s">
        <v>264</v>
      </c>
      <c r="BM71" t="s">
        <v>264</v>
      </c>
      <c r="BN71" t="s">
        <v>272</v>
      </c>
      <c r="BO71" t="s">
        <v>275</v>
      </c>
      <c r="BP71" t="s">
        <v>264</v>
      </c>
      <c r="BT71" t="s">
        <v>293</v>
      </c>
      <c r="BU71" t="s">
        <v>297</v>
      </c>
      <c r="BV71" t="s">
        <v>299</v>
      </c>
      <c r="BW71" t="s">
        <v>302</v>
      </c>
      <c r="BX71" t="s">
        <v>304</v>
      </c>
      <c r="BZ71">
        <v>0</v>
      </c>
      <c r="CA71">
        <v>0</v>
      </c>
      <c r="CE71" t="s">
        <v>325</v>
      </c>
      <c r="CF71" s="144">
        <v>43903.335729166669</v>
      </c>
      <c r="CG71" s="144">
        <v>43903.341574074075</v>
      </c>
      <c r="CH71" t="s">
        <v>8463</v>
      </c>
    </row>
    <row r="72" spans="1:86" x14ac:dyDescent="0.35">
      <c r="A72" t="s">
        <v>880</v>
      </c>
      <c r="B72">
        <v>1</v>
      </c>
      <c r="C72">
        <v>1</v>
      </c>
      <c r="D72" t="s">
        <v>84</v>
      </c>
      <c r="E72" t="s">
        <v>95</v>
      </c>
      <c r="I72" t="s">
        <v>95</v>
      </c>
      <c r="M72" t="s">
        <v>94</v>
      </c>
      <c r="N72">
        <v>7</v>
      </c>
      <c r="P72" t="s">
        <v>2103</v>
      </c>
      <c r="Q72" t="s">
        <v>95</v>
      </c>
      <c r="U72" t="s">
        <v>95</v>
      </c>
      <c r="Y72" t="s">
        <v>95</v>
      </c>
      <c r="AC72" t="s">
        <v>95</v>
      </c>
      <c r="AG72" t="s">
        <v>95</v>
      </c>
      <c r="AK72" t="s">
        <v>95</v>
      </c>
      <c r="AO72" t="s">
        <v>95</v>
      </c>
      <c r="AS72" t="s">
        <v>95</v>
      </c>
      <c r="AW72" t="s">
        <v>95</v>
      </c>
      <c r="BA72" t="s">
        <v>95</v>
      </c>
      <c r="BE72" t="s">
        <v>225</v>
      </c>
      <c r="BG72" t="s">
        <v>232</v>
      </c>
      <c r="BH72" t="s">
        <v>239</v>
      </c>
      <c r="BI72" t="s">
        <v>241</v>
      </c>
      <c r="BJ72" t="s">
        <v>252</v>
      </c>
      <c r="BK72" t="s">
        <v>262</v>
      </c>
      <c r="BL72" t="s">
        <v>264</v>
      </c>
      <c r="BM72" t="s">
        <v>264</v>
      </c>
      <c r="BN72" t="s">
        <v>272</v>
      </c>
      <c r="BO72" t="s">
        <v>76</v>
      </c>
      <c r="BP72" t="s">
        <v>264</v>
      </c>
      <c r="BT72" t="s">
        <v>293</v>
      </c>
      <c r="BU72" t="s">
        <v>297</v>
      </c>
      <c r="BV72" t="s">
        <v>300</v>
      </c>
      <c r="BW72" t="s">
        <v>302</v>
      </c>
      <c r="BX72" t="s">
        <v>7539</v>
      </c>
      <c r="BZ72">
        <v>0</v>
      </c>
      <c r="CA72">
        <v>0</v>
      </c>
      <c r="CE72" t="s">
        <v>326</v>
      </c>
      <c r="CF72" s="144">
        <v>43903.334085648145</v>
      </c>
      <c r="CG72" s="144">
        <v>43903.338807870372</v>
      </c>
      <c r="CH72" t="s">
        <v>8464</v>
      </c>
    </row>
    <row r="73" spans="1:86" x14ac:dyDescent="0.35">
      <c r="A73" t="s">
        <v>881</v>
      </c>
      <c r="B73">
        <v>1</v>
      </c>
      <c r="C73">
        <v>1</v>
      </c>
      <c r="D73" t="s">
        <v>84</v>
      </c>
      <c r="E73" t="s">
        <v>95</v>
      </c>
      <c r="I73" t="s">
        <v>95</v>
      </c>
      <c r="M73" t="s">
        <v>94</v>
      </c>
      <c r="N73">
        <v>6</v>
      </c>
      <c r="P73" t="s">
        <v>2104</v>
      </c>
      <c r="Q73" t="s">
        <v>95</v>
      </c>
      <c r="U73" t="s">
        <v>137</v>
      </c>
      <c r="V73">
        <v>6</v>
      </c>
      <c r="X73" t="s">
        <v>2784</v>
      </c>
      <c r="Y73" t="s">
        <v>110</v>
      </c>
      <c r="Z73">
        <v>6</v>
      </c>
      <c r="AB73" t="s">
        <v>3087</v>
      </c>
      <c r="AC73" t="s">
        <v>95</v>
      </c>
      <c r="AG73" t="s">
        <v>95</v>
      </c>
      <c r="AK73" t="s">
        <v>95</v>
      </c>
      <c r="AO73" t="s">
        <v>95</v>
      </c>
      <c r="AS73" t="s">
        <v>95</v>
      </c>
      <c r="AW73" t="s">
        <v>95</v>
      </c>
      <c r="BA73" t="s">
        <v>95</v>
      </c>
      <c r="BE73" t="s">
        <v>225</v>
      </c>
      <c r="BG73" t="s">
        <v>232</v>
      </c>
      <c r="BH73" t="s">
        <v>239</v>
      </c>
      <c r="BI73" t="s">
        <v>241</v>
      </c>
      <c r="BJ73" t="s">
        <v>252</v>
      </c>
      <c r="BK73" t="s">
        <v>262</v>
      </c>
      <c r="BL73" t="s">
        <v>264</v>
      </c>
      <c r="BM73" t="s">
        <v>264</v>
      </c>
      <c r="BN73" t="s">
        <v>272</v>
      </c>
      <c r="BO73" t="s">
        <v>275</v>
      </c>
      <c r="BP73" t="s">
        <v>264</v>
      </c>
      <c r="BT73" t="s">
        <v>294</v>
      </c>
      <c r="BU73" t="s">
        <v>297</v>
      </c>
      <c r="BV73" t="s">
        <v>300</v>
      </c>
      <c r="BW73" t="s">
        <v>302</v>
      </c>
      <c r="BX73" t="s">
        <v>7539</v>
      </c>
      <c r="BZ73">
        <v>0</v>
      </c>
      <c r="CA73">
        <v>0</v>
      </c>
      <c r="CE73" t="s">
        <v>326</v>
      </c>
      <c r="CF73" s="144">
        <v>43903.30846064815</v>
      </c>
      <c r="CG73" s="144">
        <v>43903.322372685187</v>
      </c>
      <c r="CH73" t="s">
        <v>8465</v>
      </c>
    </row>
    <row r="74" spans="1:86" x14ac:dyDescent="0.35">
      <c r="A74" t="s">
        <v>882</v>
      </c>
      <c r="B74">
        <v>1</v>
      </c>
      <c r="C74">
        <v>1</v>
      </c>
      <c r="D74" t="s">
        <v>84</v>
      </c>
      <c r="E74" t="s">
        <v>94</v>
      </c>
      <c r="F74">
        <v>6</v>
      </c>
      <c r="I74" t="s">
        <v>94</v>
      </c>
      <c r="J74">
        <v>5</v>
      </c>
      <c r="M74" t="s">
        <v>94</v>
      </c>
      <c r="N74">
        <v>6</v>
      </c>
      <c r="Q74" t="s">
        <v>110</v>
      </c>
      <c r="S74">
        <v>6</v>
      </c>
      <c r="U74" t="s">
        <v>137</v>
      </c>
      <c r="V74">
        <v>6</v>
      </c>
      <c r="Y74" t="s">
        <v>110</v>
      </c>
      <c r="Z74">
        <v>7</v>
      </c>
      <c r="AC74" t="s">
        <v>156</v>
      </c>
      <c r="AD74">
        <v>5</v>
      </c>
      <c r="AG74" t="s">
        <v>156</v>
      </c>
      <c r="AH74">
        <v>5</v>
      </c>
      <c r="AK74" t="s">
        <v>157</v>
      </c>
      <c r="AL74">
        <v>5</v>
      </c>
      <c r="AO74" t="s">
        <v>191</v>
      </c>
      <c r="AP74">
        <v>6</v>
      </c>
      <c r="AS74" t="s">
        <v>204</v>
      </c>
      <c r="AT74">
        <v>5</v>
      </c>
      <c r="AW74" t="s">
        <v>4574</v>
      </c>
      <c r="AY74">
        <v>5</v>
      </c>
      <c r="BA74" t="s">
        <v>4574</v>
      </c>
      <c r="BC74">
        <v>5</v>
      </c>
      <c r="BE74" t="s">
        <v>225</v>
      </c>
      <c r="BG74" t="s">
        <v>232</v>
      </c>
      <c r="BH74" t="s">
        <v>239</v>
      </c>
      <c r="BI74" t="s">
        <v>243</v>
      </c>
      <c r="BJ74" t="s">
        <v>252</v>
      </c>
      <c r="BK74" t="s">
        <v>259</v>
      </c>
      <c r="BL74" t="s">
        <v>264</v>
      </c>
      <c r="BM74" t="s">
        <v>264</v>
      </c>
      <c r="BN74" t="s">
        <v>272</v>
      </c>
      <c r="BO74" t="s">
        <v>275</v>
      </c>
      <c r="BP74" t="s">
        <v>264</v>
      </c>
      <c r="BT74" t="s">
        <v>293</v>
      </c>
      <c r="BU74" t="s">
        <v>297</v>
      </c>
      <c r="BV74" t="s">
        <v>300</v>
      </c>
      <c r="BW74" t="s">
        <v>302</v>
      </c>
      <c r="BX74" t="s">
        <v>304</v>
      </c>
      <c r="BZ74">
        <v>0</v>
      </c>
      <c r="CA74">
        <v>0</v>
      </c>
      <c r="CE74" t="s">
        <v>327</v>
      </c>
      <c r="CF74" s="144">
        <v>43902.738506944443</v>
      </c>
      <c r="CG74" s="144">
        <v>43902.744398148148</v>
      </c>
      <c r="CH74" t="s">
        <v>8466</v>
      </c>
    </row>
    <row r="75" spans="1:86" x14ac:dyDescent="0.35">
      <c r="A75" t="s">
        <v>883</v>
      </c>
      <c r="B75">
        <v>1</v>
      </c>
      <c r="C75">
        <v>1</v>
      </c>
      <c r="D75" t="s">
        <v>86</v>
      </c>
      <c r="E75" t="s">
        <v>95</v>
      </c>
      <c r="I75" t="s">
        <v>94</v>
      </c>
      <c r="J75">
        <v>4</v>
      </c>
      <c r="M75" t="s">
        <v>94</v>
      </c>
      <c r="N75">
        <v>7</v>
      </c>
      <c r="Q75" t="s">
        <v>96</v>
      </c>
      <c r="R75">
        <v>5</v>
      </c>
      <c r="U75" t="s">
        <v>137</v>
      </c>
      <c r="V75">
        <v>5</v>
      </c>
      <c r="Y75" t="s">
        <v>110</v>
      </c>
      <c r="Z75">
        <v>7</v>
      </c>
      <c r="AC75" t="s">
        <v>95</v>
      </c>
      <c r="AG75" t="s">
        <v>95</v>
      </c>
      <c r="AK75" t="s">
        <v>95</v>
      </c>
      <c r="AO75" t="s">
        <v>95</v>
      </c>
      <c r="AS75" t="s">
        <v>95</v>
      </c>
      <c r="AW75" t="s">
        <v>4574</v>
      </c>
      <c r="AY75">
        <v>5</v>
      </c>
      <c r="BA75" t="s">
        <v>4574</v>
      </c>
      <c r="BC75">
        <v>4</v>
      </c>
      <c r="BE75" t="s">
        <v>225</v>
      </c>
      <c r="BG75" t="s">
        <v>232</v>
      </c>
      <c r="BH75" t="s">
        <v>239</v>
      </c>
      <c r="BI75" t="s">
        <v>241</v>
      </c>
      <c r="BJ75" t="s">
        <v>246</v>
      </c>
      <c r="BK75" t="s">
        <v>258</v>
      </c>
      <c r="BL75" t="s">
        <v>264</v>
      </c>
      <c r="BM75" t="s">
        <v>264</v>
      </c>
      <c r="BN75" t="s">
        <v>272</v>
      </c>
      <c r="BO75" t="s">
        <v>275</v>
      </c>
      <c r="BP75" t="s">
        <v>264</v>
      </c>
      <c r="BT75" t="s">
        <v>293</v>
      </c>
      <c r="BU75" t="s">
        <v>297</v>
      </c>
      <c r="BV75" t="s">
        <v>300</v>
      </c>
      <c r="BW75" t="s">
        <v>302</v>
      </c>
      <c r="BX75" t="s">
        <v>304</v>
      </c>
      <c r="BZ75">
        <v>0</v>
      </c>
      <c r="CA75">
        <v>0</v>
      </c>
      <c r="CE75" t="s">
        <v>329</v>
      </c>
      <c r="CF75" s="144">
        <v>43901.504108796296</v>
      </c>
      <c r="CG75" s="144">
        <v>43901.509606481479</v>
      </c>
      <c r="CH75" t="s">
        <v>8467</v>
      </c>
    </row>
    <row r="76" spans="1:86" x14ac:dyDescent="0.35">
      <c r="A76" t="s">
        <v>884</v>
      </c>
      <c r="B76">
        <v>1</v>
      </c>
      <c r="C76">
        <v>1</v>
      </c>
      <c r="D76" t="s">
        <v>84</v>
      </c>
      <c r="E76" t="s">
        <v>94</v>
      </c>
      <c r="F76">
        <v>5</v>
      </c>
      <c r="I76" t="s">
        <v>95</v>
      </c>
      <c r="M76" t="s">
        <v>94</v>
      </c>
      <c r="N76">
        <v>6</v>
      </c>
      <c r="Q76" t="s">
        <v>110</v>
      </c>
      <c r="S76">
        <v>5</v>
      </c>
      <c r="U76" t="s">
        <v>95</v>
      </c>
      <c r="Y76" t="s">
        <v>110</v>
      </c>
      <c r="Z76">
        <v>4</v>
      </c>
      <c r="AC76" t="s">
        <v>95</v>
      </c>
      <c r="AG76" t="s">
        <v>95</v>
      </c>
      <c r="AK76" t="s">
        <v>95</v>
      </c>
      <c r="AO76" t="s">
        <v>95</v>
      </c>
      <c r="AS76" t="s">
        <v>204</v>
      </c>
      <c r="AT76">
        <v>2</v>
      </c>
      <c r="AW76" t="s">
        <v>4574</v>
      </c>
      <c r="AY76">
        <v>4</v>
      </c>
      <c r="BA76" t="s">
        <v>4574</v>
      </c>
      <c r="BC76">
        <v>4</v>
      </c>
      <c r="BE76" t="s">
        <v>225</v>
      </c>
      <c r="BG76" t="s">
        <v>232</v>
      </c>
      <c r="BH76" t="s">
        <v>239</v>
      </c>
      <c r="BI76" t="s">
        <v>243</v>
      </c>
      <c r="BJ76" t="s">
        <v>249</v>
      </c>
      <c r="BK76" t="s">
        <v>259</v>
      </c>
      <c r="BL76" t="s">
        <v>264</v>
      </c>
      <c r="BM76" t="s">
        <v>264</v>
      </c>
      <c r="BN76" t="s">
        <v>272</v>
      </c>
      <c r="BO76" t="s">
        <v>275</v>
      </c>
      <c r="BP76" t="s">
        <v>264</v>
      </c>
      <c r="BT76" t="s">
        <v>293</v>
      </c>
      <c r="BU76" t="s">
        <v>297</v>
      </c>
      <c r="BV76" t="s">
        <v>300</v>
      </c>
      <c r="BW76" t="s">
        <v>302</v>
      </c>
      <c r="BX76" t="s">
        <v>304</v>
      </c>
      <c r="BZ76">
        <v>0</v>
      </c>
      <c r="CA76">
        <v>0</v>
      </c>
      <c r="CE76" t="s">
        <v>325</v>
      </c>
      <c r="CF76" s="144">
        <v>43900.522777777776</v>
      </c>
      <c r="CG76" s="144">
        <v>43900.526180555556</v>
      </c>
      <c r="CH76" t="s">
        <v>8455</v>
      </c>
    </row>
    <row r="77" spans="1:86" x14ac:dyDescent="0.35">
      <c r="A77" t="s">
        <v>885</v>
      </c>
      <c r="B77">
        <v>1</v>
      </c>
      <c r="C77">
        <v>1</v>
      </c>
      <c r="D77" t="s">
        <v>83</v>
      </c>
      <c r="E77" t="s">
        <v>95</v>
      </c>
      <c r="I77" t="s">
        <v>95</v>
      </c>
      <c r="M77" t="s">
        <v>94</v>
      </c>
      <c r="N77">
        <v>5</v>
      </c>
      <c r="Q77" t="s">
        <v>95</v>
      </c>
      <c r="U77" t="s">
        <v>95</v>
      </c>
      <c r="Y77" t="s">
        <v>110</v>
      </c>
      <c r="Z77">
        <v>6</v>
      </c>
      <c r="AC77" t="s">
        <v>95</v>
      </c>
      <c r="AG77" t="s">
        <v>95</v>
      </c>
      <c r="AK77" t="s">
        <v>95</v>
      </c>
      <c r="AO77" t="s">
        <v>95</v>
      </c>
      <c r="AS77" t="s">
        <v>95</v>
      </c>
      <c r="AW77" t="s">
        <v>95</v>
      </c>
      <c r="BA77" t="s">
        <v>95</v>
      </c>
      <c r="BE77" t="s">
        <v>225</v>
      </c>
      <c r="BG77" t="s">
        <v>232</v>
      </c>
      <c r="BH77" t="s">
        <v>238</v>
      </c>
      <c r="BI77" t="s">
        <v>243</v>
      </c>
      <c r="BJ77" t="s">
        <v>251</v>
      </c>
      <c r="BK77" t="s">
        <v>257</v>
      </c>
      <c r="BL77" t="s">
        <v>264</v>
      </c>
      <c r="BM77" t="s">
        <v>264</v>
      </c>
      <c r="BN77" t="s">
        <v>271</v>
      </c>
      <c r="BO77" t="s">
        <v>276</v>
      </c>
      <c r="BP77" t="s">
        <v>264</v>
      </c>
      <c r="BT77" t="s">
        <v>293</v>
      </c>
      <c r="BU77" t="s">
        <v>297</v>
      </c>
      <c r="BV77" t="s">
        <v>299</v>
      </c>
      <c r="BW77" t="s">
        <v>302</v>
      </c>
      <c r="BX77" t="s">
        <v>304</v>
      </c>
      <c r="BZ77">
        <v>0</v>
      </c>
      <c r="CA77">
        <v>0</v>
      </c>
      <c r="CE77" t="s">
        <v>330</v>
      </c>
      <c r="CF77" s="144">
        <v>43899.831967592596</v>
      </c>
      <c r="CG77" s="144">
        <v>43899.835798611108</v>
      </c>
      <c r="CH77" t="s">
        <v>8469</v>
      </c>
    </row>
    <row r="78" spans="1:86" x14ac:dyDescent="0.35">
      <c r="A78" t="s">
        <v>887</v>
      </c>
      <c r="B78">
        <v>1</v>
      </c>
      <c r="C78">
        <v>1</v>
      </c>
      <c r="D78" t="s">
        <v>84</v>
      </c>
      <c r="E78" t="s">
        <v>94</v>
      </c>
      <c r="F78">
        <v>7</v>
      </c>
      <c r="H78" t="s">
        <v>1459</v>
      </c>
      <c r="I78" t="s">
        <v>95</v>
      </c>
      <c r="M78" t="s">
        <v>95</v>
      </c>
      <c r="Q78" t="s">
        <v>95</v>
      </c>
      <c r="U78" t="s">
        <v>95</v>
      </c>
      <c r="Y78" t="s">
        <v>95</v>
      </c>
      <c r="AC78" t="s">
        <v>95</v>
      </c>
      <c r="AG78" t="s">
        <v>95</v>
      </c>
      <c r="AK78" t="s">
        <v>95</v>
      </c>
      <c r="AO78" t="s">
        <v>95</v>
      </c>
      <c r="AS78" t="s">
        <v>95</v>
      </c>
      <c r="AW78" t="s">
        <v>95</v>
      </c>
      <c r="BA78" t="s">
        <v>95</v>
      </c>
      <c r="BE78" t="s">
        <v>225</v>
      </c>
      <c r="BG78" t="s">
        <v>232</v>
      </c>
      <c r="BH78" t="s">
        <v>235</v>
      </c>
      <c r="BI78" t="s">
        <v>243</v>
      </c>
      <c r="BJ78" t="s">
        <v>252</v>
      </c>
      <c r="BK78" t="s">
        <v>258</v>
      </c>
      <c r="BL78" t="s">
        <v>264</v>
      </c>
      <c r="BM78" t="s">
        <v>264</v>
      </c>
      <c r="BN78" t="s">
        <v>272</v>
      </c>
      <c r="BO78" t="s">
        <v>275</v>
      </c>
      <c r="BP78" t="s">
        <v>264</v>
      </c>
      <c r="BT78" t="s">
        <v>293</v>
      </c>
      <c r="BU78" t="s">
        <v>297</v>
      </c>
      <c r="BV78" t="s">
        <v>299</v>
      </c>
      <c r="BW78" t="s">
        <v>302</v>
      </c>
      <c r="BX78" t="s">
        <v>304</v>
      </c>
      <c r="BZ78">
        <v>0</v>
      </c>
      <c r="CA78">
        <v>0</v>
      </c>
      <c r="CE78" t="s">
        <v>330</v>
      </c>
      <c r="CF78" s="144">
        <v>43896.850046296298</v>
      </c>
      <c r="CG78" s="144">
        <v>43896.85659722222</v>
      </c>
      <c r="CH78" t="s">
        <v>8471</v>
      </c>
    </row>
    <row r="79" spans="1:86" x14ac:dyDescent="0.35">
      <c r="A79" t="s">
        <v>888</v>
      </c>
      <c r="B79">
        <v>1</v>
      </c>
      <c r="C79">
        <v>1</v>
      </c>
      <c r="D79" t="s">
        <v>84</v>
      </c>
      <c r="E79" t="s">
        <v>95</v>
      </c>
      <c r="I79" t="s">
        <v>95</v>
      </c>
      <c r="M79" t="s">
        <v>95</v>
      </c>
      <c r="Q79" t="s">
        <v>95</v>
      </c>
      <c r="U79" t="s">
        <v>95</v>
      </c>
      <c r="Y79" t="s">
        <v>110</v>
      </c>
      <c r="Z79">
        <v>7</v>
      </c>
      <c r="AC79" t="s">
        <v>95</v>
      </c>
      <c r="AG79" t="s">
        <v>170</v>
      </c>
      <c r="AI79">
        <v>6</v>
      </c>
      <c r="AK79" t="s">
        <v>95</v>
      </c>
      <c r="AO79" t="s">
        <v>95</v>
      </c>
      <c r="AS79" t="s">
        <v>95</v>
      </c>
      <c r="AW79" t="s">
        <v>204</v>
      </c>
      <c r="AX79">
        <v>6</v>
      </c>
      <c r="AZ79" t="s">
        <v>4636</v>
      </c>
      <c r="BA79" t="s">
        <v>205</v>
      </c>
      <c r="BB79">
        <v>5</v>
      </c>
      <c r="BD79" t="s">
        <v>4894</v>
      </c>
      <c r="BE79" t="s">
        <v>225</v>
      </c>
      <c r="BG79" t="s">
        <v>232</v>
      </c>
      <c r="BH79" t="s">
        <v>235</v>
      </c>
      <c r="BI79" t="s">
        <v>243</v>
      </c>
      <c r="BJ79" t="s">
        <v>252</v>
      </c>
      <c r="BK79" t="s">
        <v>258</v>
      </c>
      <c r="BL79" t="s">
        <v>266</v>
      </c>
      <c r="BM79" t="s">
        <v>264</v>
      </c>
      <c r="BN79" t="s">
        <v>272</v>
      </c>
      <c r="BO79" t="s">
        <v>275</v>
      </c>
      <c r="BP79" t="s">
        <v>264</v>
      </c>
      <c r="BT79" t="s">
        <v>295</v>
      </c>
      <c r="BU79" t="s">
        <v>297</v>
      </c>
      <c r="BV79" t="s">
        <v>300</v>
      </c>
      <c r="BW79" t="s">
        <v>302</v>
      </c>
      <c r="BX79" t="s">
        <v>304</v>
      </c>
      <c r="BZ79">
        <v>0</v>
      </c>
      <c r="CA79">
        <v>0</v>
      </c>
      <c r="CE79" t="s">
        <v>326</v>
      </c>
      <c r="CF79" s="144">
        <v>43896.840439814812</v>
      </c>
      <c r="CG79" s="144">
        <v>43896.846493055556</v>
      </c>
      <c r="CH79" t="s">
        <v>8472</v>
      </c>
    </row>
    <row r="80" spans="1:86" x14ac:dyDescent="0.35">
      <c r="A80" t="s">
        <v>72</v>
      </c>
      <c r="B80">
        <v>1</v>
      </c>
      <c r="C80">
        <v>1</v>
      </c>
      <c r="D80" t="s">
        <v>84</v>
      </c>
      <c r="E80" t="s">
        <v>94</v>
      </c>
      <c r="F80">
        <v>4</v>
      </c>
      <c r="H80" t="s">
        <v>106</v>
      </c>
      <c r="I80" t="s">
        <v>94</v>
      </c>
      <c r="M80" t="s">
        <v>94</v>
      </c>
      <c r="N80">
        <v>6</v>
      </c>
      <c r="Q80" t="s">
        <v>110</v>
      </c>
      <c r="S80">
        <v>6</v>
      </c>
      <c r="T80" t="s">
        <v>134</v>
      </c>
      <c r="U80" t="s">
        <v>118</v>
      </c>
      <c r="W80">
        <v>5</v>
      </c>
      <c r="Y80" t="s">
        <v>110</v>
      </c>
      <c r="Z80">
        <v>5</v>
      </c>
      <c r="AB80" t="s">
        <v>134</v>
      </c>
      <c r="AC80" t="s">
        <v>157</v>
      </c>
      <c r="AE80">
        <v>6</v>
      </c>
      <c r="AG80" t="s">
        <v>170</v>
      </c>
      <c r="AI80">
        <v>6</v>
      </c>
      <c r="AK80" t="s">
        <v>157</v>
      </c>
      <c r="AL80">
        <v>6</v>
      </c>
      <c r="AN80" t="s">
        <v>185</v>
      </c>
      <c r="AO80" t="s">
        <v>95</v>
      </c>
      <c r="AS80" t="s">
        <v>204</v>
      </c>
      <c r="AT80">
        <v>6</v>
      </c>
      <c r="AW80" t="s">
        <v>204</v>
      </c>
      <c r="AX80">
        <v>5</v>
      </c>
      <c r="BA80" t="s">
        <v>95</v>
      </c>
      <c r="BE80" t="s">
        <v>225</v>
      </c>
      <c r="BG80" t="s">
        <v>232</v>
      </c>
      <c r="BH80" t="s">
        <v>237</v>
      </c>
      <c r="BI80" t="s">
        <v>243</v>
      </c>
      <c r="BJ80" t="s">
        <v>254</v>
      </c>
      <c r="BK80" t="s">
        <v>258</v>
      </c>
      <c r="BL80" t="s">
        <v>264</v>
      </c>
      <c r="BM80" t="s">
        <v>264</v>
      </c>
      <c r="BN80" t="s">
        <v>272</v>
      </c>
      <c r="BO80" t="s">
        <v>275</v>
      </c>
      <c r="BP80" t="s">
        <v>264</v>
      </c>
      <c r="BT80" t="s">
        <v>292</v>
      </c>
      <c r="BU80" t="s">
        <v>297</v>
      </c>
      <c r="BV80" t="s">
        <v>300</v>
      </c>
      <c r="BW80" t="s">
        <v>302</v>
      </c>
      <c r="BX80" t="s">
        <v>304</v>
      </c>
      <c r="BZ80">
        <v>1</v>
      </c>
      <c r="CA80">
        <v>0</v>
      </c>
      <c r="CE80" t="s">
        <v>326</v>
      </c>
      <c r="CF80" s="144">
        <v>43896.786817129629</v>
      </c>
      <c r="CG80" s="144">
        <v>43896.799189814818</v>
      </c>
      <c r="CH80" t="s">
        <v>346</v>
      </c>
    </row>
    <row r="81" spans="1:86" x14ac:dyDescent="0.35">
      <c r="A81" t="s">
        <v>890</v>
      </c>
      <c r="B81">
        <v>1</v>
      </c>
      <c r="C81">
        <v>1</v>
      </c>
      <c r="D81" t="s">
        <v>84</v>
      </c>
      <c r="E81" t="s">
        <v>94</v>
      </c>
      <c r="F81">
        <v>6</v>
      </c>
      <c r="I81" t="s">
        <v>94</v>
      </c>
      <c r="J81">
        <v>6</v>
      </c>
      <c r="M81" t="s">
        <v>94</v>
      </c>
      <c r="N81">
        <v>7</v>
      </c>
      <c r="Q81" t="s">
        <v>110</v>
      </c>
      <c r="S81">
        <v>6</v>
      </c>
      <c r="U81" t="s">
        <v>137</v>
      </c>
      <c r="V81">
        <v>6</v>
      </c>
      <c r="Y81" t="s">
        <v>110</v>
      </c>
      <c r="Z81">
        <v>7</v>
      </c>
      <c r="AC81" t="s">
        <v>157</v>
      </c>
      <c r="AE81">
        <v>6</v>
      </c>
      <c r="AG81" t="s">
        <v>156</v>
      </c>
      <c r="AH81">
        <v>6</v>
      </c>
      <c r="AK81" t="s">
        <v>157</v>
      </c>
      <c r="AL81">
        <v>6</v>
      </c>
      <c r="AO81" t="s">
        <v>190</v>
      </c>
      <c r="AQ81">
        <v>7</v>
      </c>
      <c r="AS81" t="s">
        <v>205</v>
      </c>
      <c r="AU81">
        <v>6</v>
      </c>
      <c r="AW81" t="s">
        <v>95</v>
      </c>
      <c r="BA81" t="s">
        <v>205</v>
      </c>
      <c r="BB81">
        <v>6</v>
      </c>
      <c r="BE81" t="s">
        <v>225</v>
      </c>
      <c r="BG81" t="s">
        <v>232</v>
      </c>
      <c r="BH81" t="s">
        <v>235</v>
      </c>
      <c r="BI81" t="s">
        <v>243</v>
      </c>
      <c r="BJ81" t="s">
        <v>252</v>
      </c>
      <c r="BK81" t="s">
        <v>258</v>
      </c>
      <c r="BL81" t="s">
        <v>266</v>
      </c>
      <c r="BM81" t="s">
        <v>264</v>
      </c>
      <c r="BN81" t="s">
        <v>272</v>
      </c>
      <c r="BO81" t="s">
        <v>275</v>
      </c>
      <c r="BP81" t="s">
        <v>264</v>
      </c>
      <c r="BT81" t="s">
        <v>293</v>
      </c>
      <c r="BU81" t="s">
        <v>297</v>
      </c>
      <c r="BV81" t="s">
        <v>299</v>
      </c>
      <c r="BW81" t="s">
        <v>302</v>
      </c>
      <c r="BX81" t="s">
        <v>304</v>
      </c>
      <c r="BZ81">
        <v>0</v>
      </c>
      <c r="CA81">
        <v>0</v>
      </c>
      <c r="CE81" t="s">
        <v>330</v>
      </c>
      <c r="CF81" s="144">
        <v>43896.652581018519</v>
      </c>
      <c r="CG81" s="144">
        <v>43896.671435185184</v>
      </c>
      <c r="CH81" t="s">
        <v>8474</v>
      </c>
    </row>
    <row r="82" spans="1:86" x14ac:dyDescent="0.35">
      <c r="A82" t="s">
        <v>891</v>
      </c>
      <c r="B82">
        <v>1</v>
      </c>
      <c r="C82">
        <v>1</v>
      </c>
      <c r="D82" t="s">
        <v>85</v>
      </c>
      <c r="E82" t="s">
        <v>95</v>
      </c>
      <c r="I82" t="s">
        <v>94</v>
      </c>
      <c r="J82">
        <v>6</v>
      </c>
      <c r="L82" t="s">
        <v>1800</v>
      </c>
      <c r="M82" t="s">
        <v>94</v>
      </c>
      <c r="N82">
        <v>8</v>
      </c>
      <c r="P82" t="s">
        <v>2105</v>
      </c>
      <c r="Q82" t="s">
        <v>96</v>
      </c>
      <c r="R82">
        <v>6</v>
      </c>
      <c r="U82" t="s">
        <v>137</v>
      </c>
      <c r="V82">
        <v>7</v>
      </c>
      <c r="Y82" t="s">
        <v>110</v>
      </c>
      <c r="Z82">
        <v>8</v>
      </c>
      <c r="AC82" t="s">
        <v>156</v>
      </c>
      <c r="AD82">
        <v>8</v>
      </c>
      <c r="AF82" t="s">
        <v>3379</v>
      </c>
      <c r="AG82" t="s">
        <v>156</v>
      </c>
      <c r="AH82">
        <v>8</v>
      </c>
      <c r="AJ82" t="s">
        <v>3596</v>
      </c>
      <c r="AK82" t="s">
        <v>170</v>
      </c>
      <c r="AM82">
        <v>8</v>
      </c>
      <c r="AO82" t="s">
        <v>95</v>
      </c>
      <c r="AS82" t="s">
        <v>204</v>
      </c>
      <c r="AT82">
        <v>7</v>
      </c>
      <c r="AW82" t="s">
        <v>204</v>
      </c>
      <c r="AX82">
        <v>7</v>
      </c>
      <c r="BA82" t="s">
        <v>4574</v>
      </c>
      <c r="BC82">
        <v>7</v>
      </c>
      <c r="BE82" t="s">
        <v>225</v>
      </c>
      <c r="BG82" t="s">
        <v>232</v>
      </c>
      <c r="BH82" t="s">
        <v>235</v>
      </c>
      <c r="BI82" t="s">
        <v>242</v>
      </c>
      <c r="BJ82" t="s">
        <v>255</v>
      </c>
      <c r="BK82" t="s">
        <v>258</v>
      </c>
      <c r="BL82" t="s">
        <v>264</v>
      </c>
      <c r="BM82" t="s">
        <v>264</v>
      </c>
      <c r="BN82" t="s">
        <v>272</v>
      </c>
      <c r="BO82" t="s">
        <v>275</v>
      </c>
      <c r="BP82" t="s">
        <v>264</v>
      </c>
      <c r="BT82" t="s">
        <v>293</v>
      </c>
      <c r="BU82" t="s">
        <v>297</v>
      </c>
      <c r="BV82" t="s">
        <v>299</v>
      </c>
      <c r="BW82" t="s">
        <v>302</v>
      </c>
      <c r="BX82" t="s">
        <v>304</v>
      </c>
      <c r="BZ82">
        <v>0</v>
      </c>
      <c r="CA82">
        <v>0</v>
      </c>
      <c r="CE82" t="s">
        <v>329</v>
      </c>
      <c r="CF82" s="144">
        <v>43896.582696759258</v>
      </c>
      <c r="CG82" s="144">
        <v>43896.591932870368</v>
      </c>
      <c r="CH82" t="s">
        <v>8475</v>
      </c>
    </row>
    <row r="83" spans="1:86" x14ac:dyDescent="0.35">
      <c r="A83" t="s">
        <v>895</v>
      </c>
      <c r="B83">
        <v>1</v>
      </c>
      <c r="C83">
        <v>1</v>
      </c>
      <c r="D83" t="s">
        <v>84</v>
      </c>
      <c r="E83" t="s">
        <v>95</v>
      </c>
      <c r="I83" t="s">
        <v>95</v>
      </c>
      <c r="M83" t="s">
        <v>95</v>
      </c>
      <c r="Q83" t="s">
        <v>95</v>
      </c>
      <c r="U83" t="s">
        <v>95</v>
      </c>
      <c r="Y83" t="s">
        <v>95</v>
      </c>
      <c r="AC83" t="s">
        <v>95</v>
      </c>
      <c r="AG83" t="s">
        <v>95</v>
      </c>
      <c r="AK83" t="s">
        <v>95</v>
      </c>
      <c r="AO83" t="s">
        <v>95</v>
      </c>
      <c r="AS83" t="s">
        <v>95</v>
      </c>
      <c r="AW83" t="s">
        <v>95</v>
      </c>
      <c r="BA83" t="s">
        <v>95</v>
      </c>
      <c r="BE83" t="s">
        <v>225</v>
      </c>
      <c r="BG83" t="s">
        <v>232</v>
      </c>
      <c r="BH83" t="s">
        <v>236</v>
      </c>
      <c r="BI83" t="s">
        <v>241</v>
      </c>
      <c r="BJ83" t="s">
        <v>254</v>
      </c>
      <c r="BK83" t="s">
        <v>258</v>
      </c>
      <c r="BL83" t="s">
        <v>265</v>
      </c>
      <c r="BM83" t="s">
        <v>269</v>
      </c>
      <c r="BN83" t="s">
        <v>272</v>
      </c>
      <c r="BO83" t="s">
        <v>275</v>
      </c>
      <c r="BP83" t="s">
        <v>264</v>
      </c>
      <c r="BT83" t="s">
        <v>294</v>
      </c>
      <c r="BU83" t="s">
        <v>297</v>
      </c>
      <c r="BV83" t="s">
        <v>299</v>
      </c>
      <c r="BW83" t="s">
        <v>302</v>
      </c>
      <c r="BX83" t="s">
        <v>304</v>
      </c>
      <c r="BZ83">
        <v>0</v>
      </c>
      <c r="CA83">
        <v>0</v>
      </c>
      <c r="CE83" t="s">
        <v>329</v>
      </c>
      <c r="CF83" s="144">
        <v>43895.423715277779</v>
      </c>
      <c r="CG83" s="144">
        <v>43895.427581018521</v>
      </c>
      <c r="CH83" t="s">
        <v>8479</v>
      </c>
    </row>
    <row r="84" spans="1:86" x14ac:dyDescent="0.35">
      <c r="A84" t="s">
        <v>896</v>
      </c>
      <c r="B84">
        <v>1</v>
      </c>
      <c r="C84">
        <v>1</v>
      </c>
      <c r="D84" t="s">
        <v>1129</v>
      </c>
      <c r="E84" t="s">
        <v>94</v>
      </c>
      <c r="F84">
        <v>8</v>
      </c>
      <c r="I84" t="s">
        <v>110</v>
      </c>
      <c r="K84">
        <v>8</v>
      </c>
      <c r="M84" t="s">
        <v>95</v>
      </c>
      <c r="Q84" t="s">
        <v>95</v>
      </c>
      <c r="U84" t="s">
        <v>137</v>
      </c>
      <c r="Y84" t="s">
        <v>95</v>
      </c>
      <c r="AC84" t="s">
        <v>157</v>
      </c>
      <c r="AE84">
        <v>8</v>
      </c>
      <c r="AG84" t="s">
        <v>95</v>
      </c>
      <c r="AK84" t="s">
        <v>95</v>
      </c>
      <c r="AO84" t="s">
        <v>190</v>
      </c>
      <c r="AQ84">
        <v>8</v>
      </c>
      <c r="AS84" t="s">
        <v>204</v>
      </c>
      <c r="AT84">
        <v>8</v>
      </c>
      <c r="AW84" t="s">
        <v>4574</v>
      </c>
      <c r="AY84">
        <v>8</v>
      </c>
      <c r="BA84" t="s">
        <v>4574</v>
      </c>
      <c r="BC84">
        <v>8</v>
      </c>
      <c r="BE84" t="s">
        <v>225</v>
      </c>
      <c r="BG84" t="s">
        <v>232</v>
      </c>
      <c r="BH84" t="s">
        <v>235</v>
      </c>
      <c r="BI84" t="s">
        <v>243</v>
      </c>
      <c r="BJ84" t="s">
        <v>249</v>
      </c>
      <c r="BK84" t="s">
        <v>258</v>
      </c>
      <c r="BL84" t="s">
        <v>266</v>
      </c>
      <c r="BM84" t="s">
        <v>264</v>
      </c>
      <c r="BN84" t="s">
        <v>272</v>
      </c>
      <c r="BO84" t="s">
        <v>276</v>
      </c>
      <c r="BP84" t="s">
        <v>264</v>
      </c>
      <c r="BT84" t="s">
        <v>292</v>
      </c>
      <c r="BU84" t="s">
        <v>297</v>
      </c>
      <c r="BV84" t="s">
        <v>299</v>
      </c>
      <c r="BW84" t="s">
        <v>302</v>
      </c>
      <c r="BX84" t="s">
        <v>304</v>
      </c>
      <c r="BZ84">
        <v>0</v>
      </c>
      <c r="CA84">
        <v>1</v>
      </c>
      <c r="CB84" t="s">
        <v>7698</v>
      </c>
      <c r="CC84" t="s">
        <v>318</v>
      </c>
      <c r="CD84" t="s">
        <v>7851</v>
      </c>
      <c r="CE84" t="s">
        <v>329</v>
      </c>
      <c r="CF84" s="144">
        <v>43895.373784722222</v>
      </c>
      <c r="CG84" s="144">
        <v>43895.379513888889</v>
      </c>
      <c r="CH84" t="s">
        <v>8480</v>
      </c>
    </row>
    <row r="85" spans="1:86" x14ac:dyDescent="0.35">
      <c r="A85" t="s">
        <v>901</v>
      </c>
      <c r="B85">
        <v>1</v>
      </c>
      <c r="C85">
        <v>1</v>
      </c>
      <c r="D85" t="s">
        <v>86</v>
      </c>
      <c r="E85" t="s">
        <v>94</v>
      </c>
      <c r="F85">
        <v>3</v>
      </c>
      <c r="I85" t="s">
        <v>95</v>
      </c>
      <c r="M85" t="s">
        <v>95</v>
      </c>
      <c r="Q85" t="s">
        <v>110</v>
      </c>
      <c r="S85">
        <v>5</v>
      </c>
      <c r="U85" t="s">
        <v>118</v>
      </c>
      <c r="W85">
        <v>3</v>
      </c>
      <c r="Y85" t="s">
        <v>110</v>
      </c>
      <c r="Z85">
        <v>5</v>
      </c>
      <c r="AC85" t="s">
        <v>156</v>
      </c>
      <c r="AD85">
        <v>2</v>
      </c>
      <c r="AG85" t="s">
        <v>95</v>
      </c>
      <c r="AK85" t="s">
        <v>95</v>
      </c>
      <c r="AO85" t="s">
        <v>95</v>
      </c>
      <c r="AS85" t="s">
        <v>204</v>
      </c>
      <c r="AT85">
        <v>6</v>
      </c>
      <c r="AW85" t="s">
        <v>95</v>
      </c>
      <c r="BA85" t="s">
        <v>95</v>
      </c>
      <c r="BE85" t="s">
        <v>225</v>
      </c>
      <c r="BG85" t="s">
        <v>232</v>
      </c>
      <c r="BH85" t="s">
        <v>239</v>
      </c>
      <c r="BI85" t="s">
        <v>241</v>
      </c>
      <c r="BJ85" t="s">
        <v>249</v>
      </c>
      <c r="BK85" t="s">
        <v>259</v>
      </c>
      <c r="BL85" t="s">
        <v>264</v>
      </c>
      <c r="BM85" t="s">
        <v>264</v>
      </c>
      <c r="BN85" t="s">
        <v>272</v>
      </c>
      <c r="BO85" t="s">
        <v>275</v>
      </c>
      <c r="BP85" t="s">
        <v>264</v>
      </c>
      <c r="BT85" t="s">
        <v>293</v>
      </c>
      <c r="BU85" t="s">
        <v>297</v>
      </c>
      <c r="BV85" t="s">
        <v>300</v>
      </c>
      <c r="BW85" t="s">
        <v>302</v>
      </c>
      <c r="BX85" t="s">
        <v>305</v>
      </c>
      <c r="BZ85">
        <v>0</v>
      </c>
      <c r="CA85">
        <v>0</v>
      </c>
      <c r="CE85" t="s">
        <v>326</v>
      </c>
      <c r="CF85" s="144">
        <v>43894.60429398148</v>
      </c>
      <c r="CG85" s="144">
        <v>43894.608807870369</v>
      </c>
      <c r="CH85" t="s">
        <v>8485</v>
      </c>
    </row>
    <row r="86" spans="1:86" x14ac:dyDescent="0.35">
      <c r="A86" t="s">
        <v>906</v>
      </c>
      <c r="B86">
        <v>1</v>
      </c>
      <c r="C86">
        <v>1</v>
      </c>
      <c r="D86" t="s">
        <v>84</v>
      </c>
      <c r="E86" t="s">
        <v>95</v>
      </c>
      <c r="I86" t="s">
        <v>95</v>
      </c>
      <c r="M86" t="s">
        <v>95</v>
      </c>
      <c r="Q86" t="s">
        <v>95</v>
      </c>
      <c r="U86" t="s">
        <v>95</v>
      </c>
      <c r="Y86" t="s">
        <v>95</v>
      </c>
      <c r="AC86" t="s">
        <v>95</v>
      </c>
      <c r="AG86" t="s">
        <v>95</v>
      </c>
      <c r="AK86" t="s">
        <v>95</v>
      </c>
      <c r="AO86" t="s">
        <v>95</v>
      </c>
      <c r="AS86" t="s">
        <v>95</v>
      </c>
      <c r="AW86" t="s">
        <v>95</v>
      </c>
      <c r="BA86" t="s">
        <v>95</v>
      </c>
      <c r="BE86" t="s">
        <v>225</v>
      </c>
      <c r="BG86" t="s">
        <v>232</v>
      </c>
      <c r="BH86" t="s">
        <v>236</v>
      </c>
      <c r="BI86" t="s">
        <v>243</v>
      </c>
      <c r="BJ86" t="s">
        <v>439</v>
      </c>
      <c r="BK86" t="s">
        <v>258</v>
      </c>
      <c r="BL86" t="s">
        <v>266</v>
      </c>
      <c r="BM86" t="s">
        <v>269</v>
      </c>
      <c r="BN86" t="s">
        <v>6499</v>
      </c>
      <c r="BO86" t="s">
        <v>76</v>
      </c>
      <c r="BP86" t="s">
        <v>264</v>
      </c>
      <c r="BT86" t="s">
        <v>293</v>
      </c>
      <c r="BU86" t="s">
        <v>297</v>
      </c>
      <c r="BV86" t="s">
        <v>300</v>
      </c>
      <c r="BW86" t="s">
        <v>302</v>
      </c>
      <c r="BX86" t="s">
        <v>304</v>
      </c>
      <c r="BZ86">
        <v>0</v>
      </c>
      <c r="CA86">
        <v>0</v>
      </c>
      <c r="CE86" t="s">
        <v>329</v>
      </c>
      <c r="CF86" s="144">
        <v>43893.451886574076</v>
      </c>
      <c r="CG86" s="144">
        <v>43893.459826388891</v>
      </c>
      <c r="CH86" t="s">
        <v>8490</v>
      </c>
    </row>
    <row r="87" spans="1:86" x14ac:dyDescent="0.35">
      <c r="A87" t="s">
        <v>907</v>
      </c>
      <c r="B87">
        <v>1</v>
      </c>
      <c r="C87">
        <v>1</v>
      </c>
      <c r="D87" t="s">
        <v>84</v>
      </c>
      <c r="E87" t="s">
        <v>95</v>
      </c>
      <c r="I87" t="s">
        <v>95</v>
      </c>
      <c r="M87" t="s">
        <v>94</v>
      </c>
      <c r="N87">
        <v>7</v>
      </c>
      <c r="P87" t="s">
        <v>2108</v>
      </c>
      <c r="Q87" t="s">
        <v>95</v>
      </c>
      <c r="U87" t="s">
        <v>95</v>
      </c>
      <c r="Y87" t="s">
        <v>110</v>
      </c>
      <c r="Z87">
        <v>6</v>
      </c>
      <c r="AB87" t="s">
        <v>3091</v>
      </c>
      <c r="AC87" t="s">
        <v>95</v>
      </c>
      <c r="AG87" t="s">
        <v>95</v>
      </c>
      <c r="AK87" t="s">
        <v>95</v>
      </c>
      <c r="AO87" t="s">
        <v>95</v>
      </c>
      <c r="AS87" t="s">
        <v>95</v>
      </c>
      <c r="AW87" t="s">
        <v>95</v>
      </c>
      <c r="BA87" t="s">
        <v>95</v>
      </c>
      <c r="BE87" t="s">
        <v>225</v>
      </c>
      <c r="BG87" t="s">
        <v>232</v>
      </c>
      <c r="BH87" t="s">
        <v>239</v>
      </c>
      <c r="BI87" t="s">
        <v>247</v>
      </c>
      <c r="BJ87" t="s">
        <v>251</v>
      </c>
      <c r="BK87" t="s">
        <v>258</v>
      </c>
      <c r="BL87" t="s">
        <v>265</v>
      </c>
      <c r="BM87" t="s">
        <v>264</v>
      </c>
      <c r="BN87" t="s">
        <v>272</v>
      </c>
      <c r="BO87" t="s">
        <v>276</v>
      </c>
      <c r="BP87" t="s">
        <v>264</v>
      </c>
      <c r="BT87" t="s">
        <v>293</v>
      </c>
      <c r="BU87" t="s">
        <v>297</v>
      </c>
      <c r="BV87" t="s">
        <v>299</v>
      </c>
      <c r="BW87" t="s">
        <v>302</v>
      </c>
      <c r="BX87" t="s">
        <v>304</v>
      </c>
      <c r="BZ87">
        <v>0</v>
      </c>
      <c r="CA87">
        <v>0</v>
      </c>
      <c r="CE87" t="s">
        <v>330</v>
      </c>
      <c r="CF87" s="144">
        <v>43893.353356481479</v>
      </c>
      <c r="CG87" s="144">
        <v>43893.357372685183</v>
      </c>
      <c r="CH87" t="s">
        <v>8491</v>
      </c>
    </row>
    <row r="88" spans="1:86" x14ac:dyDescent="0.35">
      <c r="A88" t="s">
        <v>910</v>
      </c>
      <c r="B88">
        <v>1</v>
      </c>
      <c r="C88">
        <v>1</v>
      </c>
      <c r="D88" t="s">
        <v>84</v>
      </c>
      <c r="E88" t="s">
        <v>95</v>
      </c>
      <c r="I88" t="s">
        <v>94</v>
      </c>
      <c r="L88" t="s">
        <v>1805</v>
      </c>
      <c r="M88" t="s">
        <v>94</v>
      </c>
      <c r="N88">
        <v>7</v>
      </c>
      <c r="Q88" t="s">
        <v>96</v>
      </c>
      <c r="R88">
        <v>7</v>
      </c>
      <c r="T88" t="s">
        <v>2469</v>
      </c>
      <c r="U88" t="s">
        <v>137</v>
      </c>
      <c r="V88">
        <v>7</v>
      </c>
      <c r="Y88" t="s">
        <v>118</v>
      </c>
      <c r="AA88">
        <v>6</v>
      </c>
      <c r="AC88" t="s">
        <v>156</v>
      </c>
      <c r="AD88">
        <v>6</v>
      </c>
      <c r="AG88" t="s">
        <v>95</v>
      </c>
      <c r="AK88" t="s">
        <v>170</v>
      </c>
      <c r="AM88">
        <v>6</v>
      </c>
      <c r="AO88" t="s">
        <v>190</v>
      </c>
      <c r="AQ88">
        <v>8</v>
      </c>
      <c r="AR88" t="s">
        <v>4158</v>
      </c>
      <c r="AS88" t="s">
        <v>205</v>
      </c>
      <c r="AU88">
        <v>7</v>
      </c>
      <c r="AW88" t="s">
        <v>4574</v>
      </c>
      <c r="AY88">
        <v>8</v>
      </c>
      <c r="BA88" t="s">
        <v>4574</v>
      </c>
      <c r="BC88">
        <v>7</v>
      </c>
      <c r="BE88" t="s">
        <v>225</v>
      </c>
      <c r="BG88" t="s">
        <v>232</v>
      </c>
      <c r="BH88" t="s">
        <v>235</v>
      </c>
      <c r="BI88" t="s">
        <v>243</v>
      </c>
      <c r="BJ88" t="s">
        <v>250</v>
      </c>
      <c r="BK88" t="s">
        <v>258</v>
      </c>
      <c r="BL88" t="s">
        <v>265</v>
      </c>
      <c r="BM88" t="s">
        <v>269</v>
      </c>
      <c r="BN88" t="s">
        <v>272</v>
      </c>
      <c r="BO88" t="s">
        <v>275</v>
      </c>
      <c r="BP88" t="s">
        <v>264</v>
      </c>
      <c r="BT88" t="s">
        <v>293</v>
      </c>
      <c r="BU88" t="s">
        <v>297</v>
      </c>
      <c r="BV88" t="s">
        <v>299</v>
      </c>
      <c r="BW88" t="s">
        <v>302</v>
      </c>
      <c r="BX88" t="s">
        <v>304</v>
      </c>
      <c r="BZ88">
        <v>0</v>
      </c>
      <c r="CA88">
        <v>1</v>
      </c>
      <c r="CB88" t="s">
        <v>313</v>
      </c>
      <c r="CC88" t="s">
        <v>7773</v>
      </c>
      <c r="CD88" t="s">
        <v>7851</v>
      </c>
      <c r="CE88" t="s">
        <v>329</v>
      </c>
      <c r="CF88" s="144">
        <v>43887.901296296295</v>
      </c>
      <c r="CG88" s="144">
        <v>43887.913217592592</v>
      </c>
      <c r="CH88" t="s">
        <v>8494</v>
      </c>
    </row>
    <row r="89" spans="1:86" x14ac:dyDescent="0.35">
      <c r="A89" t="s">
        <v>911</v>
      </c>
      <c r="B89">
        <v>1</v>
      </c>
      <c r="C89">
        <v>1</v>
      </c>
      <c r="D89" t="s">
        <v>84</v>
      </c>
      <c r="E89" t="s">
        <v>95</v>
      </c>
      <c r="I89" t="s">
        <v>95</v>
      </c>
      <c r="M89" t="s">
        <v>94</v>
      </c>
      <c r="N89">
        <v>7</v>
      </c>
      <c r="P89" t="s">
        <v>2110</v>
      </c>
      <c r="Q89" t="s">
        <v>95</v>
      </c>
      <c r="U89" t="s">
        <v>137</v>
      </c>
      <c r="V89">
        <v>7</v>
      </c>
      <c r="X89" t="s">
        <v>2788</v>
      </c>
      <c r="Y89" t="s">
        <v>110</v>
      </c>
      <c r="Z89">
        <v>7</v>
      </c>
      <c r="AB89" t="s">
        <v>3093</v>
      </c>
      <c r="AC89" t="s">
        <v>95</v>
      </c>
      <c r="AG89" t="s">
        <v>95</v>
      </c>
      <c r="AK89" t="s">
        <v>157</v>
      </c>
      <c r="AL89">
        <v>7</v>
      </c>
      <c r="AN89" t="s">
        <v>3847</v>
      </c>
      <c r="AO89" t="s">
        <v>95</v>
      </c>
      <c r="AS89" t="s">
        <v>204</v>
      </c>
      <c r="AW89" t="s">
        <v>95</v>
      </c>
      <c r="BA89" t="s">
        <v>4574</v>
      </c>
      <c r="BE89" t="s">
        <v>225</v>
      </c>
      <c r="BG89" t="s">
        <v>232</v>
      </c>
      <c r="BH89" t="s">
        <v>235</v>
      </c>
      <c r="BI89" t="s">
        <v>243</v>
      </c>
      <c r="BJ89" t="s">
        <v>246</v>
      </c>
      <c r="BK89" t="s">
        <v>258</v>
      </c>
      <c r="BL89" t="s">
        <v>264</v>
      </c>
      <c r="BM89" t="s">
        <v>264</v>
      </c>
      <c r="BN89" t="s">
        <v>272</v>
      </c>
      <c r="BO89" t="s">
        <v>275</v>
      </c>
      <c r="BP89" t="s">
        <v>264</v>
      </c>
      <c r="BT89" t="s">
        <v>7150</v>
      </c>
      <c r="BU89" t="s">
        <v>297</v>
      </c>
      <c r="BV89" t="s">
        <v>299</v>
      </c>
      <c r="BW89" t="s">
        <v>302</v>
      </c>
      <c r="BX89" t="s">
        <v>304</v>
      </c>
      <c r="BZ89">
        <v>0</v>
      </c>
      <c r="CA89">
        <v>0</v>
      </c>
      <c r="CE89" t="s">
        <v>329</v>
      </c>
      <c r="CF89" s="144">
        <v>43887.333043981482</v>
      </c>
      <c r="CG89" s="144">
        <v>43887.343113425923</v>
      </c>
      <c r="CH89" t="s">
        <v>8495</v>
      </c>
    </row>
    <row r="90" spans="1:86" x14ac:dyDescent="0.35">
      <c r="A90" t="s">
        <v>912</v>
      </c>
      <c r="B90">
        <v>1</v>
      </c>
      <c r="C90">
        <v>1</v>
      </c>
      <c r="D90" t="s">
        <v>84</v>
      </c>
      <c r="E90" t="s">
        <v>94</v>
      </c>
      <c r="F90">
        <v>6</v>
      </c>
      <c r="I90" t="s">
        <v>94</v>
      </c>
      <c r="J90">
        <v>4</v>
      </c>
      <c r="M90" t="s">
        <v>94</v>
      </c>
      <c r="N90">
        <v>4</v>
      </c>
      <c r="Q90" t="s">
        <v>96</v>
      </c>
      <c r="R90">
        <v>6</v>
      </c>
      <c r="U90" t="s">
        <v>137</v>
      </c>
      <c r="V90">
        <v>4</v>
      </c>
      <c r="Y90" t="s">
        <v>118</v>
      </c>
      <c r="AA90">
        <v>4</v>
      </c>
      <c r="AC90" t="s">
        <v>156</v>
      </c>
      <c r="AD90">
        <v>6</v>
      </c>
      <c r="AG90" t="s">
        <v>95</v>
      </c>
      <c r="AK90" t="s">
        <v>170</v>
      </c>
      <c r="AM90">
        <v>6</v>
      </c>
      <c r="AO90" t="s">
        <v>95</v>
      </c>
      <c r="AS90" t="s">
        <v>95</v>
      </c>
      <c r="AW90" t="s">
        <v>95</v>
      </c>
      <c r="BA90" t="s">
        <v>4574</v>
      </c>
      <c r="BC90">
        <v>6</v>
      </c>
      <c r="BE90" t="s">
        <v>225</v>
      </c>
      <c r="BG90" t="s">
        <v>232</v>
      </c>
      <c r="BH90" t="s">
        <v>239</v>
      </c>
      <c r="BI90" t="s">
        <v>241</v>
      </c>
      <c r="BJ90" t="s">
        <v>249</v>
      </c>
      <c r="BK90" t="s">
        <v>257</v>
      </c>
      <c r="BL90" t="s">
        <v>264</v>
      </c>
      <c r="BM90" t="s">
        <v>264</v>
      </c>
      <c r="BN90" t="s">
        <v>272</v>
      </c>
      <c r="BO90" t="s">
        <v>275</v>
      </c>
      <c r="BP90" t="s">
        <v>264</v>
      </c>
      <c r="BT90" t="s">
        <v>293</v>
      </c>
      <c r="BU90" t="s">
        <v>297</v>
      </c>
      <c r="BV90" t="s">
        <v>300</v>
      </c>
      <c r="BW90" t="s">
        <v>302</v>
      </c>
      <c r="BX90" t="s">
        <v>304</v>
      </c>
      <c r="BZ90">
        <v>0</v>
      </c>
      <c r="CA90">
        <v>0</v>
      </c>
      <c r="CE90" t="s">
        <v>325</v>
      </c>
      <c r="CF90" s="144">
        <v>43875.506539351853</v>
      </c>
      <c r="CG90" s="144">
        <v>43875.537511574075</v>
      </c>
      <c r="CH90" t="s">
        <v>8191</v>
      </c>
    </row>
    <row r="91" spans="1:86" x14ac:dyDescent="0.35">
      <c r="A91" t="s">
        <v>913</v>
      </c>
      <c r="B91">
        <v>1</v>
      </c>
      <c r="C91">
        <v>1</v>
      </c>
      <c r="D91" t="s">
        <v>84</v>
      </c>
      <c r="E91" t="s">
        <v>94</v>
      </c>
      <c r="F91">
        <v>6</v>
      </c>
      <c r="H91" t="s">
        <v>1464</v>
      </c>
      <c r="I91" t="s">
        <v>94</v>
      </c>
      <c r="J91">
        <v>6</v>
      </c>
      <c r="L91" t="s">
        <v>1806</v>
      </c>
      <c r="M91" t="s">
        <v>94</v>
      </c>
      <c r="N91">
        <v>2</v>
      </c>
      <c r="Q91" t="s">
        <v>110</v>
      </c>
      <c r="S91">
        <v>4</v>
      </c>
      <c r="U91" t="s">
        <v>118</v>
      </c>
      <c r="W91">
        <v>6</v>
      </c>
      <c r="Y91" t="s">
        <v>118</v>
      </c>
      <c r="AA91">
        <v>4</v>
      </c>
      <c r="AC91" t="s">
        <v>95</v>
      </c>
      <c r="AG91" t="s">
        <v>95</v>
      </c>
      <c r="AK91" t="s">
        <v>95</v>
      </c>
      <c r="AO91" t="s">
        <v>95</v>
      </c>
      <c r="AS91" t="s">
        <v>204</v>
      </c>
      <c r="AT91">
        <v>6</v>
      </c>
      <c r="AW91" t="s">
        <v>4574</v>
      </c>
      <c r="AY91">
        <v>2</v>
      </c>
      <c r="BA91" t="s">
        <v>4574</v>
      </c>
      <c r="BC91">
        <v>6</v>
      </c>
      <c r="BE91" t="s">
        <v>225</v>
      </c>
      <c r="BG91" t="s">
        <v>233</v>
      </c>
      <c r="BH91" t="s">
        <v>239</v>
      </c>
      <c r="BI91" t="s">
        <v>242</v>
      </c>
      <c r="BJ91" t="s">
        <v>249</v>
      </c>
      <c r="BK91" t="s">
        <v>259</v>
      </c>
      <c r="BL91" t="s">
        <v>264</v>
      </c>
      <c r="BM91" t="s">
        <v>264</v>
      </c>
      <c r="BN91" t="s">
        <v>272</v>
      </c>
      <c r="BO91" t="s">
        <v>275</v>
      </c>
      <c r="BP91" t="s">
        <v>264</v>
      </c>
      <c r="BT91" t="s">
        <v>293</v>
      </c>
      <c r="BU91" t="s">
        <v>297</v>
      </c>
      <c r="BV91" t="s">
        <v>299</v>
      </c>
      <c r="BW91" t="s">
        <v>302</v>
      </c>
      <c r="BX91" t="s">
        <v>304</v>
      </c>
      <c r="BZ91">
        <v>0</v>
      </c>
      <c r="CA91">
        <v>1</v>
      </c>
      <c r="CB91" t="s">
        <v>7701</v>
      </c>
      <c r="CC91" t="s">
        <v>315</v>
      </c>
      <c r="CD91" t="s">
        <v>323</v>
      </c>
      <c r="CE91" t="s">
        <v>329</v>
      </c>
      <c r="CF91" s="144">
        <v>43875.447465277779</v>
      </c>
      <c r="CG91" s="144">
        <v>43875.45894675926</v>
      </c>
      <c r="CH91" t="s">
        <v>8191</v>
      </c>
    </row>
    <row r="92" spans="1:86" x14ac:dyDescent="0.35">
      <c r="A92" t="s">
        <v>914</v>
      </c>
      <c r="B92">
        <v>1</v>
      </c>
      <c r="C92">
        <v>1</v>
      </c>
      <c r="D92" t="s">
        <v>84</v>
      </c>
      <c r="E92" t="s">
        <v>94</v>
      </c>
      <c r="F92">
        <v>6</v>
      </c>
      <c r="I92" t="s">
        <v>94</v>
      </c>
      <c r="J92">
        <v>6</v>
      </c>
      <c r="M92" t="s">
        <v>94</v>
      </c>
      <c r="N92">
        <v>6</v>
      </c>
      <c r="Q92" t="s">
        <v>95</v>
      </c>
      <c r="U92" t="s">
        <v>118</v>
      </c>
      <c r="W92">
        <v>6</v>
      </c>
      <c r="Y92" t="s">
        <v>118</v>
      </c>
      <c r="AA92">
        <v>6</v>
      </c>
      <c r="AC92" t="s">
        <v>156</v>
      </c>
      <c r="AD92">
        <v>4</v>
      </c>
      <c r="AG92" t="s">
        <v>156</v>
      </c>
      <c r="AH92">
        <v>4</v>
      </c>
      <c r="AK92" t="s">
        <v>157</v>
      </c>
      <c r="AL92">
        <v>4</v>
      </c>
      <c r="AO92" t="s">
        <v>191</v>
      </c>
      <c r="AP92">
        <v>8</v>
      </c>
      <c r="AS92" t="s">
        <v>95</v>
      </c>
      <c r="AW92" t="s">
        <v>4574</v>
      </c>
      <c r="AY92">
        <v>8</v>
      </c>
      <c r="BA92" t="s">
        <v>4574</v>
      </c>
      <c r="BC92">
        <v>8</v>
      </c>
      <c r="BE92" t="s">
        <v>225</v>
      </c>
      <c r="BG92" t="s">
        <v>232</v>
      </c>
      <c r="BH92" t="s">
        <v>235</v>
      </c>
      <c r="BI92" t="s">
        <v>242</v>
      </c>
      <c r="BJ92" t="s">
        <v>246</v>
      </c>
      <c r="BK92" t="s">
        <v>258</v>
      </c>
      <c r="BL92" t="s">
        <v>266</v>
      </c>
      <c r="BM92" t="s">
        <v>269</v>
      </c>
      <c r="BN92" t="s">
        <v>273</v>
      </c>
      <c r="BO92" t="s">
        <v>76</v>
      </c>
      <c r="BP92" t="s">
        <v>264</v>
      </c>
      <c r="BT92" t="s">
        <v>7152</v>
      </c>
      <c r="BU92" t="s">
        <v>297</v>
      </c>
      <c r="BV92" t="s">
        <v>299</v>
      </c>
      <c r="BW92" t="s">
        <v>302</v>
      </c>
      <c r="BX92" t="s">
        <v>304</v>
      </c>
      <c r="BZ92">
        <v>0</v>
      </c>
      <c r="CA92">
        <v>1</v>
      </c>
      <c r="CB92" t="s">
        <v>7701</v>
      </c>
      <c r="CC92" t="s">
        <v>7773</v>
      </c>
      <c r="CD92" t="s">
        <v>321</v>
      </c>
      <c r="CE92" t="s">
        <v>329</v>
      </c>
      <c r="CF92" s="144">
        <v>43874.549386574072</v>
      </c>
      <c r="CG92" s="144">
        <v>43874.559131944443</v>
      </c>
      <c r="CH92" t="s">
        <v>8191</v>
      </c>
    </row>
    <row r="93" spans="1:86" x14ac:dyDescent="0.35">
      <c r="A93" t="s">
        <v>915</v>
      </c>
      <c r="B93">
        <v>1</v>
      </c>
      <c r="C93">
        <v>1</v>
      </c>
      <c r="D93" t="s">
        <v>84</v>
      </c>
      <c r="E93" t="s">
        <v>94</v>
      </c>
      <c r="F93">
        <v>6</v>
      </c>
      <c r="H93" s="21"/>
      <c r="I93" t="s">
        <v>94</v>
      </c>
      <c r="J93">
        <v>4</v>
      </c>
      <c r="L93" s="21"/>
      <c r="M93" t="s">
        <v>94</v>
      </c>
      <c r="N93">
        <v>4</v>
      </c>
      <c r="Q93" t="s">
        <v>110</v>
      </c>
      <c r="S93">
        <v>4</v>
      </c>
      <c r="T93" s="21"/>
      <c r="U93" t="s">
        <v>118</v>
      </c>
      <c r="W93">
        <v>4</v>
      </c>
      <c r="X93" s="21"/>
      <c r="Y93" t="s">
        <v>110</v>
      </c>
      <c r="Z93">
        <v>4</v>
      </c>
      <c r="AB93" s="21"/>
      <c r="AC93" t="s">
        <v>156</v>
      </c>
      <c r="AD93">
        <v>6</v>
      </c>
      <c r="AG93" t="s">
        <v>156</v>
      </c>
      <c r="AH93">
        <v>6</v>
      </c>
      <c r="AJ93" s="21"/>
      <c r="AK93" t="s">
        <v>157</v>
      </c>
      <c r="AL93">
        <v>6</v>
      </c>
      <c r="AN93" s="21"/>
      <c r="AO93" t="s">
        <v>191</v>
      </c>
      <c r="AP93">
        <v>2</v>
      </c>
      <c r="AR93" s="21"/>
      <c r="AS93" t="s">
        <v>204</v>
      </c>
      <c r="AT93">
        <v>6</v>
      </c>
      <c r="AV93" s="21"/>
      <c r="AW93" t="s">
        <v>4574</v>
      </c>
      <c r="AY93">
        <v>4</v>
      </c>
      <c r="AZ93" s="21"/>
      <c r="BA93" t="s">
        <v>4574</v>
      </c>
      <c r="BC93">
        <v>6</v>
      </c>
      <c r="BD93" s="21"/>
      <c r="BE93" t="s">
        <v>225</v>
      </c>
      <c r="BG93" t="s">
        <v>4968</v>
      </c>
      <c r="BH93" t="s">
        <v>236</v>
      </c>
      <c r="BI93" t="s">
        <v>242</v>
      </c>
      <c r="BJ93" t="s">
        <v>249</v>
      </c>
      <c r="BK93" t="s">
        <v>258</v>
      </c>
      <c r="BL93" t="s">
        <v>265</v>
      </c>
      <c r="BM93" t="s">
        <v>269</v>
      </c>
      <c r="BN93" t="s">
        <v>272</v>
      </c>
      <c r="BO93" t="s">
        <v>275</v>
      </c>
      <c r="BP93" t="s">
        <v>264</v>
      </c>
      <c r="BT93" t="s">
        <v>293</v>
      </c>
      <c r="BU93" t="s">
        <v>297</v>
      </c>
      <c r="BV93" t="s">
        <v>299</v>
      </c>
      <c r="BW93" t="s">
        <v>302</v>
      </c>
      <c r="BX93" t="s">
        <v>304</v>
      </c>
      <c r="BZ93">
        <v>0</v>
      </c>
      <c r="CA93">
        <v>1</v>
      </c>
      <c r="CB93" t="s">
        <v>7701</v>
      </c>
      <c r="CC93" t="s">
        <v>315</v>
      </c>
      <c r="CD93" t="s">
        <v>323</v>
      </c>
      <c r="CE93" t="s">
        <v>329</v>
      </c>
      <c r="CF93" s="144">
        <v>43874.441250000003</v>
      </c>
      <c r="CG93" s="144">
        <v>43874.447812500002</v>
      </c>
      <c r="CH93" t="s">
        <v>8191</v>
      </c>
    </row>
    <row r="94" spans="1:86" x14ac:dyDescent="0.35">
      <c r="A94" t="s">
        <v>916</v>
      </c>
      <c r="B94">
        <v>1</v>
      </c>
      <c r="C94">
        <v>1</v>
      </c>
      <c r="D94" t="s">
        <v>84</v>
      </c>
      <c r="E94" t="s">
        <v>94</v>
      </c>
      <c r="F94">
        <v>5</v>
      </c>
      <c r="I94" t="s">
        <v>94</v>
      </c>
      <c r="J94">
        <v>3</v>
      </c>
      <c r="M94" t="s">
        <v>94</v>
      </c>
      <c r="N94">
        <v>3</v>
      </c>
      <c r="Q94" t="s">
        <v>110</v>
      </c>
      <c r="S94">
        <v>3</v>
      </c>
      <c r="U94" t="s">
        <v>118</v>
      </c>
      <c r="W94">
        <v>3</v>
      </c>
      <c r="Y94" t="s">
        <v>110</v>
      </c>
      <c r="Z94">
        <v>3</v>
      </c>
      <c r="AC94" t="s">
        <v>156</v>
      </c>
      <c r="AD94">
        <v>5</v>
      </c>
      <c r="AG94" t="s">
        <v>156</v>
      </c>
      <c r="AH94">
        <v>5</v>
      </c>
      <c r="AK94" t="s">
        <v>157</v>
      </c>
      <c r="AL94">
        <v>5</v>
      </c>
      <c r="AO94" t="s">
        <v>191</v>
      </c>
      <c r="AP94">
        <v>1</v>
      </c>
      <c r="AS94" t="s">
        <v>204</v>
      </c>
      <c r="AT94">
        <v>5</v>
      </c>
      <c r="AW94" t="s">
        <v>4574</v>
      </c>
      <c r="AY94">
        <v>3</v>
      </c>
      <c r="BA94" t="s">
        <v>4574</v>
      </c>
      <c r="BC94">
        <v>5</v>
      </c>
      <c r="BE94" t="s">
        <v>225</v>
      </c>
      <c r="BG94" t="s">
        <v>4968</v>
      </c>
      <c r="BH94" t="s">
        <v>236</v>
      </c>
      <c r="BI94" t="s">
        <v>242</v>
      </c>
      <c r="BJ94" t="s">
        <v>249</v>
      </c>
      <c r="BK94" t="s">
        <v>258</v>
      </c>
      <c r="BL94" t="s">
        <v>265</v>
      </c>
      <c r="BM94" t="s">
        <v>269</v>
      </c>
      <c r="BN94" t="s">
        <v>272</v>
      </c>
      <c r="BO94" t="s">
        <v>275</v>
      </c>
      <c r="BP94" t="s">
        <v>264</v>
      </c>
      <c r="BT94" t="s">
        <v>293</v>
      </c>
      <c r="BU94" t="s">
        <v>297</v>
      </c>
      <c r="BV94" t="s">
        <v>299</v>
      </c>
      <c r="BW94" t="s">
        <v>302</v>
      </c>
      <c r="BX94" t="s">
        <v>304</v>
      </c>
      <c r="BZ94">
        <v>0</v>
      </c>
      <c r="CA94">
        <v>1</v>
      </c>
      <c r="CB94" t="s">
        <v>7701</v>
      </c>
      <c r="CC94" t="s">
        <v>315</v>
      </c>
      <c r="CD94" t="s">
        <v>323</v>
      </c>
      <c r="CE94" t="s">
        <v>329</v>
      </c>
      <c r="CF94" s="144">
        <v>43873.548993055556</v>
      </c>
      <c r="CG94" s="144">
        <v>43873.554108796299</v>
      </c>
      <c r="CH94" s="24" t="s">
        <v>8191</v>
      </c>
    </row>
    <row r="95" spans="1:86" x14ac:dyDescent="0.35">
      <c r="A95" t="s">
        <v>917</v>
      </c>
      <c r="B95">
        <v>1</v>
      </c>
      <c r="C95">
        <v>1</v>
      </c>
      <c r="D95" t="s">
        <v>1129</v>
      </c>
      <c r="E95" t="s">
        <v>94</v>
      </c>
      <c r="F95">
        <v>6</v>
      </c>
      <c r="I95" t="s">
        <v>94</v>
      </c>
      <c r="J95">
        <v>6</v>
      </c>
      <c r="M95" t="s">
        <v>94</v>
      </c>
      <c r="N95">
        <v>4</v>
      </c>
      <c r="Q95" t="s">
        <v>95</v>
      </c>
      <c r="U95" t="s">
        <v>95</v>
      </c>
      <c r="Y95" t="s">
        <v>95</v>
      </c>
      <c r="AC95" t="s">
        <v>95</v>
      </c>
      <c r="AG95" t="s">
        <v>95</v>
      </c>
      <c r="AK95" t="s">
        <v>95</v>
      </c>
      <c r="AO95" t="s">
        <v>95</v>
      </c>
      <c r="AS95" t="s">
        <v>205</v>
      </c>
      <c r="AU95">
        <v>5</v>
      </c>
      <c r="AW95" t="s">
        <v>95</v>
      </c>
      <c r="BA95" t="s">
        <v>95</v>
      </c>
      <c r="BE95" t="s">
        <v>225</v>
      </c>
      <c r="BG95" t="s">
        <v>233</v>
      </c>
      <c r="BH95" t="s">
        <v>239</v>
      </c>
      <c r="BI95" t="s">
        <v>242</v>
      </c>
      <c r="BJ95" t="s">
        <v>249</v>
      </c>
      <c r="BK95" t="s">
        <v>259</v>
      </c>
      <c r="BL95" t="s">
        <v>264</v>
      </c>
      <c r="BM95" t="s">
        <v>264</v>
      </c>
      <c r="BN95" t="s">
        <v>272</v>
      </c>
      <c r="BO95" t="s">
        <v>275</v>
      </c>
      <c r="BP95" t="s">
        <v>269</v>
      </c>
      <c r="BQ95" t="s">
        <v>6835</v>
      </c>
      <c r="BR95" t="s">
        <v>6835</v>
      </c>
      <c r="BS95" t="s">
        <v>6835</v>
      </c>
      <c r="BT95" t="s">
        <v>293</v>
      </c>
      <c r="BU95" t="s">
        <v>297</v>
      </c>
      <c r="BV95" t="s">
        <v>299</v>
      </c>
      <c r="BW95" t="s">
        <v>302</v>
      </c>
      <c r="BX95" t="s">
        <v>304</v>
      </c>
      <c r="BZ95">
        <v>0</v>
      </c>
      <c r="CA95">
        <v>1</v>
      </c>
      <c r="CB95" t="s">
        <v>7701</v>
      </c>
      <c r="CC95" t="s">
        <v>315</v>
      </c>
      <c r="CD95" t="s">
        <v>323</v>
      </c>
      <c r="CE95" t="s">
        <v>329</v>
      </c>
      <c r="CF95" s="144">
        <v>43861.350127314814</v>
      </c>
      <c r="CG95" s="144">
        <v>43861.390034722222</v>
      </c>
      <c r="CH95" t="s">
        <v>8497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B124"/>
  <sheetViews>
    <sheetView tabSelected="1" topLeftCell="B33" zoomScale="80" zoomScaleNormal="80" workbookViewId="0">
      <selection activeCell="G51" sqref="G51:G52"/>
    </sheetView>
  </sheetViews>
  <sheetFormatPr baseColWidth="10" defaultColWidth="8.81640625" defaultRowHeight="14.5" x14ac:dyDescent="0.35"/>
  <cols>
    <col min="1" max="1" width="43.1796875" bestFit="1" customWidth="1"/>
    <col min="2" max="12" width="13.7265625" bestFit="1" customWidth="1"/>
    <col min="13" max="13" width="16.54296875" bestFit="1" customWidth="1"/>
    <col min="14" max="14" width="13.7265625" bestFit="1" customWidth="1"/>
    <col min="15" max="15" width="14" bestFit="1" customWidth="1"/>
    <col min="16" max="16" width="13.7265625" bestFit="1" customWidth="1"/>
    <col min="17" max="17" width="15" bestFit="1" customWidth="1"/>
    <col min="18" max="21" width="13.7265625" bestFit="1" customWidth="1"/>
    <col min="22" max="22" width="12.26953125" bestFit="1" customWidth="1"/>
    <col min="23" max="23" width="13.7265625" bestFit="1" customWidth="1"/>
    <col min="24" max="24" width="16.54296875" bestFit="1" customWidth="1"/>
    <col min="25" max="27" width="13.7265625" bestFit="1" customWidth="1"/>
    <col min="28" max="28" width="14.453125" bestFit="1" customWidth="1"/>
    <col min="29" max="29" width="9.7265625" bestFit="1" customWidth="1"/>
    <col min="31" max="31" width="12" customWidth="1"/>
    <col min="32" max="32" width="13.1796875" customWidth="1"/>
    <col min="33" max="33" width="15.453125" customWidth="1"/>
    <col min="34" max="34" width="16.453125" customWidth="1"/>
    <col min="35" max="35" width="16.54296875" bestFit="1" customWidth="1"/>
    <col min="42" max="42" width="10.1796875" customWidth="1"/>
    <col min="43" max="43" width="10.54296875" customWidth="1"/>
    <col min="44" max="44" width="13.1796875" customWidth="1"/>
    <col min="45" max="45" width="15" customWidth="1"/>
    <col min="48" max="48" width="9.81640625" bestFit="1" customWidth="1"/>
    <col min="53" max="53" width="14.453125" bestFit="1" customWidth="1"/>
    <col min="54" max="54" width="8.7265625" customWidth="1"/>
    <col min="55" max="55" width="12" customWidth="1"/>
    <col min="56" max="56" width="12.54296875" customWidth="1"/>
    <col min="57" max="57" width="12" customWidth="1"/>
    <col min="58" max="58" width="12.7265625" customWidth="1"/>
    <col min="59" max="59" width="12.54296875" customWidth="1"/>
    <col min="60" max="60" width="16.54296875" bestFit="1" customWidth="1"/>
  </cols>
  <sheetData>
    <row r="1" spans="1:27" x14ac:dyDescent="0.35">
      <c r="A1" s="171" t="s">
        <v>418</v>
      </c>
      <c r="B1" s="1"/>
      <c r="C1" s="1"/>
      <c r="D1" s="1"/>
      <c r="E1" s="1"/>
      <c r="F1" s="1"/>
      <c r="G1" s="1"/>
      <c r="H1" s="1"/>
      <c r="I1" s="1"/>
      <c r="J1" s="1"/>
      <c r="K1" s="1"/>
      <c r="L1" s="1"/>
      <c r="M1" s="1"/>
      <c r="N1" s="1"/>
      <c r="O1" s="1"/>
      <c r="P1" s="1"/>
      <c r="Q1" s="1"/>
      <c r="R1" s="1"/>
      <c r="S1" s="1"/>
      <c r="T1" s="1"/>
      <c r="U1" s="1"/>
      <c r="V1" s="1"/>
      <c r="W1" s="1"/>
      <c r="X1" s="1"/>
      <c r="Y1" s="1"/>
      <c r="Z1" s="1"/>
      <c r="AA1" s="1"/>
    </row>
    <row r="2" spans="1:27" x14ac:dyDescent="0.35">
      <c r="A2" s="171"/>
      <c r="B2" s="2" t="s">
        <v>0</v>
      </c>
      <c r="C2" s="2" t="s">
        <v>1</v>
      </c>
      <c r="D2" s="2" t="s">
        <v>2</v>
      </c>
      <c r="E2" s="2" t="s">
        <v>3</v>
      </c>
      <c r="F2" s="2" t="s">
        <v>4</v>
      </c>
      <c r="G2" s="2" t="s">
        <v>5</v>
      </c>
      <c r="H2" s="2" t="s">
        <v>6</v>
      </c>
      <c r="I2" s="2" t="s">
        <v>7</v>
      </c>
      <c r="J2" s="2" t="s">
        <v>8</v>
      </c>
      <c r="K2" s="2" t="s">
        <v>9</v>
      </c>
      <c r="L2" s="2" t="s">
        <v>10</v>
      </c>
      <c r="M2" s="2" t="s">
        <v>11</v>
      </c>
      <c r="N2" s="2" t="s">
        <v>12</v>
      </c>
      <c r="O2" s="2" t="s">
        <v>13</v>
      </c>
      <c r="P2" s="2" t="s">
        <v>14</v>
      </c>
      <c r="Q2" s="2" t="s">
        <v>15</v>
      </c>
      <c r="R2" s="2" t="s">
        <v>16</v>
      </c>
      <c r="S2" s="2" t="s">
        <v>17</v>
      </c>
      <c r="T2" s="2" t="s">
        <v>18</v>
      </c>
      <c r="U2" s="2" t="s">
        <v>19</v>
      </c>
      <c r="V2" s="2" t="s">
        <v>20</v>
      </c>
      <c r="W2" s="2" t="s">
        <v>21</v>
      </c>
      <c r="X2" s="2" t="s">
        <v>22</v>
      </c>
      <c r="Y2" s="2" t="s">
        <v>23</v>
      </c>
      <c r="Z2" s="2" t="s">
        <v>24</v>
      </c>
      <c r="AA2" s="2" t="s">
        <v>25</v>
      </c>
    </row>
    <row r="3" spans="1:27" ht="15" x14ac:dyDescent="0.25">
      <c r="A3" s="3">
        <v>1</v>
      </c>
      <c r="B3" s="4">
        <v>9</v>
      </c>
      <c r="C3" s="49">
        <v>9</v>
      </c>
      <c r="D3" s="4">
        <v>11</v>
      </c>
      <c r="E3" s="49">
        <v>11</v>
      </c>
      <c r="F3" s="4">
        <v>6</v>
      </c>
      <c r="G3" s="49">
        <v>6</v>
      </c>
      <c r="H3" s="4">
        <v>9</v>
      </c>
      <c r="I3" s="49">
        <v>9</v>
      </c>
      <c r="J3" s="4">
        <v>8</v>
      </c>
      <c r="K3" s="49">
        <v>8</v>
      </c>
      <c r="L3" s="4">
        <v>4</v>
      </c>
      <c r="M3" s="49">
        <v>4</v>
      </c>
      <c r="N3" s="4">
        <v>30</v>
      </c>
      <c r="O3" s="49">
        <v>30</v>
      </c>
      <c r="P3" s="4">
        <v>39</v>
      </c>
      <c r="Q3" s="49">
        <v>39</v>
      </c>
      <c r="R3" s="4">
        <v>35</v>
      </c>
      <c r="S3" s="49">
        <v>35</v>
      </c>
      <c r="T3" s="4">
        <v>31</v>
      </c>
      <c r="U3" s="49">
        <v>31</v>
      </c>
      <c r="V3" s="4">
        <v>37</v>
      </c>
      <c r="W3" s="49">
        <v>37</v>
      </c>
      <c r="X3" s="4">
        <v>37</v>
      </c>
      <c r="Y3" s="49">
        <v>37</v>
      </c>
      <c r="Z3" s="4">
        <v>32</v>
      </c>
      <c r="AA3" s="49">
        <v>32</v>
      </c>
    </row>
    <row r="4" spans="1:27" ht="15" x14ac:dyDescent="0.25">
      <c r="A4" s="3">
        <v>2</v>
      </c>
      <c r="B4" s="4">
        <v>0</v>
      </c>
      <c r="C4" s="49">
        <v>0</v>
      </c>
      <c r="D4" s="4">
        <v>0</v>
      </c>
      <c r="E4" s="49">
        <v>0</v>
      </c>
      <c r="F4" s="4">
        <v>0</v>
      </c>
      <c r="G4" s="49">
        <v>0</v>
      </c>
      <c r="H4" s="4">
        <v>0</v>
      </c>
      <c r="I4" s="49">
        <v>0</v>
      </c>
      <c r="J4" s="4">
        <v>0</v>
      </c>
      <c r="K4" s="49">
        <v>0</v>
      </c>
      <c r="L4" s="4">
        <v>0</v>
      </c>
      <c r="M4" s="49">
        <v>0</v>
      </c>
      <c r="N4" s="4">
        <v>1</v>
      </c>
      <c r="O4" s="49">
        <v>0</v>
      </c>
      <c r="P4" s="4">
        <v>0</v>
      </c>
      <c r="Q4" s="49">
        <v>0</v>
      </c>
      <c r="R4" s="4">
        <v>0</v>
      </c>
      <c r="S4" s="49">
        <v>1</v>
      </c>
      <c r="T4" s="4">
        <v>1</v>
      </c>
      <c r="U4" s="49">
        <v>0</v>
      </c>
      <c r="V4" s="4">
        <v>0</v>
      </c>
      <c r="W4" s="49">
        <v>0</v>
      </c>
      <c r="X4" s="4">
        <v>0</v>
      </c>
      <c r="Y4" s="49">
        <v>0</v>
      </c>
      <c r="Z4" s="4">
        <v>0</v>
      </c>
      <c r="AA4" s="49">
        <v>0</v>
      </c>
    </row>
    <row r="5" spans="1:27" ht="15" x14ac:dyDescent="0.25">
      <c r="A5" s="3">
        <v>3</v>
      </c>
      <c r="B5" s="4">
        <v>0</v>
      </c>
      <c r="C5" s="49">
        <v>0</v>
      </c>
      <c r="D5" s="4">
        <v>0</v>
      </c>
      <c r="E5" s="49">
        <v>0</v>
      </c>
      <c r="F5" s="4">
        <v>1</v>
      </c>
      <c r="G5" s="49">
        <v>0</v>
      </c>
      <c r="H5" s="4">
        <v>0</v>
      </c>
      <c r="I5" s="49">
        <v>0</v>
      </c>
      <c r="J5" s="4">
        <v>0</v>
      </c>
      <c r="K5" s="49">
        <v>0</v>
      </c>
      <c r="L5" s="4">
        <v>0</v>
      </c>
      <c r="M5" s="49">
        <v>0</v>
      </c>
      <c r="N5" s="4">
        <v>1</v>
      </c>
      <c r="O5" s="49">
        <v>0</v>
      </c>
      <c r="P5" s="4">
        <v>0</v>
      </c>
      <c r="Q5" s="49">
        <v>0</v>
      </c>
      <c r="R5" s="4">
        <v>0</v>
      </c>
      <c r="S5" s="49">
        <v>0</v>
      </c>
      <c r="T5" s="4">
        <v>1</v>
      </c>
      <c r="U5" s="49">
        <v>1</v>
      </c>
      <c r="V5" s="4">
        <v>1</v>
      </c>
      <c r="W5" s="49">
        <v>0</v>
      </c>
      <c r="X5" s="4">
        <v>0</v>
      </c>
      <c r="Y5" s="49">
        <v>1</v>
      </c>
      <c r="Z5" s="4">
        <v>0</v>
      </c>
      <c r="AA5" s="49">
        <v>1</v>
      </c>
    </row>
    <row r="6" spans="1:27" ht="15" x14ac:dyDescent="0.25">
      <c r="A6" s="3">
        <v>4</v>
      </c>
      <c r="B6" s="4">
        <v>1</v>
      </c>
      <c r="C6" s="49">
        <v>0</v>
      </c>
      <c r="D6" s="4">
        <v>1</v>
      </c>
      <c r="E6" s="49">
        <v>0</v>
      </c>
      <c r="F6" s="4">
        <v>1</v>
      </c>
      <c r="G6" s="49">
        <v>0</v>
      </c>
      <c r="H6" s="4">
        <v>0</v>
      </c>
      <c r="I6" s="49">
        <v>1</v>
      </c>
      <c r="J6" s="4">
        <v>0</v>
      </c>
      <c r="K6" s="49">
        <v>2</v>
      </c>
      <c r="L6" s="4">
        <v>1</v>
      </c>
      <c r="M6" s="49">
        <v>0</v>
      </c>
      <c r="N6" s="4">
        <v>1</v>
      </c>
      <c r="O6" s="49">
        <v>0</v>
      </c>
      <c r="P6" s="4">
        <v>1</v>
      </c>
      <c r="Q6" s="49">
        <v>0</v>
      </c>
      <c r="R6" s="4">
        <v>0</v>
      </c>
      <c r="S6" s="49">
        <v>1</v>
      </c>
      <c r="T6" s="4">
        <v>0</v>
      </c>
      <c r="U6" s="49">
        <v>1</v>
      </c>
      <c r="V6" s="4">
        <v>2</v>
      </c>
      <c r="W6" s="49">
        <v>0</v>
      </c>
      <c r="X6" s="4">
        <v>1</v>
      </c>
      <c r="Y6" s="49">
        <v>1</v>
      </c>
      <c r="Z6" s="4">
        <v>0</v>
      </c>
      <c r="AA6" s="49">
        <v>0</v>
      </c>
    </row>
    <row r="7" spans="1:27" ht="15" x14ac:dyDescent="0.25">
      <c r="A7" s="3">
        <v>5</v>
      </c>
      <c r="B7" s="4">
        <v>1</v>
      </c>
      <c r="C7" s="49">
        <v>0</v>
      </c>
      <c r="D7" s="4">
        <v>3</v>
      </c>
      <c r="E7" s="49">
        <v>0</v>
      </c>
      <c r="F7" s="4">
        <v>2</v>
      </c>
      <c r="G7" s="49">
        <v>0</v>
      </c>
      <c r="H7" s="4">
        <v>0</v>
      </c>
      <c r="I7" s="49">
        <v>2</v>
      </c>
      <c r="J7" s="4">
        <v>1</v>
      </c>
      <c r="K7" s="49">
        <v>1</v>
      </c>
      <c r="L7" s="4">
        <v>2</v>
      </c>
      <c r="M7" s="49">
        <v>2</v>
      </c>
      <c r="N7" s="4">
        <v>2</v>
      </c>
      <c r="O7" s="49">
        <v>2</v>
      </c>
      <c r="P7" s="4">
        <v>2</v>
      </c>
      <c r="Q7" s="49">
        <v>0</v>
      </c>
      <c r="R7" s="4">
        <v>1</v>
      </c>
      <c r="S7" s="49">
        <v>0</v>
      </c>
      <c r="T7" s="4">
        <v>0</v>
      </c>
      <c r="U7" s="49">
        <v>2</v>
      </c>
      <c r="V7" s="4">
        <v>1</v>
      </c>
      <c r="W7" s="49">
        <v>0</v>
      </c>
      <c r="X7" s="4">
        <v>1</v>
      </c>
      <c r="Y7" s="49">
        <v>2</v>
      </c>
      <c r="Z7" s="4">
        <v>0</v>
      </c>
      <c r="AA7" s="49">
        <v>3</v>
      </c>
    </row>
    <row r="8" spans="1:27" ht="15" x14ac:dyDescent="0.25">
      <c r="A8" s="3">
        <v>6</v>
      </c>
      <c r="B8" s="4">
        <v>2</v>
      </c>
      <c r="C8" s="49">
        <v>0</v>
      </c>
      <c r="D8" s="4">
        <v>1</v>
      </c>
      <c r="E8" s="49">
        <v>0</v>
      </c>
      <c r="F8" s="4">
        <v>1</v>
      </c>
      <c r="G8" s="49">
        <v>0</v>
      </c>
      <c r="H8" s="4">
        <v>1</v>
      </c>
      <c r="I8" s="49">
        <v>2</v>
      </c>
      <c r="J8" s="4">
        <v>1</v>
      </c>
      <c r="K8" s="49">
        <v>1</v>
      </c>
      <c r="L8" s="4">
        <v>2</v>
      </c>
      <c r="M8" s="49">
        <v>0</v>
      </c>
      <c r="N8" s="4">
        <v>5</v>
      </c>
      <c r="O8" s="49">
        <v>0</v>
      </c>
      <c r="P8" s="4">
        <v>3</v>
      </c>
      <c r="Q8" s="49">
        <v>0</v>
      </c>
      <c r="R8" s="4">
        <v>3</v>
      </c>
      <c r="S8" s="49">
        <v>0</v>
      </c>
      <c r="T8" s="4">
        <v>0</v>
      </c>
      <c r="U8" s="49">
        <v>2</v>
      </c>
      <c r="V8" s="4">
        <v>2</v>
      </c>
      <c r="W8" s="49">
        <v>0</v>
      </c>
      <c r="X8" s="4">
        <v>4</v>
      </c>
      <c r="Y8" s="49">
        <v>2</v>
      </c>
      <c r="Z8" s="4">
        <v>4</v>
      </c>
      <c r="AA8" s="49">
        <v>5</v>
      </c>
    </row>
    <row r="9" spans="1:27" ht="15" x14ac:dyDescent="0.25">
      <c r="A9" s="3">
        <v>7</v>
      </c>
      <c r="B9" s="4">
        <v>6</v>
      </c>
      <c r="C9" s="49">
        <v>0</v>
      </c>
      <c r="D9" s="4">
        <v>4</v>
      </c>
      <c r="E9" s="49">
        <v>0</v>
      </c>
      <c r="F9" s="4">
        <v>4</v>
      </c>
      <c r="G9" s="49">
        <v>0</v>
      </c>
      <c r="H9" s="4">
        <v>2</v>
      </c>
      <c r="I9" s="49">
        <v>3</v>
      </c>
      <c r="J9" s="4">
        <v>2</v>
      </c>
      <c r="K9" s="49">
        <v>2</v>
      </c>
      <c r="L9" s="4">
        <v>2</v>
      </c>
      <c r="M9" s="49">
        <v>2</v>
      </c>
      <c r="N9" s="4">
        <v>3</v>
      </c>
      <c r="O9" s="49">
        <v>3</v>
      </c>
      <c r="P9" s="4">
        <v>3</v>
      </c>
      <c r="Q9" s="49">
        <v>3</v>
      </c>
      <c r="R9" s="4">
        <v>3</v>
      </c>
      <c r="S9" s="49">
        <v>5</v>
      </c>
      <c r="T9" s="4">
        <v>3</v>
      </c>
      <c r="U9" s="49">
        <v>5</v>
      </c>
      <c r="V9" s="4">
        <v>10</v>
      </c>
      <c r="W9" s="49">
        <v>1</v>
      </c>
      <c r="X9" s="4">
        <v>5</v>
      </c>
      <c r="Y9" s="49">
        <v>2</v>
      </c>
      <c r="Z9" s="4">
        <v>2</v>
      </c>
      <c r="AA9" s="49">
        <v>6</v>
      </c>
    </row>
    <row r="10" spans="1:27" ht="15" x14ac:dyDescent="0.25">
      <c r="A10" s="3">
        <v>8</v>
      </c>
      <c r="B10" s="4">
        <v>1</v>
      </c>
      <c r="C10" s="49">
        <v>0</v>
      </c>
      <c r="D10" s="4">
        <v>0</v>
      </c>
      <c r="E10" s="49">
        <v>0</v>
      </c>
      <c r="F10" s="4">
        <v>5</v>
      </c>
      <c r="G10" s="49">
        <v>0</v>
      </c>
      <c r="H10" s="4">
        <v>1</v>
      </c>
      <c r="I10" s="49">
        <v>0</v>
      </c>
      <c r="J10" s="4">
        <v>3</v>
      </c>
      <c r="K10" s="49">
        <v>0</v>
      </c>
      <c r="L10" s="4">
        <v>5</v>
      </c>
      <c r="M10" s="49">
        <v>0</v>
      </c>
      <c r="N10" s="4">
        <v>3</v>
      </c>
      <c r="O10" s="49">
        <v>1</v>
      </c>
      <c r="P10" s="4">
        <v>2</v>
      </c>
      <c r="Q10" s="49">
        <v>3</v>
      </c>
      <c r="R10" s="4">
        <v>2</v>
      </c>
      <c r="S10" s="49">
        <v>3</v>
      </c>
      <c r="T10" s="4">
        <v>3</v>
      </c>
      <c r="U10" s="49">
        <v>2</v>
      </c>
      <c r="V10" s="4">
        <v>5</v>
      </c>
      <c r="W10" s="49">
        <v>1</v>
      </c>
      <c r="X10" s="4">
        <v>1</v>
      </c>
      <c r="Y10" s="49">
        <v>0</v>
      </c>
      <c r="Z10" s="4">
        <v>0</v>
      </c>
      <c r="AA10" s="49">
        <v>5</v>
      </c>
    </row>
    <row r="11" spans="1:27" ht="15" x14ac:dyDescent="0.25">
      <c r="A11" s="3">
        <v>9</v>
      </c>
      <c r="B11" s="4">
        <v>1</v>
      </c>
      <c r="C11" s="49">
        <v>0</v>
      </c>
      <c r="D11" s="4">
        <v>0</v>
      </c>
      <c r="E11" s="49">
        <v>1</v>
      </c>
      <c r="F11" s="4">
        <v>1</v>
      </c>
      <c r="G11" s="49">
        <v>0</v>
      </c>
      <c r="H11" s="4">
        <v>0</v>
      </c>
      <c r="I11" s="49">
        <v>0</v>
      </c>
      <c r="J11" s="4">
        <v>0</v>
      </c>
      <c r="K11" s="49">
        <v>0</v>
      </c>
      <c r="L11" s="4">
        <v>1</v>
      </c>
      <c r="M11" s="49">
        <v>0</v>
      </c>
      <c r="N11" s="4">
        <v>4</v>
      </c>
      <c r="O11" s="49">
        <v>1</v>
      </c>
      <c r="P11" s="4">
        <v>1</v>
      </c>
      <c r="Q11" s="49">
        <v>0</v>
      </c>
      <c r="R11" s="4">
        <v>2</v>
      </c>
      <c r="S11" s="49">
        <v>1</v>
      </c>
      <c r="T11" s="4">
        <v>3</v>
      </c>
      <c r="U11" s="49">
        <v>2</v>
      </c>
      <c r="V11" s="4">
        <v>1</v>
      </c>
      <c r="W11" s="49">
        <v>0</v>
      </c>
      <c r="X11" s="4">
        <v>0</v>
      </c>
      <c r="Y11" s="49">
        <v>4</v>
      </c>
      <c r="Z11" s="4">
        <v>0</v>
      </c>
      <c r="AA11" s="49">
        <v>3</v>
      </c>
    </row>
    <row r="12" spans="1:27" ht="15" x14ac:dyDescent="0.25">
      <c r="A12" s="5">
        <v>0.5</v>
      </c>
      <c r="B12" s="4">
        <v>0</v>
      </c>
      <c r="C12" s="49">
        <v>0</v>
      </c>
      <c r="D12" s="4">
        <v>0</v>
      </c>
      <c r="E12" s="49">
        <v>0</v>
      </c>
      <c r="F12" s="4">
        <v>0</v>
      </c>
      <c r="G12" s="49">
        <v>0</v>
      </c>
      <c r="H12" s="4">
        <v>0</v>
      </c>
      <c r="I12" s="49">
        <v>0</v>
      </c>
      <c r="J12" s="4">
        <v>0</v>
      </c>
      <c r="K12" s="49">
        <v>0</v>
      </c>
      <c r="L12" s="4">
        <v>0</v>
      </c>
      <c r="M12" s="49">
        <v>0</v>
      </c>
      <c r="N12" s="4">
        <v>0</v>
      </c>
      <c r="O12" s="49">
        <v>1</v>
      </c>
      <c r="P12" s="4">
        <v>0</v>
      </c>
      <c r="Q12" s="49">
        <v>0</v>
      </c>
      <c r="R12" s="4">
        <v>1</v>
      </c>
      <c r="S12" s="49">
        <v>0</v>
      </c>
      <c r="T12" s="4">
        <v>0</v>
      </c>
      <c r="U12" s="49">
        <v>1</v>
      </c>
      <c r="V12" s="4">
        <v>0</v>
      </c>
      <c r="W12" s="49">
        <v>0</v>
      </c>
      <c r="X12" s="4">
        <v>0</v>
      </c>
      <c r="Y12" s="49">
        <v>0</v>
      </c>
      <c r="Z12" s="4">
        <v>0</v>
      </c>
      <c r="AA12" s="49">
        <v>0</v>
      </c>
    </row>
    <row r="13" spans="1:27" ht="15" x14ac:dyDescent="0.25">
      <c r="A13" s="5">
        <v>0.33333333333333331</v>
      </c>
      <c r="B13" s="4">
        <v>0</v>
      </c>
      <c r="C13" s="49">
        <v>0</v>
      </c>
      <c r="D13" s="4">
        <v>0</v>
      </c>
      <c r="E13" s="49">
        <v>0</v>
      </c>
      <c r="F13" s="4">
        <v>0</v>
      </c>
      <c r="G13" s="49">
        <v>1</v>
      </c>
      <c r="H13" s="4">
        <v>0</v>
      </c>
      <c r="I13" s="49">
        <v>0</v>
      </c>
      <c r="J13" s="4">
        <v>0</v>
      </c>
      <c r="K13" s="49">
        <v>0</v>
      </c>
      <c r="L13" s="4">
        <v>0</v>
      </c>
      <c r="M13" s="49">
        <v>0</v>
      </c>
      <c r="N13" s="4">
        <v>0</v>
      </c>
      <c r="O13" s="49">
        <v>1</v>
      </c>
      <c r="P13" s="4">
        <v>0</v>
      </c>
      <c r="Q13" s="49">
        <v>0</v>
      </c>
      <c r="R13" s="4">
        <v>0</v>
      </c>
      <c r="S13" s="49">
        <v>0</v>
      </c>
      <c r="T13" s="4">
        <v>1</v>
      </c>
      <c r="U13" s="49">
        <v>1</v>
      </c>
      <c r="V13" s="4">
        <v>0</v>
      </c>
      <c r="W13" s="49">
        <v>1</v>
      </c>
      <c r="X13" s="4">
        <v>1</v>
      </c>
      <c r="Y13" s="49">
        <v>0</v>
      </c>
      <c r="Z13" s="4">
        <v>1</v>
      </c>
      <c r="AA13" s="49">
        <v>0</v>
      </c>
    </row>
    <row r="14" spans="1:27" ht="15" x14ac:dyDescent="0.25">
      <c r="A14" s="5">
        <v>0.25</v>
      </c>
      <c r="B14" s="4">
        <v>0</v>
      </c>
      <c r="C14" s="49">
        <v>1</v>
      </c>
      <c r="D14" s="4">
        <v>0</v>
      </c>
      <c r="E14" s="49">
        <v>1</v>
      </c>
      <c r="F14" s="4">
        <v>0</v>
      </c>
      <c r="G14" s="49">
        <v>1</v>
      </c>
      <c r="H14" s="4">
        <v>1</v>
      </c>
      <c r="I14" s="49">
        <v>0</v>
      </c>
      <c r="J14" s="4">
        <v>2</v>
      </c>
      <c r="K14" s="49">
        <v>0</v>
      </c>
      <c r="L14" s="4">
        <v>0</v>
      </c>
      <c r="M14" s="49">
        <v>1</v>
      </c>
      <c r="N14" s="4">
        <v>0</v>
      </c>
      <c r="O14" s="49">
        <v>1</v>
      </c>
      <c r="P14" s="4">
        <v>0</v>
      </c>
      <c r="Q14" s="49">
        <v>1</v>
      </c>
      <c r="R14" s="4">
        <v>1</v>
      </c>
      <c r="S14" s="49">
        <v>0</v>
      </c>
      <c r="T14" s="4">
        <v>1</v>
      </c>
      <c r="U14" s="49">
        <v>0</v>
      </c>
      <c r="V14" s="4">
        <v>0</v>
      </c>
      <c r="W14" s="49">
        <v>2</v>
      </c>
      <c r="X14" s="4">
        <v>1</v>
      </c>
      <c r="Y14" s="49">
        <v>1</v>
      </c>
      <c r="Z14" s="4">
        <v>0</v>
      </c>
      <c r="AA14" s="49">
        <v>0</v>
      </c>
    </row>
    <row r="15" spans="1:27" ht="15" x14ac:dyDescent="0.25">
      <c r="A15" s="5">
        <v>0.2</v>
      </c>
      <c r="B15" s="4">
        <v>0</v>
      </c>
      <c r="C15" s="49">
        <v>1</v>
      </c>
      <c r="D15" s="4">
        <v>0</v>
      </c>
      <c r="E15" s="49">
        <v>3</v>
      </c>
      <c r="F15" s="4">
        <v>0</v>
      </c>
      <c r="G15" s="49">
        <v>2</v>
      </c>
      <c r="H15" s="4">
        <v>2</v>
      </c>
      <c r="I15" s="49">
        <v>0</v>
      </c>
      <c r="J15" s="4">
        <v>1</v>
      </c>
      <c r="K15" s="49">
        <v>1</v>
      </c>
      <c r="L15" s="4">
        <v>2</v>
      </c>
      <c r="M15" s="49">
        <v>2</v>
      </c>
      <c r="N15" s="4">
        <v>2</v>
      </c>
      <c r="O15" s="49">
        <v>2</v>
      </c>
      <c r="P15" s="4">
        <v>0</v>
      </c>
      <c r="Q15" s="49">
        <v>2</v>
      </c>
      <c r="R15" s="4">
        <v>0</v>
      </c>
      <c r="S15" s="49">
        <v>1</v>
      </c>
      <c r="T15" s="4">
        <v>2</v>
      </c>
      <c r="U15" s="49">
        <v>0</v>
      </c>
      <c r="V15" s="4">
        <v>0</v>
      </c>
      <c r="W15" s="49">
        <v>1</v>
      </c>
      <c r="X15" s="4">
        <v>2</v>
      </c>
      <c r="Y15" s="49">
        <v>1</v>
      </c>
      <c r="Z15" s="4">
        <v>3</v>
      </c>
      <c r="AA15" s="49">
        <v>0</v>
      </c>
    </row>
    <row r="16" spans="1:27" ht="15" x14ac:dyDescent="0.25">
      <c r="A16" s="5">
        <v>0.16666666666666666</v>
      </c>
      <c r="B16" s="4">
        <v>0</v>
      </c>
      <c r="C16" s="49">
        <v>2</v>
      </c>
      <c r="D16" s="4">
        <v>0</v>
      </c>
      <c r="E16" s="49">
        <v>1</v>
      </c>
      <c r="F16" s="4">
        <v>0</v>
      </c>
      <c r="G16" s="49">
        <v>1</v>
      </c>
      <c r="H16" s="4">
        <v>2</v>
      </c>
      <c r="I16" s="49">
        <v>1</v>
      </c>
      <c r="J16" s="4">
        <v>1</v>
      </c>
      <c r="K16" s="49">
        <v>1</v>
      </c>
      <c r="L16" s="4">
        <v>0</v>
      </c>
      <c r="M16" s="49">
        <v>2</v>
      </c>
      <c r="N16" s="4">
        <v>0</v>
      </c>
      <c r="O16" s="49">
        <v>5</v>
      </c>
      <c r="P16" s="4">
        <v>0</v>
      </c>
      <c r="Q16" s="49">
        <v>3</v>
      </c>
      <c r="R16" s="4">
        <v>0</v>
      </c>
      <c r="S16" s="49">
        <v>3</v>
      </c>
      <c r="T16" s="4">
        <v>2</v>
      </c>
      <c r="U16" s="49">
        <v>0</v>
      </c>
      <c r="V16" s="4">
        <v>0</v>
      </c>
      <c r="W16" s="49">
        <v>2</v>
      </c>
      <c r="X16" s="4">
        <v>2</v>
      </c>
      <c r="Y16" s="49">
        <v>4</v>
      </c>
      <c r="Z16" s="4">
        <v>5</v>
      </c>
      <c r="AA16" s="49">
        <v>4</v>
      </c>
    </row>
    <row r="17" spans="1:80" ht="15" x14ac:dyDescent="0.25">
      <c r="A17" s="5">
        <v>0.14285714285714285</v>
      </c>
      <c r="B17" s="4">
        <v>0</v>
      </c>
      <c r="C17" s="49">
        <v>6</v>
      </c>
      <c r="D17" s="4">
        <v>0</v>
      </c>
      <c r="E17" s="49">
        <v>4</v>
      </c>
      <c r="F17" s="4">
        <v>0</v>
      </c>
      <c r="G17" s="49">
        <v>4</v>
      </c>
      <c r="H17" s="4">
        <v>3</v>
      </c>
      <c r="I17" s="49">
        <v>2</v>
      </c>
      <c r="J17" s="4">
        <v>2</v>
      </c>
      <c r="K17" s="49">
        <v>2</v>
      </c>
      <c r="L17" s="4">
        <v>2</v>
      </c>
      <c r="M17" s="49">
        <v>2</v>
      </c>
      <c r="N17" s="4">
        <v>3</v>
      </c>
      <c r="O17" s="49">
        <v>3</v>
      </c>
      <c r="P17" s="4">
        <v>3</v>
      </c>
      <c r="Q17" s="49">
        <v>3</v>
      </c>
      <c r="R17" s="4">
        <v>5</v>
      </c>
      <c r="S17" s="49">
        <v>3</v>
      </c>
      <c r="T17" s="4">
        <v>5</v>
      </c>
      <c r="U17" s="49">
        <v>3</v>
      </c>
      <c r="V17" s="4">
        <v>1</v>
      </c>
      <c r="W17" s="49">
        <v>10</v>
      </c>
      <c r="X17" s="4">
        <v>2</v>
      </c>
      <c r="Y17" s="49">
        <v>5</v>
      </c>
      <c r="Z17" s="4">
        <v>6</v>
      </c>
      <c r="AA17" s="49">
        <v>2</v>
      </c>
    </row>
    <row r="18" spans="1:80" ht="15" x14ac:dyDescent="0.25">
      <c r="A18" s="5">
        <v>0.125</v>
      </c>
      <c r="B18" s="4">
        <v>0</v>
      </c>
      <c r="C18" s="49">
        <v>1</v>
      </c>
      <c r="D18" s="4">
        <v>0</v>
      </c>
      <c r="E18" s="49">
        <v>0</v>
      </c>
      <c r="F18" s="4">
        <v>0</v>
      </c>
      <c r="G18" s="49">
        <v>5</v>
      </c>
      <c r="H18" s="4">
        <v>0</v>
      </c>
      <c r="I18" s="49">
        <v>1</v>
      </c>
      <c r="J18" s="4">
        <v>0</v>
      </c>
      <c r="K18" s="49">
        <v>3</v>
      </c>
      <c r="L18" s="4">
        <v>0</v>
      </c>
      <c r="M18" s="49">
        <v>5</v>
      </c>
      <c r="N18" s="4">
        <v>1</v>
      </c>
      <c r="O18" s="49">
        <v>3</v>
      </c>
      <c r="P18" s="4">
        <v>3</v>
      </c>
      <c r="Q18" s="49">
        <v>2</v>
      </c>
      <c r="R18" s="4">
        <v>3</v>
      </c>
      <c r="S18" s="49">
        <v>2</v>
      </c>
      <c r="T18" s="4">
        <v>2</v>
      </c>
      <c r="U18" s="49">
        <v>3</v>
      </c>
      <c r="V18" s="4">
        <v>1</v>
      </c>
      <c r="W18" s="49">
        <v>5</v>
      </c>
      <c r="X18" s="4">
        <v>0</v>
      </c>
      <c r="Y18" s="49">
        <v>1</v>
      </c>
      <c r="Z18" s="4">
        <v>5</v>
      </c>
      <c r="AA18" s="49">
        <v>0</v>
      </c>
    </row>
    <row r="19" spans="1:80" ht="15.75" thickBot="1" x14ac:dyDescent="0.3">
      <c r="A19" s="6">
        <v>0.1111111111111111</v>
      </c>
      <c r="B19" s="7">
        <v>0</v>
      </c>
      <c r="C19" s="50">
        <v>1</v>
      </c>
      <c r="D19" s="7">
        <v>1</v>
      </c>
      <c r="E19" s="50">
        <v>0</v>
      </c>
      <c r="F19" s="7">
        <v>0</v>
      </c>
      <c r="G19" s="50">
        <v>1</v>
      </c>
      <c r="H19" s="7">
        <v>0</v>
      </c>
      <c r="I19" s="50">
        <v>0</v>
      </c>
      <c r="J19" s="7">
        <v>0</v>
      </c>
      <c r="K19" s="50">
        <v>0</v>
      </c>
      <c r="L19" s="7">
        <v>0</v>
      </c>
      <c r="M19" s="50">
        <v>1</v>
      </c>
      <c r="N19" s="7">
        <v>1</v>
      </c>
      <c r="O19" s="50">
        <v>4</v>
      </c>
      <c r="P19" s="7">
        <v>0</v>
      </c>
      <c r="Q19" s="50">
        <v>1</v>
      </c>
      <c r="R19" s="7">
        <v>1</v>
      </c>
      <c r="S19" s="50">
        <v>2</v>
      </c>
      <c r="T19" s="7">
        <v>2</v>
      </c>
      <c r="U19" s="50">
        <v>3</v>
      </c>
      <c r="V19" s="7">
        <v>0</v>
      </c>
      <c r="W19" s="50">
        <v>1</v>
      </c>
      <c r="X19" s="7">
        <v>4</v>
      </c>
      <c r="Y19" s="50">
        <v>0</v>
      </c>
      <c r="Z19" s="7">
        <v>3</v>
      </c>
      <c r="AA19" s="50">
        <v>0</v>
      </c>
    </row>
    <row r="20" spans="1:80" ht="15" x14ac:dyDescent="0.25">
      <c r="A20" s="8" t="s">
        <v>58</v>
      </c>
      <c r="B20" s="9">
        <f>SUM(B3:B19)</f>
        <v>21</v>
      </c>
      <c r="C20" s="51">
        <f t="shared" ref="C20:AA20" si="0">SUM(C3:C19)</f>
        <v>21</v>
      </c>
      <c r="D20" s="9">
        <f t="shared" si="0"/>
        <v>21</v>
      </c>
      <c r="E20" s="51">
        <f t="shared" si="0"/>
        <v>21</v>
      </c>
      <c r="F20" s="9">
        <f t="shared" si="0"/>
        <v>21</v>
      </c>
      <c r="G20" s="51">
        <f t="shared" si="0"/>
        <v>21</v>
      </c>
      <c r="H20" s="9">
        <f t="shared" si="0"/>
        <v>21</v>
      </c>
      <c r="I20" s="51">
        <f t="shared" si="0"/>
        <v>21</v>
      </c>
      <c r="J20" s="9">
        <f t="shared" si="0"/>
        <v>21</v>
      </c>
      <c r="K20" s="51">
        <f t="shared" si="0"/>
        <v>21</v>
      </c>
      <c r="L20" s="9">
        <f t="shared" si="0"/>
        <v>21</v>
      </c>
      <c r="M20" s="51">
        <f t="shared" si="0"/>
        <v>21</v>
      </c>
      <c r="N20" s="9">
        <f t="shared" si="0"/>
        <v>57</v>
      </c>
      <c r="O20" s="51">
        <f t="shared" si="0"/>
        <v>57</v>
      </c>
      <c r="P20" s="9">
        <f t="shared" si="0"/>
        <v>57</v>
      </c>
      <c r="Q20" s="51">
        <f t="shared" si="0"/>
        <v>57</v>
      </c>
      <c r="R20" s="9">
        <f t="shared" si="0"/>
        <v>57</v>
      </c>
      <c r="S20" s="51">
        <f t="shared" si="0"/>
        <v>57</v>
      </c>
      <c r="T20" s="9">
        <f t="shared" si="0"/>
        <v>57</v>
      </c>
      <c r="U20" s="51">
        <f t="shared" si="0"/>
        <v>57</v>
      </c>
      <c r="V20" s="9">
        <f t="shared" si="0"/>
        <v>61</v>
      </c>
      <c r="W20" s="51">
        <f t="shared" si="0"/>
        <v>61</v>
      </c>
      <c r="X20" s="9">
        <f t="shared" si="0"/>
        <v>61</v>
      </c>
      <c r="Y20" s="51">
        <f t="shared" si="0"/>
        <v>61</v>
      </c>
      <c r="Z20" s="9">
        <f t="shared" si="0"/>
        <v>61</v>
      </c>
      <c r="AA20" s="51">
        <f t="shared" si="0"/>
        <v>61</v>
      </c>
      <c r="AB20" s="179" t="s">
        <v>347</v>
      </c>
      <c r="AC20" s="180"/>
    </row>
    <row r="21" spans="1:80" ht="15" x14ac:dyDescent="0.25">
      <c r="A21" s="10" t="s">
        <v>417</v>
      </c>
      <c r="B21" s="20">
        <v>2.9239129560044272</v>
      </c>
      <c r="C21" s="52">
        <v>0.34200744517597248</v>
      </c>
      <c r="D21" s="20">
        <v>1.9103288669431955</v>
      </c>
      <c r="E21" s="52">
        <v>0.52347007748469276</v>
      </c>
      <c r="F21" s="20">
        <v>3.7709048718062608</v>
      </c>
      <c r="G21" s="52">
        <v>0.26518833913755047</v>
      </c>
      <c r="H21" s="20">
        <v>0.74211054819727129</v>
      </c>
      <c r="I21" s="52">
        <v>1.3475081339689776</v>
      </c>
      <c r="J21" s="20">
        <v>1.1794344488973643</v>
      </c>
      <c r="K21" s="52">
        <v>0.84786399187753514</v>
      </c>
      <c r="L21" s="20">
        <v>2.3080260765630958</v>
      </c>
      <c r="M21" s="52">
        <v>0.43327066801996866</v>
      </c>
      <c r="N21" s="20">
        <v>1.4941141262839088</v>
      </c>
      <c r="O21" s="52">
        <v>0.66929291572067084</v>
      </c>
      <c r="P21" s="20">
        <v>1.1938244273758731</v>
      </c>
      <c r="Q21" s="52">
        <v>0.8376441100288794</v>
      </c>
      <c r="R21" s="20">
        <v>1.0200445187838527</v>
      </c>
      <c r="S21" s="52">
        <v>0.98034936866505518</v>
      </c>
      <c r="T21" s="20">
        <v>0.88271838874521447</v>
      </c>
      <c r="U21" s="52">
        <v>1.1328641305654701</v>
      </c>
      <c r="V21" s="20">
        <v>1.8368848980034473</v>
      </c>
      <c r="W21" s="52">
        <v>0.54439992461526743</v>
      </c>
      <c r="X21" s="20">
        <v>1.0000613529779971</v>
      </c>
      <c r="Y21" s="52">
        <v>0.99993865078595967</v>
      </c>
      <c r="Z21" s="20">
        <v>0.58705148963099951</v>
      </c>
      <c r="AA21" s="52">
        <v>1.7034280938943971</v>
      </c>
    </row>
    <row r="22" spans="1:80" x14ac:dyDescent="0.35">
      <c r="A22" s="59" t="s">
        <v>419</v>
      </c>
      <c r="B22" s="64">
        <v>0.87374651449811913</v>
      </c>
      <c r="C22" s="52">
        <v>0.87374651449811913</v>
      </c>
      <c r="D22" s="20">
        <v>0.43556943044054541</v>
      </c>
      <c r="E22" s="52">
        <v>0.43556943044054541</v>
      </c>
      <c r="F22" s="20">
        <v>0.99353347860920216</v>
      </c>
      <c r="G22" s="52">
        <v>0.99353347860920216</v>
      </c>
      <c r="H22" s="20">
        <v>0.27430575198841939</v>
      </c>
      <c r="I22" s="52">
        <v>0.27430575198841939</v>
      </c>
      <c r="J22" s="20">
        <v>0.14870615627089814</v>
      </c>
      <c r="K22" s="52">
        <v>0.14870615627089814</v>
      </c>
      <c r="L22" s="20">
        <v>0.94344536718777916</v>
      </c>
      <c r="M22" s="52">
        <v>0.94344536718777916</v>
      </c>
      <c r="N22" s="20">
        <v>4.5756722609177465E-2</v>
      </c>
      <c r="O22" s="52">
        <v>4.5756722609177465E-2</v>
      </c>
      <c r="P22" s="20">
        <v>4.3258713596978306E-5</v>
      </c>
      <c r="Q22" s="52">
        <v>4.3258713596978306E-5</v>
      </c>
      <c r="R22" s="20">
        <v>1.2213187862860107E-5</v>
      </c>
      <c r="S22" s="52">
        <v>1.2213187862860107E-5</v>
      </c>
      <c r="T22" s="20">
        <v>1.085651585792619E-3</v>
      </c>
      <c r="U22" s="52">
        <v>1.085651585792619E-3</v>
      </c>
      <c r="V22" s="20">
        <v>5.488008437453E-2</v>
      </c>
      <c r="W22" s="52">
        <v>5.488008437453E-2</v>
      </c>
      <c r="X22" s="20">
        <v>8.1266926944201288E-6</v>
      </c>
      <c r="Y22" s="52">
        <v>8.1266926944201288E-6</v>
      </c>
      <c r="Z22" s="20">
        <v>9.0311674354656937E-2</v>
      </c>
      <c r="AA22" s="52">
        <v>9.0311674354656937E-2</v>
      </c>
      <c r="AC22" s="58">
        <f>AVERAGEIF(B22:AA22,"&lt;65534")</f>
        <v>0.29703111003948274</v>
      </c>
      <c r="AE22" s="62" t="s">
        <v>425</v>
      </c>
      <c r="AF22" s="62"/>
      <c r="AK22" s="3" t="s">
        <v>467</v>
      </c>
      <c r="AL22" s="4"/>
      <c r="AM22" s="4"/>
      <c r="AN22" s="4"/>
      <c r="AO22" s="4"/>
      <c r="AP22" s="3" t="s">
        <v>468</v>
      </c>
      <c r="AQ22" s="4"/>
      <c r="AR22" s="4"/>
      <c r="AS22" s="4"/>
      <c r="AT22" s="4"/>
      <c r="AU22" s="3" t="s">
        <v>469</v>
      </c>
      <c r="AV22" s="4"/>
      <c r="AW22" s="4"/>
      <c r="AX22" s="4"/>
    </row>
    <row r="23" spans="1:80" x14ac:dyDescent="0.35">
      <c r="A23" s="59" t="s">
        <v>420</v>
      </c>
      <c r="B23" s="64">
        <v>0.76048587887742158</v>
      </c>
      <c r="C23" s="52">
        <v>0.76048587887742158</v>
      </c>
      <c r="D23" s="20">
        <v>0.27430575198841922</v>
      </c>
      <c r="E23" s="52">
        <v>0.27430575198841922</v>
      </c>
      <c r="F23" s="20">
        <v>0.97884795903014621</v>
      </c>
      <c r="G23" s="52">
        <v>0.97884795903014621</v>
      </c>
      <c r="H23" s="20">
        <v>0.148706156270898</v>
      </c>
      <c r="I23" s="52">
        <v>0.148706156270898</v>
      </c>
      <c r="J23" s="20">
        <v>6.7963559023920039E-2</v>
      </c>
      <c r="K23" s="52">
        <v>6.7963559023920039E-2</v>
      </c>
      <c r="L23" s="20">
        <v>0.87374651449811913</v>
      </c>
      <c r="M23" s="52">
        <v>0.87374651449811913</v>
      </c>
      <c r="N23" s="20">
        <v>2.5052154567422158E-2</v>
      </c>
      <c r="O23" s="52">
        <v>2.5052154567422158E-2</v>
      </c>
      <c r="P23" s="20">
        <v>1.221318786270853E-5</v>
      </c>
      <c r="Q23" s="52">
        <v>1.221318786270853E-5</v>
      </c>
      <c r="R23" s="20">
        <v>3.1020009624294076E-6</v>
      </c>
      <c r="S23" s="52">
        <v>3.1020009624294076E-6</v>
      </c>
      <c r="T23" s="20">
        <v>4.0564604695236817E-4</v>
      </c>
      <c r="U23" s="52">
        <v>4.0564604695236817E-4</v>
      </c>
      <c r="V23" s="20">
        <v>3.1372587176176192E-2</v>
      </c>
      <c r="W23" s="52">
        <v>3.1372587176176192E-2</v>
      </c>
      <c r="X23" s="20">
        <v>2.1199164498275636E-6</v>
      </c>
      <c r="Y23" s="52">
        <v>2.1199164498275636E-6</v>
      </c>
      <c r="Z23" s="20">
        <v>5.4880084374529625E-2</v>
      </c>
      <c r="AA23" s="52">
        <v>5.4880084374529625E-2</v>
      </c>
      <c r="AC23" s="58">
        <f>AVERAGEIF(B23:AA23,"&lt;65535")</f>
        <v>0.24736797899686772</v>
      </c>
      <c r="AK23" s="178" t="s">
        <v>456</v>
      </c>
      <c r="AL23" s="178"/>
      <c r="AM23" s="178"/>
      <c r="AN23" s="178"/>
      <c r="AO23" s="4"/>
      <c r="AP23" s="178" t="s">
        <v>457</v>
      </c>
      <c r="AQ23" s="178"/>
      <c r="AR23" s="178"/>
      <c r="AS23" s="178"/>
      <c r="AT23" s="4"/>
      <c r="AU23" s="175" t="s">
        <v>462</v>
      </c>
      <c r="AV23" s="176"/>
      <c r="AW23" s="177"/>
      <c r="AX23" s="88"/>
    </row>
    <row r="24" spans="1:80" x14ac:dyDescent="0.35">
      <c r="A24" s="60" t="s">
        <v>421</v>
      </c>
      <c r="B24" s="65">
        <v>0.82273026011324923</v>
      </c>
      <c r="C24" s="52">
        <v>0.82273026011324923</v>
      </c>
      <c r="D24" s="20">
        <v>0.34983781281735238</v>
      </c>
      <c r="E24" s="52">
        <v>0.34983781281735238</v>
      </c>
      <c r="F24" s="20">
        <v>0.98736984918399373</v>
      </c>
      <c r="G24" s="52">
        <v>0.98736984918399373</v>
      </c>
      <c r="H24" s="20">
        <v>0.20526787258486062</v>
      </c>
      <c r="I24" s="52">
        <v>0.20526787258486062</v>
      </c>
      <c r="J24" s="20">
        <v>0.10380870557742289</v>
      </c>
      <c r="K24" s="52">
        <v>0.10380870557742289</v>
      </c>
      <c r="L24" s="20">
        <v>0.91356078134278484</v>
      </c>
      <c r="M24" s="52">
        <v>0.91356078134278484</v>
      </c>
      <c r="N24" s="20">
        <v>3.5091129370198815E-2</v>
      </c>
      <c r="O24" s="52">
        <v>3.5091129370198815E-2</v>
      </c>
      <c r="P24" s="20">
        <v>4.1830980729407052E-5</v>
      </c>
      <c r="Q24" s="52">
        <v>4.1830980729407052E-5</v>
      </c>
      <c r="R24" s="20">
        <v>1.340325414400656E-5</v>
      </c>
      <c r="S24" s="52">
        <v>1.340325414400656E-5</v>
      </c>
      <c r="T24" s="20">
        <v>8.5179483847697135E-4</v>
      </c>
      <c r="U24" s="52">
        <v>8.5179483847697135E-4</v>
      </c>
      <c r="V24" s="20">
        <v>4.2699938643465052E-2</v>
      </c>
      <c r="W24" s="52">
        <v>4.2699938643465052E-2</v>
      </c>
      <c r="X24" s="20">
        <v>9.1222310949490293E-6</v>
      </c>
      <c r="Y24" s="52">
        <v>9.1222310949490293E-6</v>
      </c>
      <c r="Z24" s="20">
        <v>7.1643267123191634E-2</v>
      </c>
      <c r="AA24" s="52">
        <v>7.1643267123191634E-2</v>
      </c>
      <c r="AC24" s="58">
        <f t="shared" ref="AC24:AC27" si="1">AVERAGE(B24:AA24)</f>
        <v>0.27176352062007408</v>
      </c>
      <c r="AK24" s="4"/>
      <c r="AL24" s="4"/>
      <c r="AM24" s="4"/>
      <c r="AN24" s="4"/>
      <c r="AO24" s="4"/>
      <c r="AP24" s="4"/>
      <c r="AQ24" s="4"/>
      <c r="AR24" s="4"/>
      <c r="AS24" s="4"/>
      <c r="AT24" s="4"/>
      <c r="AU24" s="4"/>
      <c r="AV24" s="4"/>
      <c r="AW24" s="4"/>
      <c r="AX24" s="4"/>
    </row>
    <row r="25" spans="1:80" x14ac:dyDescent="0.35">
      <c r="A25" s="60" t="s">
        <v>422</v>
      </c>
      <c r="B25" s="65">
        <v>0.65016218718264762</v>
      </c>
      <c r="C25" s="52">
        <v>0.65016218718264762</v>
      </c>
      <c r="D25" s="20">
        <v>0.17726973988675077</v>
      </c>
      <c r="E25" s="52">
        <v>0.17726973988675077</v>
      </c>
      <c r="F25" s="20">
        <v>0.95518350286605558</v>
      </c>
      <c r="G25" s="52">
        <v>0.95518350286605558</v>
      </c>
      <c r="H25" s="20">
        <v>8.6439218657215156E-2</v>
      </c>
      <c r="I25" s="52">
        <v>8.6439218657215156E-2</v>
      </c>
      <c r="J25" s="20">
        <v>3.5914078160484142E-2</v>
      </c>
      <c r="K25" s="52">
        <v>3.5914078160484142E-2</v>
      </c>
      <c r="L25" s="20">
        <v>0.79473212741513932</v>
      </c>
      <c r="M25" s="52">
        <v>0.79473212741513932</v>
      </c>
      <c r="N25" s="20">
        <v>3.4618803913795682E-3</v>
      </c>
      <c r="O25" s="52">
        <v>3.4618803913795682E-3</v>
      </c>
      <c r="P25" s="20">
        <v>7.0559777826106895E-7</v>
      </c>
      <c r="Q25" s="52">
        <v>7.0559777826106895E-7</v>
      </c>
      <c r="R25" s="20">
        <v>1.8018443070921819E-7</v>
      </c>
      <c r="S25" s="52">
        <v>1.8018443070921819E-7</v>
      </c>
      <c r="T25" s="20">
        <v>2.8208234687021605E-5</v>
      </c>
      <c r="U25" s="52">
        <v>2.8208234687021605E-5</v>
      </c>
      <c r="V25" s="20">
        <v>4.1376516503405236E-3</v>
      </c>
      <c r="W25" s="52">
        <v>4.1376516503405236E-3</v>
      </c>
      <c r="X25" s="20">
        <v>9.6578494090948652E-8</v>
      </c>
      <c r="Y25" s="52">
        <v>9.6578494090948652E-8</v>
      </c>
      <c r="Z25" s="20">
        <v>8.5602890260574882E-3</v>
      </c>
      <c r="AA25" s="52">
        <v>8.5602890260574882E-3</v>
      </c>
      <c r="AC25" s="58">
        <f t="shared" si="1"/>
        <v>0.20891460506395856</v>
      </c>
      <c r="AK25" s="4"/>
      <c r="AL25" s="71" t="s">
        <v>449</v>
      </c>
      <c r="AM25" s="71" t="s">
        <v>450</v>
      </c>
      <c r="AN25" s="71" t="s">
        <v>451</v>
      </c>
      <c r="AO25" s="4"/>
      <c r="AP25" s="4"/>
      <c r="AQ25" s="4"/>
      <c r="AR25" s="4"/>
      <c r="AS25" s="4"/>
      <c r="AT25" s="4"/>
      <c r="AU25" s="4"/>
      <c r="AV25" s="4"/>
      <c r="AW25" s="4"/>
      <c r="AX25" s="4"/>
    </row>
    <row r="26" spans="1:80" x14ac:dyDescent="0.35">
      <c r="A26" s="61" t="s">
        <v>423</v>
      </c>
      <c r="B26" s="66">
        <f>(B22-B24)*100/B22</f>
        <v>5.8387934645065425</v>
      </c>
      <c r="C26" s="66">
        <f t="shared" ref="C26:AA26" si="2">(C22-C24)*100/C22</f>
        <v>5.8387934645065425</v>
      </c>
      <c r="D26" s="66">
        <f t="shared" si="2"/>
        <v>19.682652553573838</v>
      </c>
      <c r="E26" s="66">
        <f t="shared" si="2"/>
        <v>19.682652553573838</v>
      </c>
      <c r="F26" s="66">
        <f t="shared" si="2"/>
        <v>0.62037460819504386</v>
      </c>
      <c r="G26" s="66">
        <f t="shared" si="2"/>
        <v>0.62037460819504386</v>
      </c>
      <c r="H26" s="66">
        <f t="shared" si="2"/>
        <v>25.168221556824442</v>
      </c>
      <c r="I26" s="66">
        <f t="shared" si="2"/>
        <v>25.168221556824442</v>
      </c>
      <c r="J26" s="66">
        <f t="shared" si="2"/>
        <v>30.192059171837865</v>
      </c>
      <c r="K26" s="66">
        <f t="shared" si="2"/>
        <v>30.192059171837865</v>
      </c>
      <c r="L26" s="66">
        <f t="shared" si="2"/>
        <v>3.1676011017017607</v>
      </c>
      <c r="M26" s="66">
        <f t="shared" si="2"/>
        <v>3.1676011017017607</v>
      </c>
      <c r="N26" s="66">
        <f>(N22-N24)*100/N22</f>
        <v>23.309346978534347</v>
      </c>
      <c r="O26" s="66">
        <f t="shared" si="2"/>
        <v>23.309346978534347</v>
      </c>
      <c r="P26" s="66">
        <f t="shared" si="2"/>
        <v>3.3004515133593424</v>
      </c>
      <c r="Q26" s="66">
        <f t="shared" si="2"/>
        <v>3.3004515133593424</v>
      </c>
      <c r="R26" s="66">
        <f t="shared" si="2"/>
        <v>-9.7441085366860278</v>
      </c>
      <c r="S26" s="66">
        <f t="shared" si="2"/>
        <v>-9.7441085366860278</v>
      </c>
      <c r="T26" s="66">
        <f t="shared" si="2"/>
        <v>21.540681225543658</v>
      </c>
      <c r="U26" s="66">
        <f t="shared" si="2"/>
        <v>21.540681225543658</v>
      </c>
      <c r="V26" s="66">
        <f t="shared" si="2"/>
        <v>22.194108973924589</v>
      </c>
      <c r="W26" s="66">
        <f t="shared" si="2"/>
        <v>22.194108973924589</v>
      </c>
      <c r="X26" s="66">
        <f t="shared" si="2"/>
        <v>-12.250228204303177</v>
      </c>
      <c r="Y26" s="66">
        <f t="shared" si="2"/>
        <v>-12.250228204303177</v>
      </c>
      <c r="Z26" s="66">
        <f t="shared" si="2"/>
        <v>20.67108971776323</v>
      </c>
      <c r="AA26" s="66">
        <f t="shared" si="2"/>
        <v>20.67108971776323</v>
      </c>
      <c r="AC26" s="58">
        <f t="shared" si="1"/>
        <v>11.822388009598107</v>
      </c>
      <c r="AK26" s="72" t="s">
        <v>445</v>
      </c>
      <c r="AL26" s="73">
        <v>0.38412260002651299</v>
      </c>
      <c r="AM26" s="73">
        <v>0.45522603464447903</v>
      </c>
      <c r="AN26" s="73">
        <v>0.53450594271514795</v>
      </c>
      <c r="AO26" s="4"/>
      <c r="AP26" s="74" t="s">
        <v>452</v>
      </c>
      <c r="AQ26" s="4">
        <v>1</v>
      </c>
      <c r="AR26" s="4">
        <v>1</v>
      </c>
      <c r="AS26" s="4">
        <v>1</v>
      </c>
      <c r="AT26" s="4"/>
      <c r="AU26" s="75" t="s">
        <v>458</v>
      </c>
      <c r="AV26" s="4" t="s">
        <v>463</v>
      </c>
      <c r="AW26" s="76">
        <v>1</v>
      </c>
      <c r="AX26" s="4"/>
    </row>
    <row r="27" spans="1:80" x14ac:dyDescent="0.35">
      <c r="A27" s="61" t="s">
        <v>424</v>
      </c>
      <c r="B27" s="66">
        <f>(B23-B25)*100/B23</f>
        <v>14.507000689825619</v>
      </c>
      <c r="C27" s="66">
        <f t="shared" ref="C27:AA27" si="3">(C23-C25)*100/C23</f>
        <v>14.507000689825619</v>
      </c>
      <c r="D27" s="66">
        <f t="shared" si="3"/>
        <v>35.375128446364172</v>
      </c>
      <c r="E27" s="66">
        <f t="shared" si="3"/>
        <v>35.375128446364172</v>
      </c>
      <c r="F27" s="66">
        <f t="shared" si="3"/>
        <v>2.4175824187790762</v>
      </c>
      <c r="G27" s="66">
        <f t="shared" si="3"/>
        <v>2.4175824187790762</v>
      </c>
      <c r="H27" s="66">
        <f t="shared" si="3"/>
        <v>41.872467942921723</v>
      </c>
      <c r="I27" s="66">
        <f t="shared" si="3"/>
        <v>41.872467942921723</v>
      </c>
      <c r="J27" s="66">
        <f t="shared" si="3"/>
        <v>47.156860711423249</v>
      </c>
      <c r="K27" s="66">
        <f t="shared" si="3"/>
        <v>47.156860711423249</v>
      </c>
      <c r="L27" s="66">
        <f t="shared" si="3"/>
        <v>9.0431705044758601</v>
      </c>
      <c r="M27" s="66">
        <f t="shared" si="3"/>
        <v>9.0431705044758601</v>
      </c>
      <c r="N27" s="66">
        <f t="shared" si="3"/>
        <v>86.181306753226721</v>
      </c>
      <c r="O27" s="66">
        <f t="shared" si="3"/>
        <v>86.181306753226721</v>
      </c>
      <c r="P27" s="66">
        <f t="shared" si="3"/>
        <v>94.222656801869675</v>
      </c>
      <c r="Q27" s="66">
        <f t="shared" si="3"/>
        <v>94.222656801869675</v>
      </c>
      <c r="R27" s="66">
        <f t="shared" si="3"/>
        <v>94.191348329946933</v>
      </c>
      <c r="S27" s="66">
        <f t="shared" si="3"/>
        <v>94.191348329946933</v>
      </c>
      <c r="T27" s="66">
        <f t="shared" si="3"/>
        <v>93.04609649250844</v>
      </c>
      <c r="U27" s="66">
        <f t="shared" si="3"/>
        <v>93.04609649250844</v>
      </c>
      <c r="V27" s="66">
        <f t="shared" si="3"/>
        <v>86.811251405231303</v>
      </c>
      <c r="W27" s="66">
        <f t="shared" si="3"/>
        <v>86.811251405231303</v>
      </c>
      <c r="X27" s="66">
        <f t="shared" si="3"/>
        <v>95.444231111145697</v>
      </c>
      <c r="Y27" s="66">
        <f t="shared" si="3"/>
        <v>95.444231111145697</v>
      </c>
      <c r="Z27" s="66">
        <f t="shared" si="3"/>
        <v>84.401829691737134</v>
      </c>
      <c r="AA27" s="66">
        <f t="shared" si="3"/>
        <v>84.401829691737134</v>
      </c>
      <c r="AC27" s="58">
        <f t="shared" si="1"/>
        <v>60.359302407650425</v>
      </c>
      <c r="AK27" s="72" t="s">
        <v>446</v>
      </c>
      <c r="AL27" s="73">
        <v>0.16211138523412499</v>
      </c>
      <c r="AM27" s="73">
        <v>0.18699631349149601</v>
      </c>
      <c r="AN27" s="73">
        <v>0.21750660211468301</v>
      </c>
      <c r="AO27" s="4"/>
      <c r="AP27" s="74" t="s">
        <v>453</v>
      </c>
      <c r="AQ27" s="4">
        <v>0</v>
      </c>
      <c r="AR27" s="4">
        <v>0</v>
      </c>
      <c r="AS27" s="4">
        <v>1</v>
      </c>
      <c r="AT27" s="4"/>
      <c r="AU27" s="75" t="s">
        <v>459</v>
      </c>
      <c r="AV27" s="4" t="s">
        <v>464</v>
      </c>
      <c r="AW27" s="76">
        <v>0</v>
      </c>
      <c r="AX27" s="4"/>
    </row>
    <row r="28" spans="1:80" x14ac:dyDescent="0.35">
      <c r="A28" s="43" t="s">
        <v>415</v>
      </c>
      <c r="B28" s="44"/>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7"/>
      <c r="AC28" s="47"/>
      <c r="AD28" s="47"/>
      <c r="AE28" s="47"/>
      <c r="AF28" s="47"/>
      <c r="AG28" s="47"/>
      <c r="AH28" s="47"/>
      <c r="AI28" s="47"/>
      <c r="AJ28" s="47"/>
      <c r="AK28" s="77" t="s">
        <v>447</v>
      </c>
      <c r="AL28" s="78">
        <v>0.20017234694145</v>
      </c>
      <c r="AM28" s="78">
        <v>0.23244200991217501</v>
      </c>
      <c r="AN28" s="78">
        <v>0.27067396857755999</v>
      </c>
      <c r="AO28" s="79"/>
      <c r="AP28" s="80" t="s">
        <v>454</v>
      </c>
      <c r="AQ28" s="81">
        <v>0</v>
      </c>
      <c r="AR28" s="81">
        <v>1</v>
      </c>
      <c r="AS28" s="81">
        <v>1</v>
      </c>
      <c r="AT28" s="79"/>
      <c r="AU28" s="82" t="s">
        <v>460</v>
      </c>
      <c r="AV28" s="4" t="s">
        <v>465</v>
      </c>
      <c r="AW28" s="81">
        <v>0</v>
      </c>
      <c r="AX28" s="79"/>
      <c r="AY28" s="47"/>
      <c r="AZ28" s="47"/>
      <c r="BA28" s="47"/>
      <c r="BB28" s="47"/>
      <c r="BC28" s="47"/>
      <c r="BD28" s="47"/>
      <c r="BE28" s="48"/>
      <c r="BF28" s="48"/>
      <c r="BG28" s="48"/>
      <c r="BH28" s="48"/>
      <c r="BI28" s="48"/>
      <c r="BJ28" s="48"/>
      <c r="BK28" s="48"/>
      <c r="BL28" s="48"/>
      <c r="BM28" s="48"/>
      <c r="BN28" s="48"/>
      <c r="BO28" s="48"/>
      <c r="BP28" s="48"/>
      <c r="BQ28" s="48"/>
      <c r="BR28" s="48"/>
      <c r="BS28" s="48"/>
      <c r="BT28" s="48"/>
      <c r="BU28" s="48"/>
      <c r="BV28" s="48"/>
      <c r="BW28" s="48"/>
      <c r="BX28" s="48"/>
      <c r="BY28" s="48"/>
      <c r="BZ28" s="48"/>
      <c r="CA28" s="48"/>
      <c r="CB28" s="48"/>
    </row>
    <row r="29" spans="1:80" x14ac:dyDescent="0.35">
      <c r="A29" s="45" t="s">
        <v>361</v>
      </c>
      <c r="B29" s="53">
        <f>VLOOKUP($A$29,'Sociodem statistics'!$B$2:$J$5,9,FALSE)</f>
        <v>1</v>
      </c>
      <c r="C29" s="53">
        <f>VLOOKUP($A$29,'Sociodem statistics'!$B$2:$J$5,9,FALSE)</f>
        <v>1</v>
      </c>
      <c r="D29" s="53">
        <f>VLOOKUP($A$29,'Sociodem statistics'!$B$2:$J$5,9,FALSE)</f>
        <v>1</v>
      </c>
      <c r="E29" s="53">
        <f>VLOOKUP($A$29,'Sociodem statistics'!$B$2:$J$5,9,FALSE)</f>
        <v>1</v>
      </c>
      <c r="F29" s="53">
        <f>VLOOKUP($A$29,'Sociodem statistics'!$B$2:$J$5,9,FALSE)</f>
        <v>1</v>
      </c>
      <c r="G29" s="53">
        <f>VLOOKUP($A$29,'Sociodem statistics'!$B$2:$J$5,9,FALSE)</f>
        <v>1</v>
      </c>
      <c r="H29" s="53">
        <f>VLOOKUP($A$29,'Sociodem statistics'!$B$2:$J$5,9,FALSE)</f>
        <v>1</v>
      </c>
      <c r="I29" s="53">
        <f>VLOOKUP($A$29,'Sociodem statistics'!$B$2:$J$5,9,FALSE)</f>
        <v>1</v>
      </c>
      <c r="J29" s="53">
        <f>VLOOKUP($A$29,'Sociodem statistics'!$B$2:$J$5,9,FALSE)</f>
        <v>1</v>
      </c>
      <c r="K29" s="53">
        <f>VLOOKUP($A$29,'Sociodem statistics'!$B$2:$J$5,9,FALSE)</f>
        <v>1</v>
      </c>
      <c r="L29" s="53">
        <f>VLOOKUP($A$29,'Sociodem statistics'!$B$2:$J$5,9,FALSE)</f>
        <v>1</v>
      </c>
      <c r="M29" s="53">
        <f>VLOOKUP($A$29,'Sociodem statistics'!$B$2:$J$5,9,FALSE)</f>
        <v>1</v>
      </c>
      <c r="N29" s="53">
        <f>VLOOKUP($A$29,'Sociodem statistics'!$B$2:$J$5,9,FALSE)</f>
        <v>1</v>
      </c>
      <c r="O29" s="53">
        <f>VLOOKUP($A$29,'Sociodem statistics'!$B$2:$J$5,9,FALSE)</f>
        <v>1</v>
      </c>
      <c r="P29" s="53">
        <f>VLOOKUP($A$29,'Sociodem statistics'!$B$2:$J$5,9,FALSE)</f>
        <v>1</v>
      </c>
      <c r="Q29" s="53">
        <f>VLOOKUP($A$29,'Sociodem statistics'!$B$2:$J$5,9,FALSE)</f>
        <v>1</v>
      </c>
      <c r="R29" s="53">
        <f>VLOOKUP($A$29,'Sociodem statistics'!$B$2:$J$5,9,FALSE)</f>
        <v>1</v>
      </c>
      <c r="S29" s="53">
        <f>VLOOKUP($A$29,'Sociodem statistics'!$B$2:$J$5,9,FALSE)</f>
        <v>1</v>
      </c>
      <c r="T29" s="53">
        <f>VLOOKUP($A$29,'Sociodem statistics'!$B$2:$J$5,9,FALSE)</f>
        <v>1</v>
      </c>
      <c r="U29" s="53">
        <f>VLOOKUP($A$29,'Sociodem statistics'!$B$2:$J$5,9,FALSE)</f>
        <v>1</v>
      </c>
      <c r="V29" s="53">
        <f>VLOOKUP($A$29,'Sociodem statistics'!$B$2:$J$5,9,FALSE)</f>
        <v>1</v>
      </c>
      <c r="W29" s="53">
        <f>VLOOKUP($A$29,'Sociodem statistics'!$B$2:$J$5,9,FALSE)</f>
        <v>1</v>
      </c>
      <c r="X29" s="53">
        <f>VLOOKUP($A$29,'Sociodem statistics'!$B$2:$J$5,9,FALSE)</f>
        <v>1</v>
      </c>
      <c r="Y29" s="53">
        <f>VLOOKUP($A$29,'Sociodem statistics'!$B$2:$J$5,9,FALSE)</f>
        <v>1</v>
      </c>
      <c r="Z29" s="53">
        <f>VLOOKUP($A$29,'Sociodem statistics'!$B$2:$J$5,9,FALSE)</f>
        <v>1</v>
      </c>
      <c r="AA29" s="53">
        <f>VLOOKUP($A$29,'Sociodem statistics'!$B$2:$J$5,9,FALSE)</f>
        <v>1</v>
      </c>
      <c r="AB29" s="47"/>
      <c r="AC29" s="47"/>
      <c r="AD29" s="47"/>
      <c r="AE29" s="47"/>
      <c r="AF29" s="47"/>
      <c r="AG29" s="47"/>
      <c r="AH29" s="47"/>
      <c r="AI29" s="47"/>
      <c r="AJ29" s="47"/>
      <c r="AK29" s="77" t="s">
        <v>448</v>
      </c>
      <c r="AL29" s="78">
        <v>0.10970141132070001</v>
      </c>
      <c r="AM29" s="78">
        <v>0.12533564195185001</v>
      </c>
      <c r="AN29" s="78">
        <v>0.14539076140513599</v>
      </c>
      <c r="AO29" s="79"/>
      <c r="AP29" s="80" t="s">
        <v>455</v>
      </c>
      <c r="AQ29" s="81">
        <v>0</v>
      </c>
      <c r="AR29" s="81">
        <v>0</v>
      </c>
      <c r="AS29" s="81">
        <v>0</v>
      </c>
      <c r="AT29" s="79"/>
      <c r="AU29" s="82" t="s">
        <v>461</v>
      </c>
      <c r="AV29" s="4" t="s">
        <v>466</v>
      </c>
      <c r="AW29" s="81">
        <v>0</v>
      </c>
      <c r="AX29" s="79"/>
      <c r="AY29" s="47"/>
      <c r="AZ29" s="47"/>
      <c r="BA29" s="47"/>
      <c r="BB29" s="47"/>
      <c r="BC29" s="47"/>
      <c r="BD29" s="47"/>
      <c r="BE29" s="47"/>
      <c r="BF29" s="47"/>
      <c r="BG29" s="47"/>
      <c r="BH29" s="47"/>
      <c r="BI29" s="47"/>
      <c r="BJ29" s="47"/>
      <c r="BK29" s="47"/>
      <c r="BL29" s="47"/>
      <c r="BM29" s="47"/>
      <c r="BN29" s="47"/>
      <c r="BO29" s="47"/>
      <c r="BP29" s="47"/>
      <c r="BQ29" s="47"/>
      <c r="BR29" s="47"/>
      <c r="BS29" s="47"/>
      <c r="BT29" s="47"/>
      <c r="BU29" s="47"/>
      <c r="BV29" s="47"/>
      <c r="BW29" s="47"/>
      <c r="BX29" s="47"/>
      <c r="BY29" s="47"/>
      <c r="BZ29" s="47"/>
      <c r="CA29" s="47"/>
      <c r="CB29" s="47"/>
    </row>
    <row r="30" spans="1:80" x14ac:dyDescent="0.35">
      <c r="A30" s="45" t="s">
        <v>364</v>
      </c>
      <c r="B30" s="53">
        <f>VLOOKUP($A$30,'Sociodem statistics'!$B$6:$J$8,9,FALSE)</f>
        <v>0.51</v>
      </c>
      <c r="C30" s="53">
        <f>VLOOKUP($A$30,'Sociodem statistics'!$B$6:$J$8,9,FALSE)</f>
        <v>0.51</v>
      </c>
      <c r="D30" s="53">
        <f>VLOOKUP($A$30,'Sociodem statistics'!$B$6:$J$8,9,FALSE)</f>
        <v>0.51</v>
      </c>
      <c r="E30" s="53">
        <f>VLOOKUP($A$30,'Sociodem statistics'!$B$6:$J$8,9,FALSE)</f>
        <v>0.51</v>
      </c>
      <c r="F30" s="53">
        <f>VLOOKUP($A$30,'Sociodem statistics'!$B$6:$J$8,9,FALSE)</f>
        <v>0.51</v>
      </c>
      <c r="G30" s="53">
        <f>VLOOKUP($A$30,'Sociodem statistics'!$B$6:$J$8,9,FALSE)</f>
        <v>0.51</v>
      </c>
      <c r="H30" s="53">
        <f>VLOOKUP($A$30,'Sociodem statistics'!$B$6:$J$8,9,FALSE)</f>
        <v>0.51</v>
      </c>
      <c r="I30" s="53">
        <f>VLOOKUP($A$30,'Sociodem statistics'!$B$6:$J$8,9,FALSE)</f>
        <v>0.51</v>
      </c>
      <c r="J30" s="53">
        <f>VLOOKUP($A$30,'Sociodem statistics'!$B$6:$J$8,9,FALSE)</f>
        <v>0.51</v>
      </c>
      <c r="K30" s="53">
        <f>VLOOKUP($A$30,'Sociodem statistics'!$B$6:$J$8,9,FALSE)</f>
        <v>0.51</v>
      </c>
      <c r="L30" s="53">
        <f>VLOOKUP($A$30,'Sociodem statistics'!$B$6:$J$8,9,FALSE)</f>
        <v>0.51</v>
      </c>
      <c r="M30" s="53">
        <f>VLOOKUP($A$30,'Sociodem statistics'!$B$6:$J$8,9,FALSE)</f>
        <v>0.51</v>
      </c>
      <c r="N30" s="53">
        <f>VLOOKUP($A$30,'Sociodem statistics'!$B$6:$J$8,9,FALSE)</f>
        <v>0.51</v>
      </c>
      <c r="O30" s="53">
        <f>VLOOKUP($A$30,'Sociodem statistics'!$B$6:$J$8,9,FALSE)</f>
        <v>0.51</v>
      </c>
      <c r="P30" s="53">
        <f>VLOOKUP($A$30,'Sociodem statistics'!$B$6:$J$8,9,FALSE)</f>
        <v>0.51</v>
      </c>
      <c r="Q30" s="53">
        <f>VLOOKUP($A$30,'Sociodem statistics'!$B$6:$J$8,9,FALSE)</f>
        <v>0.51</v>
      </c>
      <c r="R30" s="53">
        <f>VLOOKUP($A$30,'Sociodem statistics'!$B$6:$J$8,9,FALSE)</f>
        <v>0.51</v>
      </c>
      <c r="S30" s="53">
        <f>VLOOKUP($A$30,'Sociodem statistics'!$B$6:$J$8,9,FALSE)</f>
        <v>0.51</v>
      </c>
      <c r="T30" s="53">
        <f>VLOOKUP($A$30,'Sociodem statistics'!$B$6:$J$8,9,FALSE)</f>
        <v>0.51</v>
      </c>
      <c r="U30" s="53">
        <f>VLOOKUP($A$30,'Sociodem statistics'!$B$6:$J$8,9,FALSE)</f>
        <v>0.51</v>
      </c>
      <c r="V30" s="53">
        <f>VLOOKUP($A$30,'Sociodem statistics'!$B$6:$J$8,9,FALSE)</f>
        <v>0.51</v>
      </c>
      <c r="W30" s="53">
        <f>VLOOKUP($A$30,'Sociodem statistics'!$B$6:$J$8,9,FALSE)</f>
        <v>0.51</v>
      </c>
      <c r="X30" s="53">
        <f>VLOOKUP($A$30,'Sociodem statistics'!$B$6:$J$8,9,FALSE)</f>
        <v>0.51</v>
      </c>
      <c r="Y30" s="53">
        <f>VLOOKUP($A$30,'Sociodem statistics'!$B$6:$J$8,9,FALSE)</f>
        <v>0.51</v>
      </c>
      <c r="Z30" s="53">
        <f>VLOOKUP($A$30,'Sociodem statistics'!$B$6:$J$8,9,FALSE)</f>
        <v>0.51</v>
      </c>
      <c r="AA30" s="53">
        <f>VLOOKUP($A$30,'Sociodem statistics'!$B$6:$J$8,9,FALSE)</f>
        <v>0.51</v>
      </c>
      <c r="AB30" s="47"/>
      <c r="AC30" s="47"/>
      <c r="AD30" s="47"/>
      <c r="AE30" s="47"/>
      <c r="AF30" s="47"/>
      <c r="AG30" s="47"/>
      <c r="AH30" s="47"/>
      <c r="AI30" s="47"/>
      <c r="AJ30" s="47"/>
      <c r="AK30" s="47"/>
      <c r="AL30" s="47"/>
      <c r="AM30" s="47"/>
      <c r="AN30" s="47"/>
      <c r="AO30" s="47"/>
      <c r="AP30" s="47"/>
      <c r="AQ30" s="47"/>
      <c r="AR30" s="47"/>
      <c r="AS30" s="47"/>
      <c r="AT30" s="47"/>
      <c r="AU30" s="47"/>
      <c r="AV30" s="79" t="s">
        <v>483</v>
      </c>
      <c r="AW30" s="81">
        <v>1</v>
      </c>
      <c r="AX30" s="47"/>
      <c r="AY30" s="47"/>
      <c r="AZ30" s="47"/>
      <c r="BA30" s="47"/>
      <c r="BB30" s="47"/>
      <c r="BC30" s="47"/>
      <c r="BD30" s="47"/>
      <c r="BE30" s="47"/>
      <c r="BF30" s="47"/>
      <c r="BG30" s="47"/>
      <c r="BH30" s="47"/>
      <c r="BI30" s="47"/>
      <c r="BJ30" s="47"/>
      <c r="BK30" s="47"/>
      <c r="BL30" s="47"/>
      <c r="BM30" s="47"/>
      <c r="BN30" s="47"/>
      <c r="BO30" s="47"/>
      <c r="BP30" s="47"/>
      <c r="BQ30" s="47"/>
      <c r="BR30" s="47"/>
      <c r="BS30" s="47"/>
      <c r="BT30" s="47"/>
      <c r="BU30" s="47"/>
      <c r="BV30" s="47"/>
      <c r="BW30" s="47"/>
      <c r="BX30" s="47"/>
      <c r="BY30" s="47"/>
      <c r="BZ30" s="47"/>
      <c r="CA30" s="47"/>
      <c r="CB30" s="47"/>
    </row>
    <row r="31" spans="1:80" x14ac:dyDescent="0.35">
      <c r="A31" s="45" t="s">
        <v>370</v>
      </c>
      <c r="B31" s="53">
        <f>VLOOKUP($A$31,'Sociodem statistics'!$B$9:$J$12,9,FALSE)</f>
        <v>1</v>
      </c>
      <c r="C31" s="53">
        <f>VLOOKUP($A$31,'Sociodem statistics'!$B$9:$J$12,9,FALSE)</f>
        <v>1</v>
      </c>
      <c r="D31" s="53">
        <f>VLOOKUP($A$31,'Sociodem statistics'!$B$9:$J$12,9,FALSE)</f>
        <v>1</v>
      </c>
      <c r="E31" s="53">
        <f>VLOOKUP($A$31,'Sociodem statistics'!$B$9:$J$12,9,FALSE)</f>
        <v>1</v>
      </c>
      <c r="F31" s="53">
        <f>VLOOKUP($A$31,'Sociodem statistics'!$B$9:$J$12,9,FALSE)</f>
        <v>1</v>
      </c>
      <c r="G31" s="53">
        <f>VLOOKUP($A$31,'Sociodem statistics'!$B$9:$J$12,9,FALSE)</f>
        <v>1</v>
      </c>
      <c r="H31" s="53">
        <f>VLOOKUP($A$31,'Sociodem statistics'!$B$9:$J$12,9,FALSE)</f>
        <v>1</v>
      </c>
      <c r="I31" s="53">
        <f>VLOOKUP($A$31,'Sociodem statistics'!$B$9:$J$12,9,FALSE)</f>
        <v>1</v>
      </c>
      <c r="J31" s="53">
        <f>VLOOKUP($A$31,'Sociodem statistics'!$B$9:$J$12,9,FALSE)</f>
        <v>1</v>
      </c>
      <c r="K31" s="53">
        <f>VLOOKUP($A$31,'Sociodem statistics'!$B$9:$J$12,9,FALSE)</f>
        <v>1</v>
      </c>
      <c r="L31" s="53">
        <f>VLOOKUP($A$31,'Sociodem statistics'!$B$9:$J$12,9,FALSE)</f>
        <v>1</v>
      </c>
      <c r="M31" s="53">
        <f>VLOOKUP($A$31,'Sociodem statistics'!$B$9:$J$12,9,FALSE)</f>
        <v>1</v>
      </c>
      <c r="N31" s="53">
        <f>VLOOKUP($A$31,'Sociodem statistics'!$B$9:$J$12,9,FALSE)</f>
        <v>1</v>
      </c>
      <c r="O31" s="53">
        <f>VLOOKUP($A$31,'Sociodem statistics'!$B$9:$J$12,9,FALSE)</f>
        <v>1</v>
      </c>
      <c r="P31" s="53">
        <f>VLOOKUP($A$31,'Sociodem statistics'!$B$9:$J$12,9,FALSE)</f>
        <v>1</v>
      </c>
      <c r="Q31" s="53">
        <f>VLOOKUP($A$31,'Sociodem statistics'!$B$9:$J$12,9,FALSE)</f>
        <v>1</v>
      </c>
      <c r="R31" s="53">
        <f>VLOOKUP($A$31,'Sociodem statistics'!$B$9:$J$12,9,FALSE)</f>
        <v>1</v>
      </c>
      <c r="S31" s="53">
        <f>VLOOKUP($A$31,'Sociodem statistics'!$B$9:$J$12,9,FALSE)</f>
        <v>1</v>
      </c>
      <c r="T31" s="53">
        <f>VLOOKUP($A$31,'Sociodem statistics'!$B$9:$J$12,9,FALSE)</f>
        <v>1</v>
      </c>
      <c r="U31" s="53">
        <f>VLOOKUP($A$31,'Sociodem statistics'!$B$9:$J$12,9,FALSE)</f>
        <v>1</v>
      </c>
      <c r="V31" s="53">
        <f>VLOOKUP($A$31,'Sociodem statistics'!$B$9:$J$12,9,FALSE)</f>
        <v>1</v>
      </c>
      <c r="W31" s="53">
        <f>VLOOKUP($A$31,'Sociodem statistics'!$B$9:$J$12,9,FALSE)</f>
        <v>1</v>
      </c>
      <c r="X31" s="53">
        <f>VLOOKUP($A$31,'Sociodem statistics'!$B$9:$J$12,9,FALSE)</f>
        <v>1</v>
      </c>
      <c r="Y31" s="53">
        <f>VLOOKUP($A$31,'Sociodem statistics'!$B$9:$J$12,9,FALSE)</f>
        <v>1</v>
      </c>
      <c r="Z31" s="53">
        <f>VLOOKUP($A$31,'Sociodem statistics'!$B$9:$J$12,9,FALSE)</f>
        <v>1</v>
      </c>
      <c r="AA31" s="53">
        <f>VLOOKUP($A$31,'Sociodem statistics'!$B$9:$J$12,9,FALSE)</f>
        <v>1</v>
      </c>
      <c r="AB31" s="47"/>
      <c r="AC31" s="47"/>
      <c r="AD31" s="47"/>
      <c r="AE31" s="47"/>
      <c r="AF31" s="47"/>
      <c r="AG31" s="47"/>
      <c r="AH31" s="47"/>
      <c r="AI31" s="47"/>
      <c r="AJ31" s="47"/>
      <c r="AK31" s="47"/>
      <c r="AL31" s="47"/>
      <c r="AM31" s="47"/>
      <c r="AN31" s="47"/>
      <c r="AO31" s="47"/>
      <c r="AP31" s="47"/>
      <c r="AQ31" s="47"/>
      <c r="AR31" s="47"/>
      <c r="AS31" s="47"/>
      <c r="AT31" s="47"/>
      <c r="AU31" s="47"/>
      <c r="AV31" s="47"/>
      <c r="AW31" s="47"/>
      <c r="AX31" s="47"/>
      <c r="AY31" s="47"/>
      <c r="AZ31" s="47"/>
      <c r="BA31" s="47"/>
      <c r="BB31" s="47"/>
      <c r="BC31" s="47"/>
      <c r="BD31" s="47"/>
      <c r="BE31" s="47"/>
      <c r="BF31" s="47"/>
      <c r="BG31" s="47"/>
      <c r="BH31" s="47"/>
      <c r="BI31" s="47"/>
      <c r="BJ31" s="47"/>
      <c r="BK31" s="47"/>
      <c r="BL31" s="47"/>
      <c r="BM31" s="47"/>
      <c r="BN31" s="47"/>
      <c r="BO31" s="47"/>
      <c r="BP31" s="47"/>
      <c r="BQ31" s="47"/>
      <c r="BR31" s="47"/>
      <c r="BS31" s="47"/>
      <c r="BT31" s="47"/>
      <c r="BU31" s="47"/>
      <c r="BV31" s="47"/>
      <c r="BW31" s="47"/>
      <c r="BX31" s="47"/>
      <c r="BY31" s="47"/>
      <c r="BZ31" s="47"/>
      <c r="CA31" s="47"/>
      <c r="CB31" s="47"/>
    </row>
    <row r="32" spans="1:80" x14ac:dyDescent="0.35">
      <c r="A32" s="45" t="s">
        <v>375</v>
      </c>
      <c r="B32" s="53">
        <f>VLOOKUP($A$32,'Sociodem statistics'!$B$13:$J$15,9,FALSE)</f>
        <v>1</v>
      </c>
      <c r="C32" s="53">
        <f>VLOOKUP($A$32,'Sociodem statistics'!$B$13:$J$15,9,FALSE)</f>
        <v>1</v>
      </c>
      <c r="D32" s="53">
        <f>VLOOKUP($A$32,'Sociodem statistics'!$B$13:$J$15,9,FALSE)</f>
        <v>1</v>
      </c>
      <c r="E32" s="53">
        <f>VLOOKUP($A$32,'Sociodem statistics'!$B$13:$J$15,9,FALSE)</f>
        <v>1</v>
      </c>
      <c r="F32" s="53">
        <f>VLOOKUP($A$32,'Sociodem statistics'!$B$13:$J$15,9,FALSE)</f>
        <v>1</v>
      </c>
      <c r="G32" s="53">
        <f>VLOOKUP($A$32,'Sociodem statistics'!$B$13:$J$15,9,FALSE)</f>
        <v>1</v>
      </c>
      <c r="H32" s="53">
        <f>VLOOKUP($A$32,'Sociodem statistics'!$B$13:$J$15,9,FALSE)</f>
        <v>1</v>
      </c>
      <c r="I32" s="53">
        <f>VLOOKUP($A$32,'Sociodem statistics'!$B$13:$J$15,9,FALSE)</f>
        <v>1</v>
      </c>
      <c r="J32" s="53">
        <f>VLOOKUP($A$32,'Sociodem statistics'!$B$13:$J$15,9,FALSE)</f>
        <v>1</v>
      </c>
      <c r="K32" s="53">
        <f>VLOOKUP($A$32,'Sociodem statistics'!$B$13:$J$15,9,FALSE)</f>
        <v>1</v>
      </c>
      <c r="L32" s="53">
        <f>VLOOKUP($A$32,'Sociodem statistics'!$B$13:$J$15,9,FALSE)</f>
        <v>1</v>
      </c>
      <c r="M32" s="53">
        <f>VLOOKUP($A$32,'Sociodem statistics'!$B$13:$J$15,9,FALSE)</f>
        <v>1</v>
      </c>
      <c r="N32" s="53">
        <f>VLOOKUP($A$32,'Sociodem statistics'!$B$13:$J$15,9,FALSE)</f>
        <v>1</v>
      </c>
      <c r="O32" s="53">
        <f>VLOOKUP($A$32,'Sociodem statistics'!$B$13:$J$15,9,FALSE)</f>
        <v>1</v>
      </c>
      <c r="P32" s="53">
        <f>VLOOKUP($A$32,'Sociodem statistics'!$B$13:$J$15,9,FALSE)</f>
        <v>1</v>
      </c>
      <c r="Q32" s="53">
        <f>VLOOKUP($A$32,'Sociodem statistics'!$B$13:$J$15,9,FALSE)</f>
        <v>1</v>
      </c>
      <c r="R32" s="53">
        <f>VLOOKUP($A$32,'Sociodem statistics'!$B$13:$J$15,9,FALSE)</f>
        <v>1</v>
      </c>
      <c r="S32" s="53">
        <f>VLOOKUP($A$32,'Sociodem statistics'!$B$13:$J$15,9,FALSE)</f>
        <v>1</v>
      </c>
      <c r="T32" s="53">
        <f>VLOOKUP($A$32,'Sociodem statistics'!$B$13:$J$15,9,FALSE)</f>
        <v>1</v>
      </c>
      <c r="U32" s="53">
        <f>VLOOKUP($A$32,'Sociodem statistics'!$B$13:$J$15,9,FALSE)</f>
        <v>1</v>
      </c>
      <c r="V32" s="53">
        <f>VLOOKUP($A$32,'Sociodem statistics'!$B$13:$J$15,9,FALSE)</f>
        <v>1</v>
      </c>
      <c r="W32" s="53">
        <f>VLOOKUP($A$32,'Sociodem statistics'!$B$13:$J$15,9,FALSE)</f>
        <v>1</v>
      </c>
      <c r="X32" s="53">
        <f>VLOOKUP($A$32,'Sociodem statistics'!$B$13:$J$15,9,FALSE)</f>
        <v>1</v>
      </c>
      <c r="Y32" s="53">
        <f>VLOOKUP($A$32,'Sociodem statistics'!$B$13:$J$15,9,FALSE)</f>
        <v>1</v>
      </c>
      <c r="Z32" s="53">
        <f>VLOOKUP($A$32,'Sociodem statistics'!$B$13:$J$15,9,FALSE)</f>
        <v>1</v>
      </c>
      <c r="AA32" s="53">
        <f>VLOOKUP($A$32,'Sociodem statistics'!$B$13:$J$15,9,FALSE)</f>
        <v>1</v>
      </c>
      <c r="AB32" s="47"/>
      <c r="AC32" s="47"/>
      <c r="AD32" s="47"/>
      <c r="AE32" s="47"/>
      <c r="AF32" s="47"/>
      <c r="AG32" s="47"/>
      <c r="AH32" s="47"/>
      <c r="AI32" s="47"/>
      <c r="AJ32" s="47"/>
      <c r="AK32" s="47"/>
      <c r="AL32" s="47"/>
      <c r="AM32" s="47"/>
      <c r="AN32" s="47"/>
      <c r="AO32" s="47"/>
      <c r="AP32" s="47"/>
      <c r="AQ32" s="47"/>
      <c r="AR32" s="47"/>
      <c r="AS32" s="47"/>
      <c r="AT32" s="47"/>
      <c r="AU32" s="47"/>
      <c r="AV32" s="47"/>
      <c r="AW32" s="47"/>
      <c r="AX32" s="47"/>
      <c r="AY32" s="47"/>
      <c r="AZ32" s="47"/>
      <c r="BA32" s="47"/>
      <c r="BB32" s="47"/>
      <c r="BC32" s="47"/>
      <c r="BD32" s="47"/>
      <c r="BE32" s="47"/>
      <c r="BF32" s="47"/>
      <c r="BG32" s="47"/>
      <c r="BH32" s="47"/>
      <c r="BI32" s="47"/>
      <c r="BJ32" s="47"/>
      <c r="BK32" s="47"/>
      <c r="BL32" s="47"/>
      <c r="BM32" s="47"/>
      <c r="BN32" s="47"/>
      <c r="BO32" s="47"/>
      <c r="BP32" s="47"/>
      <c r="BQ32" s="47"/>
      <c r="BR32" s="47"/>
      <c r="BS32" s="47"/>
      <c r="BT32" s="47"/>
      <c r="BU32" s="47"/>
      <c r="BV32" s="47"/>
      <c r="BW32" s="47"/>
      <c r="BX32" s="47"/>
      <c r="BY32" s="47"/>
      <c r="BZ32" s="47"/>
      <c r="CA32" s="47"/>
      <c r="CB32" s="47"/>
    </row>
    <row r="33" spans="1:80" ht="15.5" x14ac:dyDescent="0.35">
      <c r="A33" s="45" t="s">
        <v>377</v>
      </c>
      <c r="B33" s="53">
        <f>VLOOKUP($A$33,'Sociodem statistics'!$B$16:$J$19,9,FALSE)</f>
        <v>1</v>
      </c>
      <c r="C33" s="53">
        <f>VLOOKUP($A$33,'Sociodem statistics'!$B$16:$J$19,9,FALSE)</f>
        <v>1</v>
      </c>
      <c r="D33" s="53">
        <f>VLOOKUP($A$33,'Sociodem statistics'!$B$16:$J$19,9,FALSE)</f>
        <v>1</v>
      </c>
      <c r="E33" s="53">
        <f>VLOOKUP($A$33,'Sociodem statistics'!$B$16:$J$19,9,FALSE)</f>
        <v>1</v>
      </c>
      <c r="F33" s="53">
        <f>VLOOKUP($A$33,'Sociodem statistics'!$B$16:$J$19,9,FALSE)</f>
        <v>1</v>
      </c>
      <c r="G33" s="53">
        <f>VLOOKUP($A$33,'Sociodem statistics'!$B$16:$J$19,9,FALSE)</f>
        <v>1</v>
      </c>
      <c r="H33" s="53">
        <f>VLOOKUP($A$33,'Sociodem statistics'!$B$16:$J$19,9,FALSE)</f>
        <v>1</v>
      </c>
      <c r="I33" s="53">
        <f>VLOOKUP($A$33,'Sociodem statistics'!$B$16:$J$19,9,FALSE)</f>
        <v>1</v>
      </c>
      <c r="J33" s="53">
        <f>VLOOKUP($A$33,'Sociodem statistics'!$B$16:$J$19,9,FALSE)</f>
        <v>1</v>
      </c>
      <c r="K33" s="53">
        <f>VLOOKUP($A$33,'Sociodem statistics'!$B$16:$J$19,9,FALSE)</f>
        <v>1</v>
      </c>
      <c r="L33" s="53">
        <f>VLOOKUP($A$33,'Sociodem statistics'!$B$16:$J$19,9,FALSE)</f>
        <v>1</v>
      </c>
      <c r="M33" s="53">
        <f>VLOOKUP($A$33,'Sociodem statistics'!$B$16:$J$19,9,FALSE)</f>
        <v>1</v>
      </c>
      <c r="N33" s="53">
        <f>VLOOKUP($A$33,'Sociodem statistics'!$B$16:$J$19,9,FALSE)</f>
        <v>1</v>
      </c>
      <c r="O33" s="53">
        <f>VLOOKUP($A$33,'Sociodem statistics'!$B$16:$J$19,9,FALSE)</f>
        <v>1</v>
      </c>
      <c r="P33" s="53">
        <f>VLOOKUP($A$33,'Sociodem statistics'!$B$16:$J$19,9,FALSE)</f>
        <v>1</v>
      </c>
      <c r="Q33" s="53">
        <f>VLOOKUP($A$33,'Sociodem statistics'!$B$16:$J$19,9,FALSE)</f>
        <v>1</v>
      </c>
      <c r="R33" s="53">
        <f>VLOOKUP($A$33,'Sociodem statistics'!$B$16:$J$19,9,FALSE)</f>
        <v>1</v>
      </c>
      <c r="S33" s="53">
        <f>VLOOKUP($A$33,'Sociodem statistics'!$B$16:$J$19,9,FALSE)</f>
        <v>1</v>
      </c>
      <c r="T33" s="53">
        <f>VLOOKUP($A$33,'Sociodem statistics'!$B$16:$J$19,9,FALSE)</f>
        <v>1</v>
      </c>
      <c r="U33" s="53">
        <f>VLOOKUP($A$33,'Sociodem statistics'!$B$16:$J$19,9,FALSE)</f>
        <v>1</v>
      </c>
      <c r="V33" s="53">
        <f>VLOOKUP($A$33,'Sociodem statistics'!$B$16:$J$19,9,FALSE)</f>
        <v>1</v>
      </c>
      <c r="W33" s="53">
        <f>VLOOKUP($A$33,'Sociodem statistics'!$B$16:$J$19,9,FALSE)</f>
        <v>1</v>
      </c>
      <c r="X33" s="53">
        <f>VLOOKUP($A$33,'Sociodem statistics'!$B$16:$J$19,9,FALSE)</f>
        <v>1</v>
      </c>
      <c r="Y33" s="53">
        <f>VLOOKUP($A$33,'Sociodem statistics'!$B$16:$J$19,9,FALSE)</f>
        <v>1</v>
      </c>
      <c r="Z33" s="53">
        <f>VLOOKUP($A$33,'Sociodem statistics'!$B$16:$J$19,9,FALSE)</f>
        <v>1</v>
      </c>
      <c r="AA33" s="53">
        <f>VLOOKUP($A$33,'Sociodem statistics'!$B$16:$J$19,9,FALSE)</f>
        <v>1</v>
      </c>
      <c r="AB33" s="47"/>
      <c r="AC33" s="47"/>
      <c r="AD33" s="47"/>
      <c r="AE33" s="47"/>
      <c r="AF33" s="47"/>
      <c r="AG33" s="47"/>
      <c r="AH33" s="47"/>
      <c r="AI33" s="47"/>
      <c r="AJ33" s="178" t="s">
        <v>456</v>
      </c>
      <c r="AK33" s="178"/>
      <c r="AL33" s="178"/>
      <c r="AM33" s="178"/>
      <c r="AN33" s="47"/>
      <c r="AO33" s="47"/>
      <c r="AP33" s="47"/>
      <c r="AQ33" s="87" t="s">
        <v>471</v>
      </c>
      <c r="AR33" s="4">
        <v>1</v>
      </c>
      <c r="AS33" s="47"/>
      <c r="AT33" s="47"/>
      <c r="AU33" s="47"/>
      <c r="AV33" s="47"/>
      <c r="AW33" s="47"/>
      <c r="AX33" s="47"/>
      <c r="AY33" s="47"/>
      <c r="AZ33" s="47"/>
      <c r="BA33" s="47"/>
      <c r="BB33" s="47"/>
      <c r="BC33" s="47"/>
      <c r="BD33" s="47"/>
      <c r="BE33" s="47"/>
      <c r="BF33" s="47"/>
      <c r="BG33" s="47"/>
      <c r="BH33" s="47"/>
      <c r="BI33" s="47"/>
      <c r="BJ33" s="47"/>
      <c r="BK33" s="47"/>
      <c r="BL33" s="47"/>
      <c r="BM33" s="47"/>
      <c r="BN33" s="47"/>
      <c r="BO33" s="47"/>
      <c r="BP33" s="47"/>
      <c r="BQ33" s="47"/>
      <c r="BR33" s="47"/>
      <c r="BS33" s="47"/>
      <c r="BT33" s="47"/>
      <c r="BU33" s="47"/>
      <c r="BV33" s="47"/>
      <c r="BW33" s="47"/>
      <c r="BX33" s="47"/>
      <c r="BY33" s="47"/>
      <c r="BZ33" s="47"/>
      <c r="CA33" s="47"/>
      <c r="CB33" s="47"/>
    </row>
    <row r="34" spans="1:80" ht="15.5" x14ac:dyDescent="0.35">
      <c r="A34" s="45" t="s">
        <v>402</v>
      </c>
      <c r="B34" s="53">
        <f>VLOOKUP($A$34,'Sociodem statistics'!$B$29:$J$31,9,FALSE)</f>
        <v>1</v>
      </c>
      <c r="C34" s="53">
        <f>VLOOKUP($A$34,'Sociodem statistics'!$B$29:$J$31,9,FALSE)</f>
        <v>1</v>
      </c>
      <c r="D34" s="53">
        <f>VLOOKUP($A$34,'Sociodem statistics'!$B$29:$J$31,9,FALSE)</f>
        <v>1</v>
      </c>
      <c r="E34" s="53">
        <f>VLOOKUP($A$34,'Sociodem statistics'!$B$29:$J$31,9,FALSE)</f>
        <v>1</v>
      </c>
      <c r="F34" s="53">
        <f>VLOOKUP($A$34,'Sociodem statistics'!$B$29:$J$31,9,FALSE)</f>
        <v>1</v>
      </c>
      <c r="G34" s="53">
        <f>VLOOKUP($A$34,'Sociodem statistics'!$B$29:$J$31,9,FALSE)</f>
        <v>1</v>
      </c>
      <c r="H34" s="53">
        <f>VLOOKUP($A$34,'Sociodem statistics'!$B$29:$J$31,9,FALSE)</f>
        <v>1</v>
      </c>
      <c r="I34" s="53">
        <f>VLOOKUP($A$34,'Sociodem statistics'!$B$29:$J$31,9,FALSE)</f>
        <v>1</v>
      </c>
      <c r="J34" s="53">
        <f>VLOOKUP($A$34,'Sociodem statistics'!$B$29:$J$31,9,FALSE)</f>
        <v>1</v>
      </c>
      <c r="K34" s="53">
        <f>VLOOKUP($A$34,'Sociodem statistics'!$B$29:$J$31,9,FALSE)</f>
        <v>1</v>
      </c>
      <c r="L34" s="53">
        <f>VLOOKUP($A$34,'Sociodem statistics'!$B$29:$J$31,9,FALSE)</f>
        <v>1</v>
      </c>
      <c r="M34" s="53">
        <f>VLOOKUP($A$34,'Sociodem statistics'!$B$29:$J$31,9,FALSE)</f>
        <v>1</v>
      </c>
      <c r="N34" s="53">
        <f>VLOOKUP($A$34,'Sociodem statistics'!$B$29:$J$31,9,FALSE)</f>
        <v>1</v>
      </c>
      <c r="O34" s="53">
        <f>VLOOKUP($A$34,'Sociodem statistics'!$B$29:$J$31,9,FALSE)</f>
        <v>1</v>
      </c>
      <c r="P34" s="53">
        <f>VLOOKUP($A$34,'Sociodem statistics'!$B$29:$J$31,9,FALSE)</f>
        <v>1</v>
      </c>
      <c r="Q34" s="53">
        <f>VLOOKUP($A$34,'Sociodem statistics'!$B$29:$J$31,9,FALSE)</f>
        <v>1</v>
      </c>
      <c r="R34" s="53">
        <f>VLOOKUP($A$34,'Sociodem statistics'!$B$29:$J$31,9,FALSE)</f>
        <v>1</v>
      </c>
      <c r="S34" s="53">
        <f>VLOOKUP($A$34,'Sociodem statistics'!$B$29:$J$31,9,FALSE)</f>
        <v>1</v>
      </c>
      <c r="T34" s="53">
        <f>VLOOKUP($A$34,'Sociodem statistics'!$B$29:$J$31,9,FALSE)</f>
        <v>1</v>
      </c>
      <c r="U34" s="53">
        <f>VLOOKUP($A$34,'Sociodem statistics'!$B$29:$J$31,9,FALSE)</f>
        <v>1</v>
      </c>
      <c r="V34" s="53">
        <f>VLOOKUP($A$34,'Sociodem statistics'!$B$29:$J$31,9,FALSE)</f>
        <v>1</v>
      </c>
      <c r="W34" s="53">
        <f>VLOOKUP($A$34,'Sociodem statistics'!$B$29:$J$31,9,FALSE)</f>
        <v>1</v>
      </c>
      <c r="X34" s="53">
        <f>VLOOKUP($A$34,'Sociodem statistics'!$B$29:$J$31,9,FALSE)</f>
        <v>1</v>
      </c>
      <c r="Y34" s="53">
        <f>VLOOKUP($A$34,'Sociodem statistics'!$B$29:$J$31,9,FALSE)</f>
        <v>1</v>
      </c>
      <c r="Z34" s="53">
        <f>VLOOKUP($A$34,'Sociodem statistics'!$B$29:$J$31,9,FALSE)</f>
        <v>1</v>
      </c>
      <c r="AA34" s="53">
        <f>VLOOKUP($A$34,'Sociodem statistics'!$B$29:$J$31,9,FALSE)</f>
        <v>1</v>
      </c>
      <c r="AB34" s="47"/>
      <c r="AC34" s="47"/>
      <c r="AD34" s="47"/>
      <c r="AE34" s="47"/>
      <c r="AF34" s="47"/>
      <c r="AG34" s="47"/>
      <c r="AH34" s="47"/>
      <c r="AI34" s="47"/>
      <c r="AJ34" s="4"/>
      <c r="AK34" s="4"/>
      <c r="AL34" s="4"/>
      <c r="AM34" s="4"/>
      <c r="AN34" s="47"/>
      <c r="AO34" s="47"/>
      <c r="AP34" s="47"/>
      <c r="AQ34" s="87" t="s">
        <v>472</v>
      </c>
      <c r="AR34" s="4">
        <v>1</v>
      </c>
      <c r="AS34" s="47"/>
      <c r="AT34" s="47"/>
      <c r="AU34" s="47"/>
      <c r="AV34" s="47"/>
      <c r="AW34" s="47"/>
      <c r="AX34" s="47"/>
      <c r="AY34" s="47"/>
      <c r="AZ34" s="47"/>
      <c r="BA34" s="47"/>
      <c r="BB34" s="47"/>
      <c r="BC34" s="47"/>
      <c r="BD34" s="47"/>
      <c r="BE34" s="47"/>
      <c r="BF34" s="47"/>
      <c r="BG34" s="47"/>
      <c r="BH34" s="47"/>
      <c r="BI34" s="47"/>
      <c r="BJ34" s="47"/>
      <c r="BK34" s="47"/>
      <c r="BL34" s="47"/>
      <c r="BM34" s="47"/>
      <c r="BN34" s="47"/>
      <c r="BO34" s="47"/>
      <c r="BP34" s="47"/>
      <c r="BQ34" s="47"/>
      <c r="BR34" s="47"/>
      <c r="BS34" s="47"/>
      <c r="BT34" s="47"/>
      <c r="BU34" s="47"/>
      <c r="BV34" s="47"/>
      <c r="BW34" s="47"/>
      <c r="BX34" s="47"/>
      <c r="BY34" s="47"/>
      <c r="BZ34" s="47"/>
      <c r="CA34" s="47"/>
      <c r="CB34" s="47"/>
    </row>
    <row r="35" spans="1:80" ht="15.5" x14ac:dyDescent="0.35">
      <c r="A35" s="45" t="s">
        <v>414</v>
      </c>
      <c r="B35" s="53">
        <f>VLOOKUP($A$35,'Sociodem statistics'!$B$39:$J$41,9,FALSE)</f>
        <v>1</v>
      </c>
      <c r="C35" s="53">
        <f>VLOOKUP($A$35,'Sociodem statistics'!$B$39:$J$41,9,FALSE)</f>
        <v>1</v>
      </c>
      <c r="D35" s="53">
        <f>VLOOKUP($A$35,'Sociodem statistics'!$B$39:$J$41,9,FALSE)</f>
        <v>1</v>
      </c>
      <c r="E35" s="53">
        <f>VLOOKUP($A$35,'Sociodem statistics'!$B$39:$J$41,9,FALSE)</f>
        <v>1</v>
      </c>
      <c r="F35" s="53">
        <f>VLOOKUP($A$35,'Sociodem statistics'!$B$39:$J$41,9,FALSE)</f>
        <v>1</v>
      </c>
      <c r="G35" s="53">
        <f>VLOOKUP($A$35,'Sociodem statistics'!$B$39:$J$41,9,FALSE)</f>
        <v>1</v>
      </c>
      <c r="H35" s="53">
        <f>VLOOKUP($A$35,'Sociodem statistics'!$B$39:$J$41,9,FALSE)</f>
        <v>1</v>
      </c>
      <c r="I35" s="53">
        <f>VLOOKUP($A$35,'Sociodem statistics'!$B$39:$J$41,9,FALSE)</f>
        <v>1</v>
      </c>
      <c r="J35" s="53">
        <f>VLOOKUP($A$35,'Sociodem statistics'!$B$39:$J$41,9,FALSE)</f>
        <v>1</v>
      </c>
      <c r="K35" s="53">
        <f>VLOOKUP($A$35,'Sociodem statistics'!$B$39:$J$41,9,FALSE)</f>
        <v>1</v>
      </c>
      <c r="L35" s="53">
        <f>VLOOKUP($A$35,'Sociodem statistics'!$B$39:$J$41,9,FALSE)</f>
        <v>1</v>
      </c>
      <c r="M35" s="53">
        <f>VLOOKUP($A$35,'Sociodem statistics'!$B$39:$J$41,9,FALSE)</f>
        <v>1</v>
      </c>
      <c r="N35" s="53">
        <f>VLOOKUP($A$35,'Sociodem statistics'!$B$39:$J$41,9,FALSE)</f>
        <v>1</v>
      </c>
      <c r="O35" s="53">
        <f>VLOOKUP($A$35,'Sociodem statistics'!$B$39:$J$41,9,FALSE)</f>
        <v>1</v>
      </c>
      <c r="P35" s="53">
        <f>VLOOKUP($A$35,'Sociodem statistics'!$B$39:$J$41,9,FALSE)</f>
        <v>1</v>
      </c>
      <c r="Q35" s="53">
        <f>VLOOKUP($A$35,'Sociodem statistics'!$B$39:$J$41,9,FALSE)</f>
        <v>1</v>
      </c>
      <c r="R35" s="53">
        <f>VLOOKUP($A$35,'Sociodem statistics'!$B$39:$J$41,9,FALSE)</f>
        <v>1</v>
      </c>
      <c r="S35" s="53">
        <f>VLOOKUP($A$35,'Sociodem statistics'!$B$39:$J$41,9,FALSE)</f>
        <v>1</v>
      </c>
      <c r="T35" s="53">
        <f>VLOOKUP($A$35,'Sociodem statistics'!$B$39:$J$41,9,FALSE)</f>
        <v>1</v>
      </c>
      <c r="U35" s="53">
        <f>VLOOKUP($A$35,'Sociodem statistics'!$B$39:$J$41,9,FALSE)</f>
        <v>1</v>
      </c>
      <c r="V35" s="53">
        <f>VLOOKUP($A$35,'Sociodem statistics'!$B$39:$J$41,9,FALSE)</f>
        <v>1</v>
      </c>
      <c r="W35" s="53">
        <f>VLOOKUP($A$35,'Sociodem statistics'!$B$39:$J$41,9,FALSE)</f>
        <v>1</v>
      </c>
      <c r="X35" s="53">
        <f>VLOOKUP($A$35,'Sociodem statistics'!$B$39:$J$41,9,FALSE)</f>
        <v>1</v>
      </c>
      <c r="Y35" s="53">
        <f>VLOOKUP($A$35,'Sociodem statistics'!$B$39:$J$41,9,FALSE)</f>
        <v>1</v>
      </c>
      <c r="Z35" s="53">
        <f>VLOOKUP($A$35,'Sociodem statistics'!$B$39:$J$41,9,FALSE)</f>
        <v>1</v>
      </c>
      <c r="AA35" s="53">
        <f>VLOOKUP($A$35,'Sociodem statistics'!$B$39:$J$41,9,FALSE)</f>
        <v>1</v>
      </c>
      <c r="AB35" s="47"/>
      <c r="AC35" s="47"/>
      <c r="AD35" s="47"/>
      <c r="AE35" s="47"/>
      <c r="AF35" s="47"/>
      <c r="AG35" s="47"/>
      <c r="AH35" s="47"/>
      <c r="AI35" s="47"/>
      <c r="AJ35" s="4"/>
      <c r="AK35" s="71" t="s">
        <v>449</v>
      </c>
      <c r="AL35" s="71" t="s">
        <v>450</v>
      </c>
      <c r="AM35" s="71" t="s">
        <v>451</v>
      </c>
      <c r="AN35" s="47"/>
      <c r="AO35" s="47"/>
      <c r="AP35" s="47"/>
      <c r="AQ35" s="87" t="s">
        <v>473</v>
      </c>
      <c r="AR35" s="4">
        <v>1</v>
      </c>
      <c r="AS35" s="47"/>
      <c r="AT35" s="47"/>
      <c r="AU35" s="47"/>
      <c r="AV35" s="47"/>
      <c r="AW35" s="47"/>
      <c r="AX35" s="47"/>
      <c r="AY35" s="47"/>
      <c r="AZ35" s="47"/>
      <c r="BA35" s="47"/>
      <c r="BB35" s="47"/>
      <c r="BC35" s="47"/>
      <c r="BD35" s="47"/>
      <c r="BE35" s="47"/>
      <c r="BF35" s="47"/>
      <c r="BG35" s="47"/>
      <c r="BH35" s="47"/>
      <c r="BI35" s="47"/>
      <c r="BJ35" s="47"/>
      <c r="BK35" s="47"/>
      <c r="BL35" s="47"/>
      <c r="BM35" s="47"/>
      <c r="BN35" s="47"/>
      <c r="BO35" s="47"/>
      <c r="BP35" s="47"/>
      <c r="BQ35" s="47"/>
      <c r="BR35" s="47"/>
      <c r="BS35" s="47"/>
      <c r="BT35" s="47"/>
      <c r="BU35" s="47"/>
      <c r="BV35" s="47"/>
      <c r="BW35" s="47"/>
      <c r="BX35" s="47"/>
      <c r="BY35" s="47"/>
      <c r="BZ35" s="47"/>
      <c r="CA35" s="47"/>
      <c r="CB35" s="47"/>
    </row>
    <row r="36" spans="1:80" ht="15.5" x14ac:dyDescent="0.35">
      <c r="A36" s="46" t="s">
        <v>416</v>
      </c>
      <c r="B36" s="54">
        <f t="shared" ref="B36:AA36" si="4">B20*100/(500*PRODUCT(B29:B35))</f>
        <v>8.235294117647058</v>
      </c>
      <c r="C36" s="54">
        <f t="shared" si="4"/>
        <v>8.235294117647058</v>
      </c>
      <c r="D36" s="54">
        <f t="shared" si="4"/>
        <v>8.235294117647058</v>
      </c>
      <c r="E36" s="54">
        <f t="shared" si="4"/>
        <v>8.235294117647058</v>
      </c>
      <c r="F36" s="54">
        <f t="shared" si="4"/>
        <v>8.235294117647058</v>
      </c>
      <c r="G36" s="54">
        <f t="shared" si="4"/>
        <v>8.235294117647058</v>
      </c>
      <c r="H36" s="54">
        <f t="shared" si="4"/>
        <v>8.235294117647058</v>
      </c>
      <c r="I36" s="54">
        <f t="shared" si="4"/>
        <v>8.235294117647058</v>
      </c>
      <c r="J36" s="54">
        <f t="shared" si="4"/>
        <v>8.235294117647058</v>
      </c>
      <c r="K36" s="54">
        <f t="shared" si="4"/>
        <v>8.235294117647058</v>
      </c>
      <c r="L36" s="54">
        <f t="shared" si="4"/>
        <v>8.235294117647058</v>
      </c>
      <c r="M36" s="54">
        <f t="shared" si="4"/>
        <v>8.235294117647058</v>
      </c>
      <c r="N36" s="54">
        <f t="shared" si="4"/>
        <v>22.352941176470587</v>
      </c>
      <c r="O36" s="54">
        <f t="shared" si="4"/>
        <v>22.352941176470587</v>
      </c>
      <c r="P36" s="54">
        <f t="shared" si="4"/>
        <v>22.352941176470587</v>
      </c>
      <c r="Q36" s="54">
        <f t="shared" si="4"/>
        <v>22.352941176470587</v>
      </c>
      <c r="R36" s="54">
        <f t="shared" si="4"/>
        <v>22.352941176470587</v>
      </c>
      <c r="S36" s="54">
        <f t="shared" si="4"/>
        <v>22.352941176470587</v>
      </c>
      <c r="T36" s="54">
        <f t="shared" si="4"/>
        <v>22.352941176470587</v>
      </c>
      <c r="U36" s="54">
        <f t="shared" si="4"/>
        <v>22.352941176470587</v>
      </c>
      <c r="V36" s="54">
        <f t="shared" si="4"/>
        <v>23.921568627450981</v>
      </c>
      <c r="W36" s="54">
        <f t="shared" si="4"/>
        <v>23.921568627450981</v>
      </c>
      <c r="X36" s="54">
        <f t="shared" si="4"/>
        <v>23.921568627450981</v>
      </c>
      <c r="Y36" s="54">
        <f t="shared" si="4"/>
        <v>23.921568627450981</v>
      </c>
      <c r="Z36" s="55">
        <f t="shared" si="4"/>
        <v>23.921568627450981</v>
      </c>
      <c r="AA36" s="56">
        <f t="shared" si="4"/>
        <v>23.921568627450981</v>
      </c>
      <c r="AB36" s="47"/>
      <c r="AC36" s="57">
        <f>AVERAGE(B36:AA36)</f>
        <v>16.199095022624434</v>
      </c>
      <c r="AD36" s="47"/>
      <c r="AE36" s="47"/>
      <c r="AF36" s="47"/>
      <c r="AG36" s="47"/>
      <c r="AH36" s="47"/>
      <c r="AI36" s="47"/>
      <c r="AJ36" s="72" t="s">
        <v>445</v>
      </c>
      <c r="AK36" s="73">
        <v>0.38412260002651299</v>
      </c>
      <c r="AL36" s="73">
        <v>0.45522603464447903</v>
      </c>
      <c r="AM36" s="73">
        <v>0.53450594271514795</v>
      </c>
      <c r="AN36" s="47"/>
      <c r="AO36" s="47"/>
      <c r="AP36" s="47"/>
      <c r="AQ36" s="87" t="s">
        <v>474</v>
      </c>
      <c r="AR36" s="4">
        <v>0</v>
      </c>
      <c r="AS36" s="47"/>
      <c r="AT36" s="47"/>
      <c r="AU36" s="47"/>
      <c r="AV36" s="47"/>
      <c r="AW36" s="47"/>
      <c r="AX36" s="47"/>
      <c r="AY36" s="47"/>
      <c r="AZ36" s="47"/>
      <c r="BA36" s="47"/>
      <c r="BB36" s="47"/>
      <c r="BC36" s="47"/>
      <c r="BD36" s="47"/>
      <c r="BE36" s="47"/>
      <c r="BF36" s="47"/>
      <c r="BG36" s="47"/>
      <c r="BH36" s="47"/>
      <c r="BI36" s="47"/>
      <c r="BJ36" s="47"/>
      <c r="BK36" s="47"/>
      <c r="BL36" s="47"/>
      <c r="BM36" s="47"/>
      <c r="BN36" s="47"/>
      <c r="BO36" s="47"/>
      <c r="BP36" s="47"/>
      <c r="BQ36" s="47"/>
      <c r="BR36" s="47"/>
      <c r="BS36" s="47"/>
      <c r="BT36" s="47"/>
      <c r="BU36" s="47"/>
      <c r="BV36" s="47"/>
      <c r="BW36" s="47"/>
      <c r="BX36" s="47"/>
      <c r="BY36" s="47"/>
      <c r="BZ36" s="47"/>
      <c r="CA36" s="47"/>
      <c r="CB36" s="47"/>
    </row>
    <row r="37" spans="1:80" ht="15.5" x14ac:dyDescent="0.35">
      <c r="AJ37" s="72" t="s">
        <v>446</v>
      </c>
      <c r="AK37" s="73">
        <v>0.16211138523412499</v>
      </c>
      <c r="AL37" s="73">
        <v>0.18699631349149601</v>
      </c>
      <c r="AM37" s="73">
        <v>0.21750660211468301</v>
      </c>
      <c r="AQ37" s="87" t="s">
        <v>475</v>
      </c>
      <c r="AR37" s="4">
        <v>0.27600000000000002</v>
      </c>
    </row>
    <row r="38" spans="1:80" ht="15.5" x14ac:dyDescent="0.35">
      <c r="Y38" s="181" t="s">
        <v>426</v>
      </c>
      <c r="Z38" s="181"/>
      <c r="AA38" s="181"/>
      <c r="AB38" s="181"/>
      <c r="AC38" s="63">
        <f>AC22*AC36</f>
        <v>4.8116351762051952</v>
      </c>
      <c r="AJ38" s="77" t="s">
        <v>447</v>
      </c>
      <c r="AK38" s="78">
        <v>0.20017234694145</v>
      </c>
      <c r="AL38" s="78">
        <v>0.23244200991217501</v>
      </c>
      <c r="AM38" s="78">
        <v>0.27067396857755999</v>
      </c>
      <c r="AQ38" s="87" t="s">
        <v>476</v>
      </c>
      <c r="AR38" s="4">
        <v>1</v>
      </c>
    </row>
    <row r="39" spans="1:80" ht="15.5" x14ac:dyDescent="0.35">
      <c r="Y39" s="182" t="s">
        <v>427</v>
      </c>
      <c r="Z39" s="182"/>
      <c r="AA39" s="182"/>
      <c r="AB39" s="182"/>
      <c r="AC39" s="63">
        <f>AC24*AC36</f>
        <v>4.4023230942075351</v>
      </c>
      <c r="AJ39" s="77" t="s">
        <v>448</v>
      </c>
      <c r="AK39" s="78">
        <v>0.10970141132070001</v>
      </c>
      <c r="AL39" s="78">
        <v>0.12533564195185001</v>
      </c>
      <c r="AM39" s="78">
        <v>0.14539076140513599</v>
      </c>
      <c r="AQ39" s="87" t="s">
        <v>477</v>
      </c>
      <c r="AR39" s="81">
        <v>0</v>
      </c>
    </row>
    <row r="40" spans="1:80" ht="15.5" x14ac:dyDescent="0.35">
      <c r="Y40" s="67"/>
      <c r="Z40" s="67"/>
      <c r="AA40" s="67"/>
      <c r="AB40" s="67"/>
      <c r="AC40" s="63"/>
      <c r="AQ40" s="87" t="s">
        <v>478</v>
      </c>
      <c r="AR40" s="81">
        <v>1</v>
      </c>
    </row>
    <row r="41" spans="1:80" ht="15.5" x14ac:dyDescent="0.35">
      <c r="Y41" s="67"/>
      <c r="Z41" s="67"/>
      <c r="AA41" s="67"/>
      <c r="AB41" s="67"/>
      <c r="AC41" s="63"/>
      <c r="AJ41" s="178" t="s">
        <v>457</v>
      </c>
      <c r="AK41" s="178"/>
      <c r="AL41" s="178"/>
      <c r="AM41" s="178"/>
      <c r="AQ41" s="87" t="s">
        <v>479</v>
      </c>
      <c r="AR41" s="81">
        <v>1</v>
      </c>
    </row>
    <row r="42" spans="1:80" ht="16" thickBot="1" x14ac:dyDescent="0.4">
      <c r="A42" s="174" t="s">
        <v>526</v>
      </c>
      <c r="B42" s="174"/>
      <c r="C42" s="174"/>
      <c r="AJ42" s="4"/>
      <c r="AK42" s="4"/>
      <c r="AL42" s="4"/>
      <c r="AM42" s="4"/>
      <c r="AQ42" s="87" t="s">
        <v>480</v>
      </c>
      <c r="AR42" s="81">
        <v>0</v>
      </c>
    </row>
    <row r="43" spans="1:80" ht="16" thickBot="1" x14ac:dyDescent="0.4">
      <c r="A43" s="83" t="s">
        <v>57</v>
      </c>
      <c r="B43" s="172" t="s">
        <v>26</v>
      </c>
      <c r="C43" s="172"/>
      <c r="D43" s="172"/>
      <c r="E43" s="172"/>
      <c r="F43" s="172"/>
      <c r="G43" s="11" t="s">
        <v>27</v>
      </c>
      <c r="H43" s="11" t="s">
        <v>28</v>
      </c>
      <c r="I43" s="11" t="s">
        <v>470</v>
      </c>
      <c r="J43" s="172" t="s">
        <v>26</v>
      </c>
      <c r="K43" s="172"/>
      <c r="L43" s="172"/>
      <c r="M43" s="172"/>
      <c r="N43" s="172"/>
      <c r="O43" s="11" t="s">
        <v>29</v>
      </c>
      <c r="P43" s="11" t="s">
        <v>30</v>
      </c>
      <c r="Q43" s="12" t="s">
        <v>31</v>
      </c>
      <c r="R43" s="13" t="s">
        <v>32</v>
      </c>
      <c r="V43" s="111"/>
      <c r="W43" s="100"/>
      <c r="AJ43" s="4"/>
      <c r="AK43" s="4"/>
      <c r="AL43" s="4"/>
      <c r="AM43" s="4"/>
      <c r="AQ43" s="87" t="s">
        <v>481</v>
      </c>
      <c r="AR43" s="81">
        <v>0</v>
      </c>
    </row>
    <row r="44" spans="1:80" ht="15.5" x14ac:dyDescent="0.35">
      <c r="A44" s="161" t="s">
        <v>33</v>
      </c>
      <c r="B44" s="163" t="s">
        <v>34</v>
      </c>
      <c r="C44" s="163"/>
      <c r="D44" s="163"/>
      <c r="E44" s="163"/>
      <c r="F44" s="163"/>
      <c r="G44" s="165">
        <v>0.39471891323857683</v>
      </c>
      <c r="H44" s="163">
        <f>RANK(G44,G44:G52)</f>
        <v>1</v>
      </c>
      <c r="I44" s="84" t="s">
        <v>35</v>
      </c>
      <c r="J44" s="163" t="s">
        <v>36</v>
      </c>
      <c r="K44" s="163"/>
      <c r="L44" s="163"/>
      <c r="M44" s="163"/>
      <c r="N44" s="163"/>
      <c r="O44" s="68">
        <v>0.46783402143044722</v>
      </c>
      <c r="P44" s="14">
        <f>RANK(O44,O44:O47)</f>
        <v>1</v>
      </c>
      <c r="Q44" s="15">
        <f>O44*G44</f>
        <v>0.18466293651505919</v>
      </c>
      <c r="R44" s="16">
        <f>RANK(Q44, $Q$44:$Q$52)</f>
        <v>2</v>
      </c>
      <c r="V44" s="112"/>
      <c r="W44" s="118"/>
      <c r="AJ44" s="74" t="s">
        <v>452</v>
      </c>
      <c r="AK44" s="4">
        <v>1</v>
      </c>
      <c r="AL44" s="4">
        <v>1</v>
      </c>
      <c r="AM44" s="4">
        <v>1</v>
      </c>
      <c r="AQ44" s="87" t="s">
        <v>482</v>
      </c>
      <c r="AR44" s="81">
        <v>0</v>
      </c>
    </row>
    <row r="45" spans="1:80" ht="15.5" x14ac:dyDescent="0.35">
      <c r="A45" s="169"/>
      <c r="B45" s="170"/>
      <c r="C45" s="170"/>
      <c r="D45" s="170"/>
      <c r="E45" s="170"/>
      <c r="F45" s="170"/>
      <c r="G45" s="173"/>
      <c r="H45" s="170"/>
      <c r="I45" s="85" t="s">
        <v>37</v>
      </c>
      <c r="J45" s="170" t="s">
        <v>38</v>
      </c>
      <c r="K45" s="170"/>
      <c r="L45" s="170"/>
      <c r="M45" s="170"/>
      <c r="N45" s="170"/>
      <c r="O45" s="70">
        <v>0.16209676289180894</v>
      </c>
      <c r="P45" s="16">
        <f>RANK(O45,O44:O47)</f>
        <v>3</v>
      </c>
      <c r="Q45" s="15">
        <f>O45*G44</f>
        <v>6.3982658088146085E-2</v>
      </c>
      <c r="R45" s="16">
        <f t="shared" ref="R45:R52" si="5">RANK(Q45, $Q$44:$Q$52)</f>
        <v>8</v>
      </c>
      <c r="V45" s="109"/>
      <c r="W45" s="118"/>
      <c r="AJ45" s="74" t="s">
        <v>453</v>
      </c>
      <c r="AK45" s="4">
        <v>0</v>
      </c>
      <c r="AL45" s="4">
        <v>0</v>
      </c>
      <c r="AM45" s="4">
        <v>1</v>
      </c>
    </row>
    <row r="46" spans="1:80" ht="15.5" x14ac:dyDescent="0.35">
      <c r="A46" s="169"/>
      <c r="B46" s="170"/>
      <c r="C46" s="170"/>
      <c r="D46" s="170"/>
      <c r="E46" s="170"/>
      <c r="F46" s="170"/>
      <c r="G46" s="173"/>
      <c r="H46" s="170"/>
      <c r="I46" s="85" t="s">
        <v>39</v>
      </c>
      <c r="J46" s="170" t="s">
        <v>40</v>
      </c>
      <c r="K46" s="170"/>
      <c r="L46" s="170"/>
      <c r="M46" s="170"/>
      <c r="N46" s="170"/>
      <c r="O46" s="70">
        <v>0.24753085855987872</v>
      </c>
      <c r="P46" s="16">
        <f>RANK(O46,O44:O47)</f>
        <v>2</v>
      </c>
      <c r="Q46" s="15">
        <f>O46*G44</f>
        <v>9.7705111483767204E-2</v>
      </c>
      <c r="R46" s="16">
        <f t="shared" si="5"/>
        <v>4</v>
      </c>
      <c r="V46" s="109"/>
      <c r="W46" s="118"/>
      <c r="AJ46" s="80" t="s">
        <v>454</v>
      </c>
      <c r="AK46" s="81">
        <v>0</v>
      </c>
      <c r="AL46" s="81">
        <v>1</v>
      </c>
      <c r="AM46" s="81">
        <v>1</v>
      </c>
    </row>
    <row r="47" spans="1:80" ht="16" thickBot="1" x14ac:dyDescent="0.4">
      <c r="A47" s="162"/>
      <c r="B47" s="164"/>
      <c r="C47" s="164"/>
      <c r="D47" s="164"/>
      <c r="E47" s="164"/>
      <c r="F47" s="164"/>
      <c r="G47" s="166"/>
      <c r="H47" s="164"/>
      <c r="I47" s="86" t="s">
        <v>41</v>
      </c>
      <c r="J47" s="164" t="s">
        <v>42</v>
      </c>
      <c r="K47" s="164"/>
      <c r="L47" s="164"/>
      <c r="M47" s="164"/>
      <c r="N47" s="164"/>
      <c r="O47" s="69">
        <v>0.12253835711786513</v>
      </c>
      <c r="P47" s="17">
        <f>RANK(O47,O44:O47)</f>
        <v>4</v>
      </c>
      <c r="Q47" s="15">
        <f>O47*G44</f>
        <v>4.836820715160435E-2</v>
      </c>
      <c r="R47" s="16">
        <f t="shared" si="5"/>
        <v>9</v>
      </c>
      <c r="V47" s="109"/>
      <c r="W47" s="118"/>
      <c r="AJ47" s="80" t="s">
        <v>455</v>
      </c>
      <c r="AK47" s="81">
        <v>0</v>
      </c>
      <c r="AL47" s="81">
        <v>0</v>
      </c>
      <c r="AM47" s="81">
        <v>0</v>
      </c>
    </row>
    <row r="48" spans="1:80" ht="15.5" x14ac:dyDescent="0.35">
      <c r="A48" s="161" t="s">
        <v>43</v>
      </c>
      <c r="B48" s="163" t="s">
        <v>44</v>
      </c>
      <c r="C48" s="163"/>
      <c r="D48" s="163"/>
      <c r="E48" s="163"/>
      <c r="F48" s="163"/>
      <c r="G48" s="165">
        <v>0.22037603095278913</v>
      </c>
      <c r="H48" s="163">
        <f>RANK(G48,G44:G52)</f>
        <v>3</v>
      </c>
      <c r="I48" s="84" t="s">
        <v>45</v>
      </c>
      <c r="J48" s="163" t="s">
        <v>46</v>
      </c>
      <c r="K48" s="163"/>
      <c r="L48" s="163"/>
      <c r="M48" s="163"/>
      <c r="N48" s="163"/>
      <c r="O48" s="68">
        <v>0.4001268822574986</v>
      </c>
      <c r="P48" s="14">
        <f>RANK(O48,O48:O50)</f>
        <v>1</v>
      </c>
      <c r="Q48" s="15">
        <f>O48*G48</f>
        <v>8.8178374189421524E-2</v>
      </c>
      <c r="R48" s="16">
        <f t="shared" si="5"/>
        <v>5</v>
      </c>
      <c r="V48" s="109"/>
      <c r="W48" s="118"/>
    </row>
    <row r="49" spans="1:61" ht="15.5" x14ac:dyDescent="0.35">
      <c r="A49" s="169"/>
      <c r="B49" s="170"/>
      <c r="C49" s="170"/>
      <c r="D49" s="170"/>
      <c r="E49" s="170"/>
      <c r="F49" s="170"/>
      <c r="G49" s="173"/>
      <c r="H49" s="170"/>
      <c r="I49" s="85" t="s">
        <v>47</v>
      </c>
      <c r="J49" s="170" t="s">
        <v>48</v>
      </c>
      <c r="K49" s="170"/>
      <c r="L49" s="170"/>
      <c r="M49" s="170"/>
      <c r="N49" s="170"/>
      <c r="O49" s="70">
        <v>0.29072630463589788</v>
      </c>
      <c r="P49" s="16">
        <f>RANK(O49,O48:O50)</f>
        <v>3</v>
      </c>
      <c r="Q49" s="15">
        <f>O49*G48</f>
        <v>6.4069109109230638E-2</v>
      </c>
      <c r="R49" s="16">
        <f t="shared" si="5"/>
        <v>7</v>
      </c>
      <c r="V49" s="109"/>
      <c r="W49" s="118"/>
    </row>
    <row r="50" spans="1:61" ht="16" thickBot="1" x14ac:dyDescent="0.4">
      <c r="A50" s="162"/>
      <c r="B50" s="164"/>
      <c r="C50" s="164"/>
      <c r="D50" s="164"/>
      <c r="E50" s="164"/>
      <c r="F50" s="164"/>
      <c r="G50" s="166"/>
      <c r="H50" s="164"/>
      <c r="I50" s="86" t="s">
        <v>49</v>
      </c>
      <c r="J50" s="164" t="s">
        <v>50</v>
      </c>
      <c r="K50" s="164"/>
      <c r="L50" s="164"/>
      <c r="M50" s="164"/>
      <c r="N50" s="164"/>
      <c r="O50" s="69">
        <v>0.30914681310660352</v>
      </c>
      <c r="P50" s="17">
        <f>RANK(O50,O48:O50)</f>
        <v>2</v>
      </c>
      <c r="Q50" s="15">
        <f>O50*G48</f>
        <v>6.8128547654136978E-2</v>
      </c>
      <c r="R50" s="16">
        <f t="shared" si="5"/>
        <v>6</v>
      </c>
      <c r="V50" s="109"/>
      <c r="W50" s="118"/>
    </row>
    <row r="51" spans="1:61" ht="16" thickBot="1" x14ac:dyDescent="0.4">
      <c r="A51" s="161" t="s">
        <v>51</v>
      </c>
      <c r="B51" s="163" t="s">
        <v>52</v>
      </c>
      <c r="C51" s="163"/>
      <c r="D51" s="163"/>
      <c r="E51" s="163"/>
      <c r="F51" s="163"/>
      <c r="G51" s="165">
        <v>0.38490505580863416</v>
      </c>
      <c r="H51" s="163">
        <f>RANK(G51,G44:G52)</f>
        <v>2</v>
      </c>
      <c r="I51" s="84" t="s">
        <v>53</v>
      </c>
      <c r="J51" s="163" t="s">
        <v>54</v>
      </c>
      <c r="K51" s="163"/>
      <c r="L51" s="163"/>
      <c r="M51" s="163"/>
      <c r="N51" s="163"/>
      <c r="O51" s="68">
        <v>0.468853118991165</v>
      </c>
      <c r="P51" s="14">
        <f>RANK(O51,O51:O52)</f>
        <v>2</v>
      </c>
      <c r="Q51" s="15">
        <f>O51*G51</f>
        <v>0.18046393593134655</v>
      </c>
      <c r="R51" s="16">
        <f t="shared" si="5"/>
        <v>3</v>
      </c>
      <c r="V51" s="109"/>
      <c r="W51" s="118"/>
    </row>
    <row r="52" spans="1:61" ht="16" thickBot="1" x14ac:dyDescent="0.4">
      <c r="A52" s="162"/>
      <c r="B52" s="164"/>
      <c r="C52" s="164"/>
      <c r="D52" s="164"/>
      <c r="E52" s="164"/>
      <c r="F52" s="164"/>
      <c r="G52" s="166"/>
      <c r="H52" s="164"/>
      <c r="I52" s="18" t="s">
        <v>55</v>
      </c>
      <c r="J52" s="167" t="s">
        <v>56</v>
      </c>
      <c r="K52" s="168"/>
      <c r="L52" s="168"/>
      <c r="M52" s="168"/>
      <c r="N52" s="168"/>
      <c r="O52" s="69">
        <v>0.531146881008835</v>
      </c>
      <c r="P52" s="17">
        <f>RANK(O52,O51:O52)</f>
        <v>1</v>
      </c>
      <c r="Q52" s="19">
        <f>O52*G51</f>
        <v>0.20444111987728761</v>
      </c>
      <c r="R52" s="16">
        <f t="shared" si="5"/>
        <v>1</v>
      </c>
      <c r="V52" s="109"/>
      <c r="W52" s="118"/>
      <c r="AL52" s="90" t="s">
        <v>26</v>
      </c>
      <c r="AM52" s="90"/>
      <c r="AN52" s="90"/>
      <c r="AO52" s="90"/>
      <c r="AP52" s="90"/>
    </row>
    <row r="53" spans="1:61" ht="15.5" x14ac:dyDescent="0.35">
      <c r="AL53" s="91" t="s">
        <v>36</v>
      </c>
      <c r="AM53" s="91"/>
      <c r="AN53" s="91"/>
      <c r="AO53" s="91"/>
      <c r="AP53" s="91"/>
    </row>
    <row r="54" spans="1:61" ht="15.5" x14ac:dyDescent="0.35">
      <c r="A54" s="119"/>
      <c r="B54" s="119"/>
      <c r="C54" s="119"/>
      <c r="D54" s="99"/>
      <c r="E54" s="99"/>
      <c r="F54" s="99"/>
      <c r="G54" s="99"/>
      <c r="H54" s="99"/>
      <c r="I54" s="99"/>
      <c r="J54" s="99"/>
      <c r="K54" s="99"/>
      <c r="L54" s="99"/>
      <c r="M54" s="99"/>
      <c r="N54" s="99"/>
      <c r="O54" s="99"/>
      <c r="P54" s="99"/>
      <c r="Q54" s="99"/>
      <c r="R54" s="99"/>
      <c r="S54" s="99"/>
      <c r="T54" s="99"/>
      <c r="U54" s="99"/>
      <c r="V54" s="99"/>
      <c r="W54" s="99"/>
      <c r="X54" s="99"/>
      <c r="Y54" s="99"/>
      <c r="Z54" s="99"/>
      <c r="AA54" s="99"/>
      <c r="AB54" s="99"/>
      <c r="AL54" s="89" t="s">
        <v>38</v>
      </c>
      <c r="AM54" s="89"/>
      <c r="AN54" s="89"/>
      <c r="AO54" s="89"/>
      <c r="AP54" s="89"/>
    </row>
    <row r="55" spans="1:61" ht="15.5" x14ac:dyDescent="0.35">
      <c r="A55" s="100"/>
      <c r="B55" s="111"/>
      <c r="C55" s="111"/>
      <c r="D55" s="111"/>
      <c r="E55" s="111"/>
      <c r="F55" s="111"/>
      <c r="G55" s="100"/>
      <c r="H55" s="100"/>
      <c r="I55" s="100"/>
      <c r="J55" s="111"/>
      <c r="K55" s="111"/>
      <c r="L55" s="111"/>
      <c r="M55" s="111"/>
      <c r="N55" s="111"/>
      <c r="O55" s="100"/>
      <c r="P55" s="100"/>
      <c r="Q55" s="100"/>
      <c r="R55" s="100"/>
      <c r="S55" s="99"/>
      <c r="T55" s="99"/>
      <c r="U55" s="99"/>
      <c r="V55" s="111"/>
      <c r="W55" s="100"/>
      <c r="X55" s="99"/>
      <c r="Y55" s="99"/>
      <c r="Z55" s="99"/>
      <c r="AA55" s="99"/>
      <c r="AB55" s="99"/>
      <c r="AL55" s="89" t="s">
        <v>40</v>
      </c>
      <c r="AM55" s="89"/>
      <c r="AN55" s="89"/>
      <c r="AO55" s="89"/>
      <c r="AP55" s="89"/>
    </row>
    <row r="56" spans="1:61" ht="16" thickBot="1" x14ac:dyDescent="0.4">
      <c r="A56" s="111"/>
      <c r="B56" s="109"/>
      <c r="C56" s="109"/>
      <c r="D56" s="109"/>
      <c r="E56" s="109"/>
      <c r="F56" s="109"/>
      <c r="G56" s="115"/>
      <c r="H56" s="109"/>
      <c r="I56" s="100"/>
      <c r="J56" s="109"/>
      <c r="K56" s="109"/>
      <c r="L56" s="109"/>
      <c r="M56" s="109"/>
      <c r="N56" s="109"/>
      <c r="O56" s="118"/>
      <c r="P56" s="100"/>
      <c r="Q56" s="118"/>
      <c r="R56" s="100"/>
      <c r="S56" s="99"/>
      <c r="T56" s="99"/>
      <c r="U56" s="99"/>
      <c r="V56" s="112"/>
      <c r="W56" s="118"/>
      <c r="X56" s="99"/>
      <c r="Y56" s="99"/>
      <c r="Z56" s="99"/>
      <c r="AA56" s="99"/>
      <c r="AB56" s="99"/>
      <c r="AL56" s="92" t="s">
        <v>42</v>
      </c>
      <c r="AM56" s="92"/>
      <c r="AN56" s="92"/>
      <c r="AO56" s="92"/>
      <c r="AP56" s="92"/>
    </row>
    <row r="57" spans="1:61" ht="15.5" x14ac:dyDescent="0.35">
      <c r="A57" s="111"/>
      <c r="B57" s="109"/>
      <c r="C57" s="109"/>
      <c r="D57" s="109"/>
      <c r="E57" s="109"/>
      <c r="F57" s="109"/>
      <c r="G57" s="115"/>
      <c r="H57" s="109"/>
      <c r="I57" s="100"/>
      <c r="J57" s="109"/>
      <c r="K57" s="109"/>
      <c r="L57" s="109"/>
      <c r="M57" s="109"/>
      <c r="N57" s="109"/>
      <c r="O57" s="118"/>
      <c r="P57" s="100"/>
      <c r="Q57" s="118"/>
      <c r="R57" s="100"/>
      <c r="S57" s="99"/>
      <c r="T57" s="99"/>
      <c r="U57" s="99"/>
      <c r="V57" s="109"/>
      <c r="W57" s="118"/>
      <c r="X57" s="99"/>
      <c r="Y57" s="99"/>
      <c r="Z57" s="99"/>
      <c r="AA57" s="99"/>
      <c r="AB57" s="99"/>
      <c r="AL57" s="91" t="s">
        <v>46</v>
      </c>
      <c r="AM57" s="91"/>
      <c r="AN57" s="91"/>
      <c r="AO57" s="91"/>
      <c r="AP57" s="91"/>
    </row>
    <row r="58" spans="1:61" ht="15.5" x14ac:dyDescent="0.35">
      <c r="A58" s="111"/>
      <c r="B58" s="109"/>
      <c r="C58" s="109"/>
      <c r="D58" s="109"/>
      <c r="E58" s="109"/>
      <c r="F58" s="109"/>
      <c r="G58" s="115"/>
      <c r="H58" s="109"/>
      <c r="I58" s="100"/>
      <c r="J58" s="109"/>
      <c r="K58" s="109"/>
      <c r="L58" s="109"/>
      <c r="M58" s="109"/>
      <c r="N58" s="109"/>
      <c r="O58" s="118"/>
      <c r="P58" s="100"/>
      <c r="Q58" s="118"/>
      <c r="R58" s="100"/>
      <c r="S58" s="99"/>
      <c r="T58" s="99"/>
      <c r="U58" s="99"/>
      <c r="V58" s="109"/>
      <c r="W58" s="118"/>
      <c r="X58" s="99"/>
      <c r="Y58" s="99"/>
      <c r="Z58" s="99"/>
      <c r="AA58" s="99"/>
      <c r="AB58" s="99"/>
      <c r="AL58" s="89" t="s">
        <v>48</v>
      </c>
      <c r="AM58" s="89"/>
      <c r="AN58" s="89"/>
      <c r="AO58" s="89"/>
      <c r="AP58" s="89"/>
    </row>
    <row r="59" spans="1:61" ht="16" thickBot="1" x14ac:dyDescent="0.4">
      <c r="A59" s="111"/>
      <c r="B59" s="109"/>
      <c r="C59" s="109"/>
      <c r="D59" s="109"/>
      <c r="E59" s="109"/>
      <c r="F59" s="109"/>
      <c r="G59" s="115"/>
      <c r="H59" s="109"/>
      <c r="I59" s="100"/>
      <c r="J59" s="109"/>
      <c r="K59" s="109"/>
      <c r="L59" s="109"/>
      <c r="M59" s="109"/>
      <c r="N59" s="109"/>
      <c r="O59" s="118"/>
      <c r="P59" s="100"/>
      <c r="Q59" s="118"/>
      <c r="R59" s="100"/>
      <c r="S59" s="99"/>
      <c r="T59" s="99"/>
      <c r="U59" s="99"/>
      <c r="V59" s="109"/>
      <c r="W59" s="118"/>
      <c r="X59" s="99"/>
      <c r="Y59" s="99"/>
      <c r="Z59" s="99"/>
      <c r="AA59" s="99"/>
      <c r="AB59" s="99"/>
      <c r="AL59" s="92" t="s">
        <v>50</v>
      </c>
      <c r="AM59" s="92"/>
      <c r="AN59" s="92"/>
      <c r="AO59" s="92"/>
      <c r="AP59" s="92"/>
    </row>
    <row r="60" spans="1:61" ht="15.5" x14ac:dyDescent="0.35">
      <c r="A60" s="111"/>
      <c r="B60" s="109"/>
      <c r="C60" s="109"/>
      <c r="D60" s="109"/>
      <c r="E60" s="109"/>
      <c r="F60" s="109"/>
      <c r="G60" s="115"/>
      <c r="H60" s="109"/>
      <c r="I60" s="100"/>
      <c r="J60" s="109"/>
      <c r="K60" s="109"/>
      <c r="L60" s="109"/>
      <c r="M60" s="109"/>
      <c r="N60" s="109"/>
      <c r="O60" s="118"/>
      <c r="P60" s="100"/>
      <c r="Q60" s="118"/>
      <c r="R60" s="100"/>
      <c r="S60" s="99"/>
      <c r="T60" s="99"/>
      <c r="U60" s="99"/>
      <c r="V60" s="109"/>
      <c r="W60" s="118"/>
      <c r="X60" s="99"/>
      <c r="Y60" s="99"/>
      <c r="Z60" s="99"/>
      <c r="AA60" s="99"/>
      <c r="AB60" s="99"/>
      <c r="AL60" s="91" t="s">
        <v>54</v>
      </c>
      <c r="AM60" s="91"/>
      <c r="AN60" s="91"/>
      <c r="AO60" s="91"/>
      <c r="AP60" s="91"/>
    </row>
    <row r="61" spans="1:61" ht="17.5" thickBot="1" x14ac:dyDescent="0.4">
      <c r="A61" s="111"/>
      <c r="B61" s="109"/>
      <c r="C61" s="109"/>
      <c r="D61" s="109"/>
      <c r="E61" s="109"/>
      <c r="F61" s="109"/>
      <c r="G61" s="115"/>
      <c r="H61" s="109"/>
      <c r="I61" s="100"/>
      <c r="J61" s="109"/>
      <c r="K61" s="109"/>
      <c r="L61" s="109"/>
      <c r="M61" s="109"/>
      <c r="N61" s="109"/>
      <c r="O61" s="118"/>
      <c r="P61" s="100"/>
      <c r="Q61" s="118"/>
      <c r="R61" s="100"/>
      <c r="S61" s="110"/>
      <c r="T61" s="110"/>
      <c r="U61" s="99"/>
      <c r="V61" s="109"/>
      <c r="W61" s="118"/>
      <c r="X61" s="99"/>
      <c r="Y61" s="99"/>
      <c r="Z61" s="99"/>
      <c r="AA61" s="99"/>
      <c r="AB61" s="99"/>
      <c r="AL61" s="116" t="s">
        <v>56</v>
      </c>
      <c r="AM61" s="117"/>
      <c r="AN61" s="117"/>
      <c r="AO61" s="117"/>
      <c r="AP61" s="117"/>
      <c r="AQ61" s="99"/>
      <c r="AR61" s="99"/>
      <c r="AS61" s="99"/>
      <c r="AT61" s="99"/>
      <c r="AU61" s="99"/>
      <c r="AV61" s="99"/>
      <c r="AW61" s="99"/>
      <c r="AX61" s="99"/>
      <c r="AY61" s="99"/>
      <c r="AZ61" s="99"/>
      <c r="BA61" s="99"/>
      <c r="BB61" s="99"/>
      <c r="BC61" s="99"/>
      <c r="BD61" s="99"/>
      <c r="BE61" s="99"/>
      <c r="BF61" s="99"/>
      <c r="BG61" s="99"/>
      <c r="BH61" s="99"/>
      <c r="BI61" s="99"/>
    </row>
    <row r="62" spans="1:61" ht="15.5" x14ac:dyDescent="0.35">
      <c r="A62" s="111"/>
      <c r="B62" s="109"/>
      <c r="C62" s="109"/>
      <c r="D62" s="109"/>
      <c r="E62" s="109"/>
      <c r="F62" s="109"/>
      <c r="G62" s="115"/>
      <c r="H62" s="109"/>
      <c r="I62" s="100"/>
      <c r="J62" s="109"/>
      <c r="K62" s="109"/>
      <c r="L62" s="109"/>
      <c r="M62" s="109"/>
      <c r="N62" s="109"/>
      <c r="O62" s="118"/>
      <c r="P62" s="100"/>
      <c r="Q62" s="118"/>
      <c r="R62" s="100"/>
      <c r="S62" s="111"/>
      <c r="T62" s="111"/>
      <c r="U62" s="111"/>
      <c r="V62" s="109"/>
      <c r="W62" s="118"/>
      <c r="X62" s="99"/>
      <c r="Y62" s="99"/>
      <c r="Z62" s="99"/>
      <c r="AA62" s="99"/>
      <c r="AB62" s="99"/>
      <c r="AO62" s="99"/>
      <c r="AP62" s="99"/>
      <c r="AQ62" s="99"/>
      <c r="AR62" s="99"/>
      <c r="AS62" s="99"/>
      <c r="AT62" s="99"/>
      <c r="AU62" s="99"/>
      <c r="AV62" s="99"/>
      <c r="AW62" s="99"/>
      <c r="AX62" s="99"/>
      <c r="AY62" s="99"/>
      <c r="AZ62" s="99"/>
      <c r="BA62" s="99"/>
      <c r="BB62" s="99"/>
      <c r="BC62" s="99"/>
      <c r="BD62" s="99"/>
      <c r="BE62" s="99"/>
      <c r="BF62" s="99"/>
      <c r="BG62" s="99"/>
      <c r="BH62" s="99"/>
      <c r="BI62" s="99"/>
    </row>
    <row r="63" spans="1:61" ht="17" x14ac:dyDescent="0.35">
      <c r="A63" s="111"/>
      <c r="B63" s="109"/>
      <c r="C63" s="109"/>
      <c r="D63" s="109"/>
      <c r="E63" s="109"/>
      <c r="F63" s="109"/>
      <c r="G63" s="115"/>
      <c r="H63" s="109"/>
      <c r="I63" s="100"/>
      <c r="J63" s="109"/>
      <c r="K63" s="109"/>
      <c r="L63" s="109"/>
      <c r="M63" s="109"/>
      <c r="N63" s="109"/>
      <c r="O63" s="118"/>
      <c r="P63" s="100"/>
      <c r="Q63" s="118"/>
      <c r="R63" s="100"/>
      <c r="S63" s="108"/>
      <c r="T63" s="108"/>
      <c r="U63" s="108"/>
      <c r="V63" s="109"/>
      <c r="W63" s="118"/>
      <c r="X63" s="99"/>
      <c r="Y63" s="99"/>
      <c r="Z63" s="99"/>
      <c r="AA63" s="99"/>
      <c r="AB63" s="99"/>
      <c r="AO63" s="110"/>
      <c r="AP63" s="110"/>
      <c r="AQ63" s="110"/>
      <c r="AR63" s="110"/>
      <c r="AS63" s="110"/>
      <c r="AT63" s="110"/>
      <c r="AU63" s="110"/>
      <c r="AV63" s="110"/>
      <c r="AW63" s="99"/>
      <c r="AX63" s="99"/>
      <c r="AY63" s="99"/>
      <c r="AZ63" s="99"/>
      <c r="BA63" s="110"/>
      <c r="BB63" s="110"/>
      <c r="BC63" s="110"/>
      <c r="BD63" s="110"/>
      <c r="BE63" s="110"/>
      <c r="BF63" s="110"/>
      <c r="BG63" s="110"/>
      <c r="BH63" s="110"/>
      <c r="BI63" s="99"/>
    </row>
    <row r="64" spans="1:61" ht="17" x14ac:dyDescent="0.35">
      <c r="A64" s="111"/>
      <c r="B64" s="109"/>
      <c r="C64" s="109"/>
      <c r="D64" s="109"/>
      <c r="E64" s="109"/>
      <c r="F64" s="109"/>
      <c r="G64" s="115"/>
      <c r="H64" s="109"/>
      <c r="I64" s="107"/>
      <c r="J64" s="112"/>
      <c r="K64" s="113"/>
      <c r="L64" s="113"/>
      <c r="M64" s="113"/>
      <c r="N64" s="113"/>
      <c r="O64" s="118"/>
      <c r="P64" s="100"/>
      <c r="Q64" s="118"/>
      <c r="R64" s="100"/>
      <c r="S64" s="108"/>
      <c r="T64" s="108"/>
      <c r="U64" s="108"/>
      <c r="V64" s="109"/>
      <c r="W64" s="118"/>
      <c r="X64" s="99"/>
      <c r="Y64" s="99"/>
      <c r="Z64" s="99"/>
      <c r="AA64" s="99"/>
      <c r="AB64" s="99"/>
      <c r="AO64" s="100"/>
      <c r="AP64" s="100"/>
      <c r="AQ64" s="111"/>
      <c r="AR64" s="111"/>
      <c r="AS64" s="111"/>
      <c r="AT64" s="111"/>
      <c r="AU64" s="111"/>
      <c r="AV64" s="100"/>
      <c r="AW64" s="99"/>
      <c r="AX64" s="99"/>
      <c r="AY64" s="99"/>
      <c r="AZ64" s="99"/>
      <c r="BA64" s="100"/>
      <c r="BB64" s="100"/>
      <c r="BC64" s="111"/>
      <c r="BD64" s="111"/>
      <c r="BE64" s="111"/>
      <c r="BF64" s="111"/>
      <c r="BG64" s="111"/>
      <c r="BH64" s="100"/>
      <c r="BI64" s="99"/>
    </row>
    <row r="65" spans="1:61" ht="17" x14ac:dyDescent="0.35">
      <c r="A65" s="99"/>
      <c r="B65" s="99"/>
      <c r="C65" s="99"/>
      <c r="D65" s="99"/>
      <c r="E65" s="101"/>
      <c r="F65" s="102"/>
      <c r="G65" s="108"/>
      <c r="H65" s="108"/>
      <c r="I65" s="108"/>
      <c r="J65" s="108"/>
      <c r="K65" s="108"/>
      <c r="L65" s="103"/>
      <c r="M65" s="99"/>
      <c r="N65" s="99"/>
      <c r="O65" s="99"/>
      <c r="P65" s="101"/>
      <c r="Q65" s="102"/>
      <c r="R65" s="108"/>
      <c r="S65" s="108"/>
      <c r="T65" s="108"/>
      <c r="U65" s="108"/>
      <c r="V65" s="108"/>
      <c r="W65" s="103"/>
      <c r="X65" s="99"/>
      <c r="Y65" s="99"/>
      <c r="Z65" s="99"/>
      <c r="AA65" s="99"/>
      <c r="AB65" s="99"/>
      <c r="AO65" s="101"/>
      <c r="AP65" s="102"/>
      <c r="AQ65" s="108"/>
      <c r="AR65" s="108"/>
      <c r="AS65" s="108"/>
      <c r="AT65" s="108"/>
      <c r="AU65" s="108"/>
      <c r="AV65" s="103"/>
      <c r="AW65" s="99"/>
      <c r="AX65" s="99"/>
      <c r="AY65" s="99"/>
      <c r="AZ65" s="99"/>
      <c r="BA65" s="104"/>
      <c r="BB65" s="105"/>
      <c r="BC65" s="114"/>
      <c r="BD65" s="114"/>
      <c r="BE65" s="114"/>
      <c r="BF65" s="114"/>
      <c r="BG65" s="114"/>
      <c r="BH65" s="106"/>
      <c r="BI65" s="99"/>
    </row>
    <row r="66" spans="1:61" ht="17" x14ac:dyDescent="0.35">
      <c r="A66" s="119"/>
      <c r="B66" s="119"/>
      <c r="C66" s="119"/>
      <c r="D66" s="99"/>
      <c r="E66" s="99"/>
      <c r="F66" s="99"/>
      <c r="G66" s="99"/>
      <c r="H66" s="99"/>
      <c r="I66" s="99"/>
      <c r="J66" s="99"/>
      <c r="K66" s="99"/>
      <c r="L66" s="99"/>
      <c r="M66" s="99"/>
      <c r="N66" s="99"/>
      <c r="O66" s="99"/>
      <c r="P66" s="99"/>
      <c r="Q66" s="99"/>
      <c r="R66" s="99"/>
      <c r="S66" s="109"/>
      <c r="T66" s="109"/>
      <c r="U66" s="109"/>
      <c r="V66" s="109"/>
      <c r="W66" s="115"/>
      <c r="X66" s="109"/>
      <c r="Y66" s="99"/>
      <c r="Z66" s="99"/>
      <c r="AA66" s="99"/>
      <c r="AB66" s="99"/>
      <c r="AO66" s="101"/>
      <c r="AP66" s="102"/>
      <c r="AQ66" s="108"/>
      <c r="AR66" s="108"/>
      <c r="AS66" s="108"/>
      <c r="AT66" s="108"/>
      <c r="AU66" s="108"/>
      <c r="AV66" s="103"/>
      <c r="AW66" s="99"/>
      <c r="AX66" s="99"/>
      <c r="AY66" s="99"/>
      <c r="AZ66" s="99"/>
      <c r="BA66" s="101"/>
      <c r="BB66" s="101"/>
      <c r="BC66" s="108"/>
      <c r="BD66" s="108"/>
      <c r="BE66" s="108"/>
      <c r="BF66" s="108"/>
      <c r="BG66" s="108"/>
      <c r="BH66" s="103"/>
      <c r="BI66" s="99"/>
    </row>
    <row r="67" spans="1:61" ht="17" x14ac:dyDescent="0.35">
      <c r="A67" s="100"/>
      <c r="B67" s="111"/>
      <c r="C67" s="111"/>
      <c r="D67" s="111"/>
      <c r="E67" s="111"/>
      <c r="F67" s="111"/>
      <c r="G67" s="100"/>
      <c r="H67" s="100"/>
      <c r="I67" s="100"/>
      <c r="J67" s="111"/>
      <c r="K67" s="111"/>
      <c r="L67" s="111"/>
      <c r="M67" s="111"/>
      <c r="N67" s="111"/>
      <c r="O67" s="100"/>
      <c r="P67" s="100"/>
      <c r="Q67" s="100"/>
      <c r="R67" s="100"/>
      <c r="S67" s="109"/>
      <c r="T67" s="109"/>
      <c r="U67" s="109"/>
      <c r="V67" s="111"/>
      <c r="W67" s="100"/>
      <c r="X67" s="109"/>
      <c r="Y67" s="99"/>
      <c r="Z67" s="99"/>
      <c r="AA67" s="99"/>
      <c r="AB67" s="99"/>
      <c r="AO67" s="101"/>
      <c r="AP67" s="102"/>
      <c r="AQ67" s="108"/>
      <c r="AR67" s="108"/>
      <c r="AS67" s="108"/>
      <c r="AT67" s="108"/>
      <c r="AU67" s="108"/>
      <c r="AV67" s="103"/>
      <c r="AW67" s="99"/>
      <c r="AX67" s="99"/>
      <c r="AY67" s="99"/>
      <c r="AZ67" s="99"/>
      <c r="BA67" s="101"/>
      <c r="BB67" s="101"/>
      <c r="BC67" s="108"/>
      <c r="BD67" s="108"/>
      <c r="BE67" s="108"/>
      <c r="BF67" s="108"/>
      <c r="BG67" s="108"/>
      <c r="BH67" s="103"/>
      <c r="BI67" s="99"/>
    </row>
    <row r="68" spans="1:61" ht="17" x14ac:dyDescent="0.35">
      <c r="A68" s="111"/>
      <c r="B68" s="109"/>
      <c r="C68" s="109"/>
      <c r="D68" s="109"/>
      <c r="E68" s="109"/>
      <c r="F68" s="109"/>
      <c r="G68" s="115"/>
      <c r="H68" s="109"/>
      <c r="I68" s="100"/>
      <c r="J68" s="109"/>
      <c r="K68" s="109"/>
      <c r="L68" s="109"/>
      <c r="M68" s="109"/>
      <c r="N68" s="109"/>
      <c r="O68" s="118"/>
      <c r="P68" s="100"/>
      <c r="Q68" s="118"/>
      <c r="R68" s="100"/>
      <c r="S68" s="99"/>
      <c r="T68" s="99"/>
      <c r="U68" s="99"/>
      <c r="V68" s="112"/>
      <c r="W68" s="118"/>
      <c r="X68" s="99"/>
      <c r="Y68" s="99"/>
      <c r="Z68" s="99"/>
      <c r="AA68" s="99"/>
      <c r="AB68" s="99"/>
      <c r="AO68" s="110"/>
      <c r="AP68" s="110"/>
      <c r="AQ68" s="110"/>
      <c r="AR68" s="110"/>
      <c r="AS68" s="110"/>
      <c r="AT68" s="110"/>
      <c r="AU68" s="110"/>
      <c r="AV68" s="110"/>
      <c r="AW68" s="99"/>
      <c r="AX68" s="99"/>
      <c r="AY68" s="99"/>
      <c r="AZ68" s="99"/>
      <c r="BA68" s="101"/>
      <c r="BB68" s="101"/>
      <c r="BC68" s="108"/>
      <c r="BD68" s="108"/>
      <c r="BE68" s="108"/>
      <c r="BF68" s="108"/>
      <c r="BG68" s="108"/>
      <c r="BH68" s="103"/>
      <c r="BI68" s="99"/>
    </row>
    <row r="69" spans="1:61" ht="17" x14ac:dyDescent="0.35">
      <c r="A69" s="111"/>
      <c r="B69" s="109"/>
      <c r="C69" s="109"/>
      <c r="D69" s="109"/>
      <c r="E69" s="109"/>
      <c r="F69" s="109"/>
      <c r="G69" s="115"/>
      <c r="H69" s="109"/>
      <c r="I69" s="100"/>
      <c r="J69" s="109"/>
      <c r="K69" s="109"/>
      <c r="L69" s="109"/>
      <c r="M69" s="109"/>
      <c r="N69" s="109"/>
      <c r="O69" s="118"/>
      <c r="P69" s="100"/>
      <c r="Q69" s="118"/>
      <c r="R69" s="100"/>
      <c r="S69" s="99"/>
      <c r="T69" s="99"/>
      <c r="U69" s="99"/>
      <c r="V69" s="109"/>
      <c r="W69" s="118"/>
      <c r="X69" s="99"/>
      <c r="Y69" s="99"/>
      <c r="Z69" s="99"/>
      <c r="AA69" s="99"/>
      <c r="AB69" s="99"/>
      <c r="AO69" s="100"/>
      <c r="AP69" s="100"/>
      <c r="AQ69" s="111"/>
      <c r="AR69" s="111"/>
      <c r="AS69" s="111"/>
      <c r="AT69" s="111"/>
      <c r="AU69" s="111"/>
      <c r="AV69" s="100"/>
      <c r="AW69" s="99"/>
      <c r="AX69" s="99"/>
      <c r="AY69" s="99"/>
      <c r="AZ69" s="99"/>
      <c r="BA69" s="101"/>
      <c r="BB69" s="100"/>
      <c r="BC69" s="109"/>
      <c r="BD69" s="109"/>
      <c r="BE69" s="109"/>
      <c r="BF69" s="109"/>
      <c r="BG69" s="109"/>
      <c r="BH69" s="103"/>
      <c r="BI69" s="99"/>
    </row>
    <row r="70" spans="1:61" ht="17" x14ac:dyDescent="0.35">
      <c r="A70" s="111"/>
      <c r="B70" s="109"/>
      <c r="C70" s="109"/>
      <c r="D70" s="109"/>
      <c r="E70" s="109"/>
      <c r="F70" s="109"/>
      <c r="G70" s="115"/>
      <c r="H70" s="109"/>
      <c r="I70" s="100"/>
      <c r="J70" s="109"/>
      <c r="K70" s="109"/>
      <c r="L70" s="109"/>
      <c r="M70" s="109"/>
      <c r="N70" s="109"/>
      <c r="O70" s="118"/>
      <c r="P70" s="100"/>
      <c r="Q70" s="118"/>
      <c r="R70" s="100"/>
      <c r="S70" s="110"/>
      <c r="T70" s="110"/>
      <c r="U70" s="110"/>
      <c r="V70" s="109"/>
      <c r="W70" s="118"/>
      <c r="X70" s="99"/>
      <c r="Y70" s="99"/>
      <c r="Z70" s="99"/>
      <c r="AA70" s="99"/>
      <c r="AB70" s="99"/>
      <c r="AO70" s="101"/>
      <c r="AP70" s="102"/>
      <c r="AQ70" s="108"/>
      <c r="AR70" s="108"/>
      <c r="AS70" s="108"/>
      <c r="AT70" s="108"/>
      <c r="AU70" s="108"/>
      <c r="AV70" s="103"/>
      <c r="AW70" s="99"/>
      <c r="AX70" s="99"/>
      <c r="AY70" s="99"/>
      <c r="AZ70" s="99"/>
      <c r="BA70" s="101"/>
      <c r="BB70" s="101"/>
      <c r="BC70" s="108"/>
      <c r="BD70" s="108"/>
      <c r="BE70" s="108"/>
      <c r="BF70" s="108"/>
      <c r="BG70" s="108"/>
      <c r="BH70" s="103"/>
      <c r="BI70" s="99"/>
    </row>
    <row r="71" spans="1:61" ht="17" x14ac:dyDescent="0.35">
      <c r="A71" s="111"/>
      <c r="B71" s="109"/>
      <c r="C71" s="109"/>
      <c r="D71" s="109"/>
      <c r="E71" s="109"/>
      <c r="F71" s="109"/>
      <c r="G71" s="115"/>
      <c r="H71" s="109"/>
      <c r="I71" s="100"/>
      <c r="J71" s="109"/>
      <c r="K71" s="109"/>
      <c r="L71" s="109"/>
      <c r="M71" s="109"/>
      <c r="N71" s="109"/>
      <c r="O71" s="118"/>
      <c r="P71" s="100"/>
      <c r="Q71" s="118"/>
      <c r="R71" s="100"/>
      <c r="S71" s="111"/>
      <c r="T71" s="111"/>
      <c r="U71" s="111"/>
      <c r="V71" s="109"/>
      <c r="W71" s="118"/>
      <c r="X71" s="100"/>
      <c r="Y71" s="99"/>
      <c r="Z71" s="99"/>
      <c r="AA71" s="99"/>
      <c r="AB71" s="99"/>
      <c r="AO71" s="101"/>
      <c r="AP71" s="102"/>
      <c r="AQ71" s="108"/>
      <c r="AR71" s="108"/>
      <c r="AS71" s="108"/>
      <c r="AT71" s="108"/>
      <c r="AU71" s="108"/>
      <c r="AV71" s="103"/>
      <c r="AW71" s="99"/>
      <c r="AX71" s="99"/>
      <c r="AY71" s="99"/>
      <c r="AZ71" s="99"/>
      <c r="BA71" s="101"/>
      <c r="BB71" s="101"/>
      <c r="BC71" s="108"/>
      <c r="BD71" s="108"/>
      <c r="BE71" s="108"/>
      <c r="BF71" s="108"/>
      <c r="BG71" s="108"/>
      <c r="BH71" s="103"/>
      <c r="BI71" s="99"/>
    </row>
    <row r="72" spans="1:61" ht="17" x14ac:dyDescent="0.35">
      <c r="A72" s="111"/>
      <c r="B72" s="109"/>
      <c r="C72" s="109"/>
      <c r="D72" s="109"/>
      <c r="E72" s="109"/>
      <c r="F72" s="109"/>
      <c r="G72" s="115"/>
      <c r="H72" s="109"/>
      <c r="I72" s="100"/>
      <c r="J72" s="109"/>
      <c r="K72" s="109"/>
      <c r="L72" s="109"/>
      <c r="M72" s="109"/>
      <c r="N72" s="109"/>
      <c r="O72" s="118"/>
      <c r="P72" s="100"/>
      <c r="Q72" s="118"/>
      <c r="R72" s="100"/>
      <c r="S72" s="108"/>
      <c r="T72" s="108"/>
      <c r="U72" s="108"/>
      <c r="V72" s="109"/>
      <c r="W72" s="118"/>
      <c r="X72" s="106"/>
      <c r="Y72" s="99"/>
      <c r="Z72" s="99"/>
      <c r="AA72" s="99"/>
      <c r="AB72" s="99"/>
      <c r="AO72" s="101"/>
      <c r="AP72" s="102"/>
      <c r="AQ72" s="108"/>
      <c r="AR72" s="108"/>
      <c r="AS72" s="108"/>
      <c r="AT72" s="108"/>
      <c r="AU72" s="108"/>
      <c r="AV72" s="103"/>
      <c r="AW72" s="99"/>
      <c r="AX72" s="99"/>
      <c r="AY72" s="99"/>
      <c r="AZ72" s="99"/>
      <c r="BA72" s="101"/>
      <c r="BB72" s="101"/>
      <c r="BC72" s="108"/>
      <c r="BD72" s="108"/>
      <c r="BE72" s="108"/>
      <c r="BF72" s="108"/>
      <c r="BG72" s="108"/>
      <c r="BH72" s="103"/>
      <c r="BI72" s="99"/>
    </row>
    <row r="73" spans="1:61" ht="17" x14ac:dyDescent="0.35">
      <c r="A73" s="111"/>
      <c r="B73" s="109"/>
      <c r="C73" s="109"/>
      <c r="D73" s="109"/>
      <c r="E73" s="109"/>
      <c r="F73" s="109"/>
      <c r="G73" s="115"/>
      <c r="H73" s="109"/>
      <c r="I73" s="100"/>
      <c r="J73" s="109"/>
      <c r="K73" s="109"/>
      <c r="L73" s="109"/>
      <c r="M73" s="109"/>
      <c r="N73" s="109"/>
      <c r="O73" s="118"/>
      <c r="P73" s="100"/>
      <c r="Q73" s="118"/>
      <c r="R73" s="100"/>
      <c r="S73" s="112"/>
      <c r="T73" s="113"/>
      <c r="U73" s="113"/>
      <c r="V73" s="109"/>
      <c r="W73" s="118"/>
      <c r="X73" s="103"/>
      <c r="Y73" s="99"/>
      <c r="Z73" s="99"/>
      <c r="AA73" s="99"/>
      <c r="AB73" s="99"/>
      <c r="AO73" s="110"/>
      <c r="AP73" s="110"/>
      <c r="AQ73" s="110"/>
      <c r="AR73" s="110"/>
      <c r="AS73" s="110"/>
      <c r="AT73" s="110"/>
      <c r="AU73" s="110"/>
      <c r="AV73" s="110"/>
      <c r="AW73" s="99"/>
      <c r="AX73" s="99"/>
      <c r="AY73" s="99"/>
      <c r="AZ73" s="99"/>
      <c r="BA73" s="101"/>
      <c r="BB73" s="100"/>
      <c r="BC73" s="109"/>
      <c r="BD73" s="109"/>
      <c r="BE73" s="109"/>
      <c r="BF73" s="109"/>
      <c r="BG73" s="109"/>
      <c r="BH73" s="103"/>
      <c r="BI73" s="99"/>
    </row>
    <row r="74" spans="1:61" ht="17" x14ac:dyDescent="0.35">
      <c r="A74" s="111"/>
      <c r="B74" s="109"/>
      <c r="C74" s="109"/>
      <c r="D74" s="109"/>
      <c r="E74" s="109"/>
      <c r="F74" s="109"/>
      <c r="G74" s="115"/>
      <c r="H74" s="109"/>
      <c r="I74" s="100"/>
      <c r="J74" s="109"/>
      <c r="K74" s="109"/>
      <c r="L74" s="109"/>
      <c r="M74" s="109"/>
      <c r="N74" s="109"/>
      <c r="O74" s="118"/>
      <c r="P74" s="100"/>
      <c r="Q74" s="118"/>
      <c r="R74" s="100"/>
      <c r="S74" s="108"/>
      <c r="T74" s="108"/>
      <c r="U74" s="108"/>
      <c r="V74" s="109"/>
      <c r="W74" s="118"/>
      <c r="X74" s="103"/>
      <c r="Y74" s="99"/>
      <c r="Z74" s="99"/>
      <c r="AA74" s="99"/>
      <c r="AB74" s="99"/>
      <c r="AO74" s="100"/>
      <c r="AP74" s="100"/>
      <c r="AQ74" s="111"/>
      <c r="AR74" s="111"/>
      <c r="AS74" s="111"/>
      <c r="AT74" s="111"/>
      <c r="AU74" s="111"/>
      <c r="AV74" s="100"/>
      <c r="AW74" s="99"/>
      <c r="AX74" s="99"/>
      <c r="AY74" s="99"/>
      <c r="AZ74" s="99"/>
      <c r="BA74" s="110"/>
      <c r="BB74" s="110"/>
      <c r="BC74" s="110"/>
      <c r="BD74" s="110"/>
      <c r="BE74" s="110"/>
      <c r="BF74" s="110"/>
      <c r="BG74" s="110"/>
      <c r="BH74" s="110"/>
      <c r="BI74" s="99"/>
    </row>
    <row r="75" spans="1:61" ht="17" x14ac:dyDescent="0.35">
      <c r="A75" s="111"/>
      <c r="B75" s="109"/>
      <c r="C75" s="109"/>
      <c r="D75" s="109"/>
      <c r="E75" s="109"/>
      <c r="F75" s="109"/>
      <c r="G75" s="115"/>
      <c r="H75" s="109"/>
      <c r="I75" s="100"/>
      <c r="J75" s="109"/>
      <c r="K75" s="109"/>
      <c r="L75" s="109"/>
      <c r="M75" s="109"/>
      <c r="N75" s="109"/>
      <c r="O75" s="118"/>
      <c r="P75" s="100"/>
      <c r="Q75" s="118"/>
      <c r="R75" s="100"/>
      <c r="S75" s="109"/>
      <c r="T75" s="109"/>
      <c r="U75" s="109"/>
      <c r="V75" s="109"/>
      <c r="W75" s="118"/>
      <c r="X75" s="103"/>
      <c r="Y75" s="99"/>
      <c r="Z75" s="99"/>
      <c r="AA75" s="99"/>
      <c r="AB75" s="99"/>
      <c r="AO75" s="101"/>
      <c r="AP75" s="102"/>
      <c r="AQ75" s="108"/>
      <c r="AR75" s="108"/>
      <c r="AS75" s="108"/>
      <c r="AT75" s="108"/>
      <c r="AU75" s="108"/>
      <c r="AV75" s="103"/>
      <c r="AW75" s="99"/>
      <c r="AX75" s="99"/>
      <c r="AY75" s="99"/>
      <c r="AZ75" s="99"/>
      <c r="BA75" s="100"/>
      <c r="BB75" s="100"/>
      <c r="BC75" s="111"/>
      <c r="BD75" s="111"/>
      <c r="BE75" s="111"/>
      <c r="BF75" s="111"/>
      <c r="BG75" s="111"/>
      <c r="BH75" s="100"/>
      <c r="BI75" s="99"/>
    </row>
    <row r="76" spans="1:61" ht="17" x14ac:dyDescent="0.35">
      <c r="A76" s="111"/>
      <c r="B76" s="109"/>
      <c r="C76" s="109"/>
      <c r="D76" s="109"/>
      <c r="E76" s="109"/>
      <c r="F76" s="109"/>
      <c r="G76" s="115"/>
      <c r="H76" s="109"/>
      <c r="I76" s="107"/>
      <c r="J76" s="112"/>
      <c r="K76" s="113"/>
      <c r="L76" s="113"/>
      <c r="M76" s="113"/>
      <c r="N76" s="113"/>
      <c r="O76" s="118"/>
      <c r="P76" s="100"/>
      <c r="Q76" s="118"/>
      <c r="R76" s="100"/>
      <c r="S76" s="109"/>
      <c r="T76" s="109"/>
      <c r="U76" s="109"/>
      <c r="V76" s="109"/>
      <c r="W76" s="118"/>
      <c r="X76" s="103"/>
      <c r="Y76" s="99"/>
      <c r="Z76" s="99"/>
      <c r="AA76" s="99"/>
      <c r="AB76" s="99"/>
      <c r="AO76" s="101"/>
      <c r="AP76" s="102"/>
      <c r="AQ76" s="108"/>
      <c r="AR76" s="108"/>
      <c r="AS76" s="108"/>
      <c r="AT76" s="108"/>
      <c r="AU76" s="108"/>
      <c r="AV76" s="103"/>
      <c r="AW76" s="99"/>
      <c r="AX76" s="99"/>
      <c r="AY76" s="99"/>
      <c r="AZ76" s="99"/>
      <c r="BA76" s="104"/>
      <c r="BB76" s="101"/>
      <c r="BC76" s="108"/>
      <c r="BD76" s="108"/>
      <c r="BE76" s="108"/>
      <c r="BF76" s="108"/>
      <c r="BG76" s="108"/>
      <c r="BH76" s="106"/>
      <c r="BI76" s="99"/>
    </row>
    <row r="77" spans="1:61" ht="17" x14ac:dyDescent="0.35">
      <c r="A77" s="99"/>
      <c r="B77" s="99"/>
      <c r="C77" s="99"/>
      <c r="D77" s="99"/>
      <c r="E77" s="47"/>
      <c r="F77" s="101"/>
      <c r="G77" s="101"/>
      <c r="H77" s="108"/>
      <c r="I77" s="108"/>
      <c r="J77" s="108"/>
      <c r="K77" s="108"/>
      <c r="L77" s="108"/>
      <c r="M77" s="103"/>
      <c r="N77" s="99"/>
      <c r="O77" s="99"/>
      <c r="P77" s="47"/>
      <c r="Q77" s="101"/>
      <c r="R77" s="100"/>
      <c r="S77" s="109"/>
      <c r="T77" s="109"/>
      <c r="U77" s="109"/>
      <c r="V77" s="109"/>
      <c r="W77" s="109"/>
      <c r="X77" s="103"/>
      <c r="Y77" s="99"/>
      <c r="Z77" s="99"/>
      <c r="AA77" s="99"/>
      <c r="AB77" s="99"/>
      <c r="AO77" s="101"/>
      <c r="AP77" s="102"/>
      <c r="AQ77" s="108"/>
      <c r="AR77" s="108"/>
      <c r="AS77" s="108"/>
      <c r="AT77" s="108"/>
      <c r="AU77" s="108"/>
      <c r="AV77" s="103"/>
      <c r="AW77" s="99"/>
      <c r="AX77" s="99"/>
      <c r="AY77" s="99"/>
      <c r="AZ77" s="99"/>
      <c r="BA77" s="101"/>
      <c r="BB77" s="107"/>
      <c r="BC77" s="112"/>
      <c r="BD77" s="113"/>
      <c r="BE77" s="113"/>
      <c r="BF77" s="113"/>
      <c r="BG77" s="113"/>
      <c r="BH77" s="103"/>
      <c r="BI77" s="99"/>
    </row>
    <row r="78" spans="1:61" ht="17" x14ac:dyDescent="0.35">
      <c r="A78" s="119"/>
      <c r="B78" s="119"/>
      <c r="C78" s="119"/>
      <c r="D78" s="99"/>
      <c r="E78" s="99"/>
      <c r="F78" s="99"/>
      <c r="G78" s="99"/>
      <c r="H78" s="99"/>
      <c r="I78" s="99"/>
      <c r="J78" s="99"/>
      <c r="K78" s="99"/>
      <c r="L78" s="99"/>
      <c r="M78" s="99"/>
      <c r="N78" s="99"/>
      <c r="O78" s="99"/>
      <c r="P78" s="99"/>
      <c r="Q78" s="99"/>
      <c r="R78" s="99"/>
      <c r="S78" s="109"/>
      <c r="T78" s="109"/>
      <c r="U78" s="109"/>
      <c r="V78" s="109"/>
      <c r="W78" s="109"/>
      <c r="X78" s="103"/>
      <c r="Y78" s="99"/>
      <c r="Z78" s="99"/>
      <c r="AA78" s="99"/>
      <c r="AB78" s="99"/>
      <c r="AO78" s="110"/>
      <c r="AP78" s="110"/>
      <c r="AQ78" s="110"/>
      <c r="AR78" s="110"/>
      <c r="AS78" s="110"/>
      <c r="AT78" s="110"/>
      <c r="AU78" s="110"/>
      <c r="AV78" s="110"/>
      <c r="AW78" s="99"/>
      <c r="AX78" s="99"/>
      <c r="AY78" s="99"/>
      <c r="AZ78" s="99"/>
      <c r="BA78" s="101"/>
      <c r="BB78" s="101"/>
      <c r="BC78" s="108"/>
      <c r="BD78" s="108"/>
      <c r="BE78" s="108"/>
      <c r="BF78" s="108"/>
      <c r="BG78" s="108"/>
      <c r="BH78" s="103"/>
      <c r="BI78" s="99"/>
    </row>
    <row r="79" spans="1:61" ht="17" x14ac:dyDescent="0.35">
      <c r="A79" s="100"/>
      <c r="B79" s="111"/>
      <c r="C79" s="111"/>
      <c r="D79" s="111"/>
      <c r="E79" s="111"/>
      <c r="F79" s="111"/>
      <c r="G79" s="100"/>
      <c r="H79" s="100"/>
      <c r="I79" s="100"/>
      <c r="J79" s="111"/>
      <c r="K79" s="111"/>
      <c r="L79" s="111"/>
      <c r="M79" s="111"/>
      <c r="N79" s="111"/>
      <c r="O79" s="100"/>
      <c r="P79" s="100"/>
      <c r="Q79" s="100"/>
      <c r="R79" s="100"/>
      <c r="S79" s="108"/>
      <c r="T79" s="108"/>
      <c r="U79" s="108"/>
      <c r="V79" s="111"/>
      <c r="W79" s="100"/>
      <c r="X79" s="103"/>
      <c r="Y79" s="99"/>
      <c r="Z79" s="99"/>
      <c r="AA79" s="99"/>
      <c r="AB79" s="99"/>
      <c r="AD79" s="93"/>
      <c r="AE79" s="94"/>
      <c r="AF79" s="94"/>
      <c r="AG79" s="94"/>
      <c r="AH79" s="95"/>
      <c r="AO79" s="100"/>
      <c r="AP79" s="100"/>
      <c r="AQ79" s="111"/>
      <c r="AR79" s="111"/>
      <c r="AS79" s="111"/>
      <c r="AT79" s="111"/>
      <c r="AU79" s="111"/>
      <c r="AV79" s="100"/>
      <c r="AW79" s="99"/>
      <c r="AX79" s="99"/>
      <c r="AY79" s="99"/>
      <c r="AZ79" s="99"/>
      <c r="BA79" s="101"/>
      <c r="BB79" s="100"/>
      <c r="BC79" s="109"/>
      <c r="BD79" s="109"/>
      <c r="BE79" s="109"/>
      <c r="BF79" s="109"/>
      <c r="BG79" s="109"/>
      <c r="BH79" s="103"/>
      <c r="BI79" s="99"/>
    </row>
    <row r="80" spans="1:61" ht="17" x14ac:dyDescent="0.35">
      <c r="A80" s="111"/>
      <c r="B80" s="109"/>
      <c r="C80" s="109"/>
      <c r="D80" s="109"/>
      <c r="E80" s="109"/>
      <c r="F80" s="109"/>
      <c r="G80" s="115"/>
      <c r="H80" s="109"/>
      <c r="I80" s="100"/>
      <c r="J80" s="109"/>
      <c r="K80" s="109"/>
      <c r="L80" s="109"/>
      <c r="M80" s="109"/>
      <c r="N80" s="109"/>
      <c r="O80" s="118"/>
      <c r="P80" s="100"/>
      <c r="Q80" s="118"/>
      <c r="R80" s="100"/>
      <c r="S80" s="109"/>
      <c r="T80" s="109"/>
      <c r="U80" s="109"/>
      <c r="V80" s="112"/>
      <c r="W80" s="118"/>
      <c r="X80" s="103"/>
      <c r="Y80" s="99"/>
      <c r="Z80" s="99"/>
      <c r="AA80" s="99"/>
      <c r="AB80" s="99"/>
      <c r="AD80" s="96"/>
      <c r="AE80" s="97"/>
      <c r="AF80" s="97"/>
      <c r="AG80" s="97"/>
      <c r="AH80" s="98"/>
      <c r="AO80" s="101"/>
      <c r="AP80" s="102"/>
      <c r="AQ80" s="108"/>
      <c r="AR80" s="108"/>
      <c r="AS80" s="108"/>
      <c r="AT80" s="108"/>
      <c r="AU80" s="108"/>
      <c r="AV80" s="103"/>
      <c r="AW80" s="99"/>
      <c r="AX80" s="99"/>
      <c r="AY80" s="99"/>
      <c r="AZ80" s="99"/>
      <c r="BA80" s="101"/>
      <c r="BB80" s="100"/>
      <c r="BC80" s="109"/>
      <c r="BD80" s="109"/>
      <c r="BE80" s="109"/>
      <c r="BF80" s="109"/>
      <c r="BG80" s="109"/>
      <c r="BH80" s="103"/>
      <c r="BI80" s="99"/>
    </row>
    <row r="81" spans="1:61" ht="17" x14ac:dyDescent="0.35">
      <c r="A81" s="111"/>
      <c r="B81" s="109"/>
      <c r="C81" s="109"/>
      <c r="D81" s="109"/>
      <c r="E81" s="109"/>
      <c r="F81" s="109"/>
      <c r="G81" s="115"/>
      <c r="H81" s="109"/>
      <c r="I81" s="100"/>
      <c r="J81" s="109"/>
      <c r="K81" s="109"/>
      <c r="L81" s="109"/>
      <c r="M81" s="109"/>
      <c r="N81" s="109"/>
      <c r="O81" s="118"/>
      <c r="P81" s="100"/>
      <c r="Q81" s="118"/>
      <c r="R81" s="100"/>
      <c r="S81" s="99"/>
      <c r="T81" s="99"/>
      <c r="U81" s="99"/>
      <c r="V81" s="109"/>
      <c r="W81" s="118"/>
      <c r="X81" s="99"/>
      <c r="Y81" s="99"/>
      <c r="Z81" s="99"/>
      <c r="AA81" s="99"/>
      <c r="AB81" s="99"/>
      <c r="AO81" s="101"/>
      <c r="AP81" s="102"/>
      <c r="AQ81" s="108"/>
      <c r="AR81" s="108"/>
      <c r="AS81" s="108"/>
      <c r="AT81" s="108"/>
      <c r="AU81" s="108"/>
      <c r="AV81" s="103"/>
      <c r="AW81" s="99"/>
      <c r="AX81" s="99"/>
      <c r="AY81" s="99"/>
      <c r="AZ81" s="99"/>
      <c r="BA81" s="101"/>
      <c r="BB81" s="100"/>
      <c r="BC81" s="109"/>
      <c r="BD81" s="109"/>
      <c r="BE81" s="109"/>
      <c r="BF81" s="109"/>
      <c r="BG81" s="109"/>
      <c r="BH81" s="103"/>
      <c r="BI81" s="99"/>
    </row>
    <row r="82" spans="1:61" ht="17" x14ac:dyDescent="0.35">
      <c r="A82" s="111"/>
      <c r="B82" s="109"/>
      <c r="C82" s="109"/>
      <c r="D82" s="109"/>
      <c r="E82" s="109"/>
      <c r="F82" s="109"/>
      <c r="G82" s="115"/>
      <c r="H82" s="109"/>
      <c r="I82" s="100"/>
      <c r="J82" s="109"/>
      <c r="K82" s="109"/>
      <c r="L82" s="109"/>
      <c r="M82" s="109"/>
      <c r="N82" s="109"/>
      <c r="O82" s="118"/>
      <c r="P82" s="100"/>
      <c r="Q82" s="118"/>
      <c r="R82" s="100"/>
      <c r="S82" s="99"/>
      <c r="T82" s="99"/>
      <c r="U82" s="99"/>
      <c r="V82" s="109"/>
      <c r="W82" s="118"/>
      <c r="X82" s="99"/>
      <c r="Y82" s="99"/>
      <c r="Z82" s="99"/>
      <c r="AA82" s="99"/>
      <c r="AB82" s="99"/>
      <c r="AO82" s="101"/>
      <c r="AP82" s="102"/>
      <c r="AQ82" s="108"/>
      <c r="AR82" s="108"/>
      <c r="AS82" s="108"/>
      <c r="AT82" s="108"/>
      <c r="AU82" s="108"/>
      <c r="AV82" s="103"/>
      <c r="AW82" s="99"/>
      <c r="AX82" s="99"/>
      <c r="AY82" s="99"/>
      <c r="AZ82" s="99"/>
      <c r="BA82" s="101"/>
      <c r="BB82" s="100"/>
      <c r="BC82" s="109"/>
      <c r="BD82" s="109"/>
      <c r="BE82" s="109"/>
      <c r="BF82" s="109"/>
      <c r="BG82" s="109"/>
      <c r="BH82" s="103"/>
      <c r="BI82" s="99"/>
    </row>
    <row r="83" spans="1:61" ht="17" x14ac:dyDescent="0.35">
      <c r="A83" s="111"/>
      <c r="B83" s="109"/>
      <c r="C83" s="109"/>
      <c r="D83" s="109"/>
      <c r="E83" s="109"/>
      <c r="F83" s="109"/>
      <c r="G83" s="115"/>
      <c r="H83" s="109"/>
      <c r="I83" s="100"/>
      <c r="J83" s="109"/>
      <c r="K83" s="109"/>
      <c r="L83" s="109"/>
      <c r="M83" s="109"/>
      <c r="N83" s="109"/>
      <c r="O83" s="118"/>
      <c r="P83" s="100"/>
      <c r="Q83" s="118"/>
      <c r="R83" s="100"/>
      <c r="S83" s="99"/>
      <c r="T83" s="99"/>
      <c r="U83" s="99"/>
      <c r="V83" s="109"/>
      <c r="W83" s="118"/>
      <c r="X83" s="99"/>
      <c r="Y83" s="99"/>
      <c r="Z83" s="99"/>
      <c r="AA83" s="99"/>
      <c r="AB83" s="99"/>
      <c r="AO83" s="99"/>
      <c r="AP83" s="99"/>
      <c r="AQ83" s="99"/>
      <c r="AR83" s="99"/>
      <c r="AS83" s="99"/>
      <c r="AT83" s="99"/>
      <c r="AU83" s="99"/>
      <c r="AV83" s="99"/>
      <c r="AW83" s="99"/>
      <c r="AX83" s="99"/>
      <c r="AY83" s="99"/>
      <c r="AZ83" s="99"/>
      <c r="BA83" s="101"/>
      <c r="BB83" s="101"/>
      <c r="BC83" s="108"/>
      <c r="BD83" s="108"/>
      <c r="BE83" s="108"/>
      <c r="BF83" s="108"/>
      <c r="BG83" s="108"/>
      <c r="BH83" s="103"/>
      <c r="BI83" s="99"/>
    </row>
    <row r="84" spans="1:61" ht="17" x14ac:dyDescent="0.35">
      <c r="A84" s="111"/>
      <c r="B84" s="109"/>
      <c r="C84" s="109"/>
      <c r="D84" s="109"/>
      <c r="E84" s="109"/>
      <c r="F84" s="109"/>
      <c r="G84" s="115"/>
      <c r="H84" s="109"/>
      <c r="I84" s="100"/>
      <c r="J84" s="109"/>
      <c r="K84" s="109"/>
      <c r="L84" s="109"/>
      <c r="M84" s="109"/>
      <c r="N84" s="109"/>
      <c r="O84" s="118"/>
      <c r="P84" s="100"/>
      <c r="Q84" s="118"/>
      <c r="R84" s="100"/>
      <c r="S84" s="99"/>
      <c r="T84" s="99"/>
      <c r="U84" s="99"/>
      <c r="V84" s="109"/>
      <c r="W84" s="118"/>
      <c r="X84" s="99"/>
      <c r="Y84" s="99"/>
      <c r="Z84" s="99"/>
      <c r="AA84" s="99"/>
      <c r="AB84" s="99"/>
      <c r="AO84" s="99"/>
      <c r="AP84" s="99"/>
      <c r="AQ84" s="99"/>
      <c r="AR84" s="99"/>
      <c r="AS84" s="99"/>
      <c r="AT84" s="99"/>
      <c r="AU84" s="99"/>
      <c r="AV84" s="99"/>
      <c r="AW84" s="99"/>
      <c r="AX84" s="99"/>
      <c r="AY84" s="99"/>
      <c r="AZ84" s="99"/>
      <c r="BA84" s="101"/>
      <c r="BB84" s="100"/>
      <c r="BC84" s="109"/>
      <c r="BD84" s="109"/>
      <c r="BE84" s="109"/>
      <c r="BF84" s="109"/>
      <c r="BG84" s="109"/>
      <c r="BH84" s="103"/>
      <c r="BI84" s="99"/>
    </row>
    <row r="85" spans="1:61" ht="17" x14ac:dyDescent="0.35">
      <c r="A85" s="111"/>
      <c r="B85" s="109"/>
      <c r="C85" s="109"/>
      <c r="D85" s="109"/>
      <c r="E85" s="109"/>
      <c r="F85" s="109"/>
      <c r="G85" s="115"/>
      <c r="H85" s="109"/>
      <c r="I85" s="100"/>
      <c r="J85" s="109"/>
      <c r="K85" s="109"/>
      <c r="L85" s="109"/>
      <c r="M85" s="109"/>
      <c r="N85" s="109"/>
      <c r="O85" s="118"/>
      <c r="P85" s="100"/>
      <c r="Q85" s="118"/>
      <c r="R85" s="100"/>
      <c r="S85" s="99"/>
      <c r="T85" s="99"/>
      <c r="U85" s="99"/>
      <c r="V85" s="109"/>
      <c r="W85" s="118"/>
      <c r="X85" s="99"/>
      <c r="Y85" s="99"/>
      <c r="Z85" s="99"/>
      <c r="AA85" s="99"/>
      <c r="AB85" s="99"/>
      <c r="AO85" s="99"/>
      <c r="AP85" s="99"/>
      <c r="AQ85" s="99"/>
      <c r="AR85" s="99"/>
      <c r="AS85" s="99"/>
      <c r="AT85" s="99"/>
      <c r="AU85" s="99"/>
      <c r="AV85" s="99"/>
      <c r="AW85" s="99"/>
      <c r="AX85" s="99"/>
      <c r="AY85" s="99"/>
      <c r="AZ85" s="99"/>
      <c r="BA85" s="110"/>
      <c r="BB85" s="110"/>
      <c r="BC85" s="110"/>
      <c r="BD85" s="110"/>
      <c r="BE85" s="110"/>
      <c r="BF85" s="110"/>
      <c r="BG85" s="110"/>
      <c r="BH85" s="110"/>
      <c r="BI85" s="99"/>
    </row>
    <row r="86" spans="1:61" ht="16.5" customHeight="1" x14ac:dyDescent="0.35">
      <c r="A86" s="111"/>
      <c r="B86" s="109"/>
      <c r="C86" s="109"/>
      <c r="D86" s="109"/>
      <c r="E86" s="109"/>
      <c r="F86" s="109"/>
      <c r="G86" s="115"/>
      <c r="H86" s="109"/>
      <c r="I86" s="100"/>
      <c r="J86" s="109"/>
      <c r="K86" s="109"/>
      <c r="L86" s="109"/>
      <c r="M86" s="109"/>
      <c r="N86" s="109"/>
      <c r="O86" s="118"/>
      <c r="P86" s="100"/>
      <c r="Q86" s="118"/>
      <c r="R86" s="100"/>
      <c r="S86" s="99"/>
      <c r="T86" s="99"/>
      <c r="U86" s="99"/>
      <c r="V86" s="109"/>
      <c r="W86" s="118"/>
      <c r="X86" s="99"/>
      <c r="Y86" s="99"/>
      <c r="Z86" s="99"/>
      <c r="AA86" s="99"/>
      <c r="AB86" s="99"/>
      <c r="AO86" s="99"/>
      <c r="AP86" s="99"/>
      <c r="AQ86" s="99"/>
      <c r="AR86" s="99"/>
      <c r="AS86" s="99"/>
      <c r="AT86" s="99"/>
      <c r="AU86" s="99"/>
      <c r="AV86" s="99"/>
      <c r="AW86" s="99"/>
      <c r="AX86" s="99"/>
      <c r="AY86" s="99"/>
      <c r="AZ86" s="99"/>
      <c r="BA86" s="100"/>
      <c r="BB86" s="100"/>
      <c r="BC86" s="111"/>
      <c r="BD86" s="111"/>
      <c r="BE86" s="111"/>
      <c r="BF86" s="111"/>
      <c r="BG86" s="111"/>
      <c r="BH86" s="100"/>
      <c r="BI86" s="99"/>
    </row>
    <row r="87" spans="1:61" ht="15.5" x14ac:dyDescent="0.35">
      <c r="A87" s="111"/>
      <c r="B87" s="109"/>
      <c r="C87" s="109"/>
      <c r="D87" s="109"/>
      <c r="E87" s="109"/>
      <c r="F87" s="109"/>
      <c r="G87" s="115"/>
      <c r="H87" s="109"/>
      <c r="I87" s="100"/>
      <c r="J87" s="109"/>
      <c r="K87" s="109"/>
      <c r="L87" s="109"/>
      <c r="M87" s="109"/>
      <c r="N87" s="109"/>
      <c r="O87" s="118"/>
      <c r="P87" s="100"/>
      <c r="Q87" s="118"/>
      <c r="R87" s="100"/>
      <c r="S87" s="99"/>
      <c r="T87" s="99"/>
      <c r="U87" s="99"/>
      <c r="V87" s="109"/>
      <c r="W87" s="118"/>
      <c r="X87" s="99"/>
      <c r="Y87" s="99"/>
      <c r="Z87" s="99"/>
      <c r="AA87" s="99"/>
      <c r="AB87" s="99"/>
      <c r="AO87" s="99"/>
      <c r="AP87" s="99"/>
      <c r="AQ87" s="99"/>
      <c r="AR87" s="99"/>
      <c r="AS87" s="99"/>
      <c r="AT87" s="99"/>
      <c r="AU87" s="99"/>
      <c r="AV87" s="99"/>
      <c r="AW87" s="99"/>
      <c r="AX87" s="99"/>
      <c r="AY87" s="99"/>
      <c r="AZ87" s="99"/>
      <c r="BA87" s="104"/>
      <c r="BB87" s="107"/>
      <c r="BC87" s="112"/>
      <c r="BD87" s="113"/>
      <c r="BE87" s="113"/>
      <c r="BF87" s="113"/>
      <c r="BG87" s="113"/>
      <c r="BH87" s="106"/>
      <c r="BI87" s="99"/>
    </row>
    <row r="88" spans="1:61" ht="17" x14ac:dyDescent="0.35">
      <c r="A88" s="111"/>
      <c r="B88" s="109"/>
      <c r="C88" s="109"/>
      <c r="D88" s="109"/>
      <c r="E88" s="109"/>
      <c r="F88" s="109"/>
      <c r="G88" s="115"/>
      <c r="H88" s="109"/>
      <c r="I88" s="107"/>
      <c r="J88" s="112"/>
      <c r="K88" s="113"/>
      <c r="L88" s="113"/>
      <c r="M88" s="113"/>
      <c r="N88" s="113"/>
      <c r="O88" s="118"/>
      <c r="P88" s="100"/>
      <c r="Q88" s="118"/>
      <c r="R88" s="100"/>
      <c r="S88" s="99"/>
      <c r="T88" s="99"/>
      <c r="U88" s="99"/>
      <c r="V88" s="109"/>
      <c r="W88" s="118"/>
      <c r="X88" s="99"/>
      <c r="Y88" s="99"/>
      <c r="Z88" s="99"/>
      <c r="AA88" s="99"/>
      <c r="AB88" s="99"/>
      <c r="AO88" s="99"/>
      <c r="AP88" s="99"/>
      <c r="AQ88" s="99"/>
      <c r="AR88" s="99"/>
      <c r="AS88" s="99"/>
      <c r="AT88" s="99"/>
      <c r="AU88" s="99"/>
      <c r="AV88" s="99"/>
      <c r="AW88" s="99"/>
      <c r="AX88" s="99"/>
      <c r="AY88" s="99"/>
      <c r="AZ88" s="99"/>
      <c r="BA88" s="101"/>
      <c r="BB88" s="101"/>
      <c r="BC88" s="108"/>
      <c r="BD88" s="108"/>
      <c r="BE88" s="108"/>
      <c r="BF88" s="108"/>
      <c r="BG88" s="108"/>
      <c r="BH88" s="103"/>
      <c r="BI88" s="99"/>
    </row>
    <row r="89" spans="1:61" ht="17" x14ac:dyDescent="0.35">
      <c r="A89" s="99"/>
      <c r="B89" s="99"/>
      <c r="C89" s="99"/>
      <c r="D89" s="99"/>
      <c r="E89" s="99"/>
      <c r="F89" s="99"/>
      <c r="G89" s="99"/>
      <c r="H89" s="99"/>
      <c r="I89" s="99"/>
      <c r="J89" s="99"/>
      <c r="K89" s="99"/>
      <c r="L89" s="99"/>
      <c r="M89" s="99"/>
      <c r="N89" s="99"/>
      <c r="O89" s="99"/>
      <c r="P89" s="99"/>
      <c r="Q89" s="99"/>
      <c r="R89" s="99"/>
      <c r="S89" s="99"/>
      <c r="T89" s="99"/>
      <c r="U89" s="99"/>
      <c r="V89" s="99"/>
      <c r="W89" s="99"/>
      <c r="X89" s="99"/>
      <c r="Y89" s="99"/>
      <c r="Z89" s="99"/>
      <c r="AA89" s="99"/>
      <c r="AB89" s="99"/>
      <c r="AO89" s="99"/>
      <c r="AP89" s="99"/>
      <c r="AQ89" s="99"/>
      <c r="AR89" s="99"/>
      <c r="AS89" s="99"/>
      <c r="AT89" s="99"/>
      <c r="AU89" s="99"/>
      <c r="AV89" s="99"/>
      <c r="AW89" s="99"/>
      <c r="AX89" s="99"/>
      <c r="AY89" s="99"/>
      <c r="AZ89" s="99"/>
      <c r="BA89" s="101"/>
      <c r="BB89" s="101"/>
      <c r="BC89" s="108"/>
      <c r="BD89" s="108"/>
      <c r="BE89" s="108"/>
      <c r="BF89" s="108"/>
      <c r="BG89" s="108"/>
      <c r="BH89" s="103"/>
      <c r="BI89" s="99"/>
    </row>
    <row r="90" spans="1:61" ht="17" x14ac:dyDescent="0.35">
      <c r="A90" s="119"/>
      <c r="B90" s="119"/>
      <c r="C90" s="119"/>
      <c r="D90" s="99"/>
      <c r="E90" s="99"/>
      <c r="F90" s="99"/>
      <c r="G90" s="99"/>
      <c r="H90" s="99"/>
      <c r="I90" s="99"/>
      <c r="J90" s="99"/>
      <c r="K90" s="99"/>
      <c r="L90" s="99"/>
      <c r="M90" s="99"/>
      <c r="N90" s="99"/>
      <c r="O90" s="99"/>
      <c r="P90" s="99"/>
      <c r="Q90" s="99"/>
      <c r="R90" s="99"/>
      <c r="S90" s="99"/>
      <c r="T90" s="99"/>
      <c r="U90" s="99"/>
      <c r="V90" s="99"/>
      <c r="W90" s="99"/>
      <c r="X90" s="99"/>
      <c r="Y90" s="99"/>
      <c r="Z90" s="99"/>
      <c r="AA90" s="99"/>
      <c r="AB90" s="99"/>
      <c r="AO90" s="99"/>
      <c r="AP90" s="99"/>
      <c r="AQ90" s="99"/>
      <c r="AR90" s="99"/>
      <c r="AS90" s="99"/>
      <c r="AT90" s="99"/>
      <c r="AU90" s="99"/>
      <c r="AV90" s="99"/>
      <c r="AW90" s="99"/>
      <c r="AX90" s="99"/>
      <c r="AY90" s="99"/>
      <c r="AZ90" s="99"/>
      <c r="BA90" s="101"/>
      <c r="BB90" s="100"/>
      <c r="BC90" s="109"/>
      <c r="BD90" s="109"/>
      <c r="BE90" s="109"/>
      <c r="BF90" s="109"/>
      <c r="BG90" s="109"/>
      <c r="BH90" s="103"/>
      <c r="BI90" s="99"/>
    </row>
    <row r="91" spans="1:61" ht="17" x14ac:dyDescent="0.35">
      <c r="A91" s="100"/>
      <c r="B91" s="111"/>
      <c r="C91" s="111"/>
      <c r="D91" s="111"/>
      <c r="E91" s="111"/>
      <c r="F91" s="111"/>
      <c r="G91" s="100"/>
      <c r="H91" s="100"/>
      <c r="I91" s="100"/>
      <c r="J91" s="111"/>
      <c r="K91" s="111"/>
      <c r="L91" s="111"/>
      <c r="M91" s="111"/>
      <c r="N91" s="111"/>
      <c r="O91" s="100"/>
      <c r="P91" s="100"/>
      <c r="Q91" s="100"/>
      <c r="R91" s="100"/>
      <c r="S91" s="99"/>
      <c r="T91" s="99"/>
      <c r="U91" s="99"/>
      <c r="V91" s="111"/>
      <c r="W91" s="100"/>
      <c r="X91" s="99"/>
      <c r="Y91" s="99"/>
      <c r="Z91" s="99"/>
      <c r="AA91" s="99"/>
      <c r="AB91" s="99"/>
      <c r="AO91" s="99"/>
      <c r="AP91" s="99"/>
      <c r="AQ91" s="99"/>
      <c r="AR91" s="99"/>
      <c r="AS91" s="99"/>
      <c r="AT91" s="99"/>
      <c r="AU91" s="99"/>
      <c r="AV91" s="99"/>
      <c r="AW91" s="99"/>
      <c r="AX91" s="99"/>
      <c r="AY91" s="99"/>
      <c r="AZ91" s="99"/>
      <c r="BA91" s="101"/>
      <c r="BB91" s="100"/>
      <c r="BC91" s="109"/>
      <c r="BD91" s="109"/>
      <c r="BE91" s="109"/>
      <c r="BF91" s="109"/>
      <c r="BG91" s="109"/>
      <c r="BH91" s="103"/>
      <c r="BI91" s="99"/>
    </row>
    <row r="92" spans="1:61" ht="17" x14ac:dyDescent="0.35">
      <c r="A92" s="111"/>
      <c r="B92" s="109"/>
      <c r="C92" s="109"/>
      <c r="D92" s="109"/>
      <c r="E92" s="109"/>
      <c r="F92" s="109"/>
      <c r="G92" s="115"/>
      <c r="H92" s="109"/>
      <c r="I92" s="100"/>
      <c r="J92" s="109"/>
      <c r="K92" s="109"/>
      <c r="L92" s="109"/>
      <c r="M92" s="109"/>
      <c r="N92" s="109"/>
      <c r="O92" s="118"/>
      <c r="P92" s="100"/>
      <c r="Q92" s="118"/>
      <c r="R92" s="100"/>
      <c r="S92" s="99"/>
      <c r="T92" s="99"/>
      <c r="U92" s="99"/>
      <c r="V92" s="112"/>
      <c r="W92" s="118"/>
      <c r="X92" s="99"/>
      <c r="Y92" s="99"/>
      <c r="Z92" s="99"/>
      <c r="AA92" s="99"/>
      <c r="AB92" s="99"/>
      <c r="AO92" s="99"/>
      <c r="AP92" s="99"/>
      <c r="AQ92" s="99"/>
      <c r="AR92" s="99"/>
      <c r="AS92" s="99"/>
      <c r="AT92" s="99"/>
      <c r="AU92" s="99"/>
      <c r="AV92" s="99"/>
      <c r="AW92" s="99"/>
      <c r="AX92" s="99"/>
      <c r="AY92" s="99"/>
      <c r="AZ92" s="99"/>
      <c r="BA92" s="101"/>
      <c r="BB92" s="100"/>
      <c r="BC92" s="109"/>
      <c r="BD92" s="109"/>
      <c r="BE92" s="109"/>
      <c r="BF92" s="109"/>
      <c r="BG92" s="109"/>
      <c r="BH92" s="103"/>
      <c r="BI92" s="99"/>
    </row>
    <row r="93" spans="1:61" ht="17" x14ac:dyDescent="0.35">
      <c r="A93" s="111"/>
      <c r="B93" s="109"/>
      <c r="C93" s="109"/>
      <c r="D93" s="109"/>
      <c r="E93" s="109"/>
      <c r="F93" s="109"/>
      <c r="G93" s="115"/>
      <c r="H93" s="109"/>
      <c r="I93" s="100"/>
      <c r="J93" s="109"/>
      <c r="K93" s="109"/>
      <c r="L93" s="109"/>
      <c r="M93" s="109"/>
      <c r="N93" s="109"/>
      <c r="O93" s="118"/>
      <c r="P93" s="100"/>
      <c r="Q93" s="118"/>
      <c r="R93" s="100"/>
      <c r="S93" s="99"/>
      <c r="T93" s="99"/>
      <c r="U93" s="99"/>
      <c r="V93" s="109"/>
      <c r="W93" s="118"/>
      <c r="X93" s="99"/>
      <c r="Y93" s="99"/>
      <c r="Z93" s="99"/>
      <c r="AA93" s="99"/>
      <c r="AB93" s="99"/>
      <c r="AO93" s="99"/>
      <c r="AP93" s="99"/>
      <c r="AQ93" s="99"/>
      <c r="AR93" s="99"/>
      <c r="AS93" s="99"/>
      <c r="AT93" s="99"/>
      <c r="AU93" s="99"/>
      <c r="AV93" s="99"/>
      <c r="AW93" s="99"/>
      <c r="AX93" s="99"/>
      <c r="AY93" s="99"/>
      <c r="AZ93" s="99"/>
      <c r="BA93" s="101"/>
      <c r="BB93" s="100"/>
      <c r="BC93" s="109"/>
      <c r="BD93" s="109"/>
      <c r="BE93" s="109"/>
      <c r="BF93" s="109"/>
      <c r="BG93" s="109"/>
      <c r="BH93" s="103"/>
      <c r="BI93" s="99"/>
    </row>
    <row r="94" spans="1:61" ht="17" x14ac:dyDescent="0.35">
      <c r="A94" s="111"/>
      <c r="B94" s="109"/>
      <c r="C94" s="109"/>
      <c r="D94" s="109"/>
      <c r="E94" s="109"/>
      <c r="F94" s="109"/>
      <c r="G94" s="115"/>
      <c r="H94" s="109"/>
      <c r="I94" s="100"/>
      <c r="J94" s="109"/>
      <c r="K94" s="109"/>
      <c r="L94" s="109"/>
      <c r="M94" s="109"/>
      <c r="N94" s="109"/>
      <c r="O94" s="118"/>
      <c r="P94" s="100"/>
      <c r="Q94" s="118"/>
      <c r="R94" s="100"/>
      <c r="S94" s="99"/>
      <c r="T94" s="99"/>
      <c r="U94" s="99"/>
      <c r="V94" s="109"/>
      <c r="W94" s="118"/>
      <c r="X94" s="99"/>
      <c r="Y94" s="99"/>
      <c r="Z94" s="99"/>
      <c r="AA94" s="99"/>
      <c r="AB94" s="99"/>
      <c r="AO94" s="99"/>
      <c r="AP94" s="99"/>
      <c r="AQ94" s="99"/>
      <c r="AR94" s="99"/>
      <c r="AS94" s="99"/>
      <c r="AT94" s="99"/>
      <c r="AU94" s="99"/>
      <c r="AV94" s="99"/>
      <c r="AW94" s="99"/>
      <c r="AX94" s="99"/>
      <c r="AY94" s="99"/>
      <c r="AZ94" s="99"/>
      <c r="BA94" s="101"/>
      <c r="BB94" s="100"/>
      <c r="BC94" s="109"/>
      <c r="BD94" s="109"/>
      <c r="BE94" s="109"/>
      <c r="BF94" s="109"/>
      <c r="BG94" s="109"/>
      <c r="BH94" s="103"/>
      <c r="BI94" s="99"/>
    </row>
    <row r="95" spans="1:61" ht="17" x14ac:dyDescent="0.35">
      <c r="A95" s="111"/>
      <c r="B95" s="109"/>
      <c r="C95" s="109"/>
      <c r="D95" s="109"/>
      <c r="E95" s="109"/>
      <c r="F95" s="109"/>
      <c r="G95" s="115"/>
      <c r="H95" s="109"/>
      <c r="I95" s="100"/>
      <c r="J95" s="109"/>
      <c r="K95" s="109"/>
      <c r="L95" s="109"/>
      <c r="M95" s="109"/>
      <c r="N95" s="109"/>
      <c r="O95" s="118"/>
      <c r="P95" s="100"/>
      <c r="Q95" s="118"/>
      <c r="R95" s="100"/>
      <c r="S95" s="99"/>
      <c r="T95" s="99"/>
      <c r="U95" s="99"/>
      <c r="V95" s="109"/>
      <c r="W95" s="118"/>
      <c r="X95" s="99"/>
      <c r="Y95" s="99"/>
      <c r="Z95" s="99"/>
      <c r="AA95" s="99"/>
      <c r="AB95" s="99"/>
      <c r="AO95" s="99"/>
      <c r="AP95" s="99"/>
      <c r="AQ95" s="99"/>
      <c r="AR95" s="99"/>
      <c r="AS95" s="99"/>
      <c r="AT95" s="99"/>
      <c r="AU95" s="99"/>
      <c r="AV95" s="99"/>
      <c r="AW95" s="99"/>
      <c r="AX95" s="99"/>
      <c r="AY95" s="99"/>
      <c r="AZ95" s="99"/>
      <c r="BA95" s="101"/>
      <c r="BB95" s="100"/>
      <c r="BC95" s="109"/>
      <c r="BD95" s="109"/>
      <c r="BE95" s="109"/>
      <c r="BF95" s="109"/>
      <c r="BG95" s="109"/>
      <c r="BH95" s="103"/>
      <c r="BI95" s="99"/>
    </row>
    <row r="96" spans="1:61" ht="17" x14ac:dyDescent="0.35">
      <c r="A96" s="111"/>
      <c r="B96" s="109"/>
      <c r="C96" s="109"/>
      <c r="D96" s="109"/>
      <c r="E96" s="109"/>
      <c r="F96" s="109"/>
      <c r="G96" s="115"/>
      <c r="H96" s="109"/>
      <c r="I96" s="100"/>
      <c r="J96" s="109"/>
      <c r="K96" s="109"/>
      <c r="L96" s="109"/>
      <c r="M96" s="109"/>
      <c r="N96" s="109"/>
      <c r="O96" s="118"/>
      <c r="P96" s="100"/>
      <c r="Q96" s="118"/>
      <c r="R96" s="100"/>
      <c r="S96" s="99"/>
      <c r="T96" s="99"/>
      <c r="U96" s="99"/>
      <c r="V96" s="109"/>
      <c r="W96" s="118"/>
      <c r="X96" s="99"/>
      <c r="Y96" s="99"/>
      <c r="Z96" s="99"/>
      <c r="AA96" s="99"/>
      <c r="AB96" s="99"/>
      <c r="AO96" s="99"/>
      <c r="AP96" s="99"/>
      <c r="AQ96" s="99"/>
      <c r="AR96" s="99"/>
      <c r="AS96" s="99"/>
      <c r="AT96" s="99"/>
      <c r="AU96" s="99"/>
      <c r="AV96" s="99"/>
      <c r="AW96" s="99"/>
      <c r="AX96" s="99"/>
      <c r="AY96" s="99"/>
      <c r="AZ96" s="99"/>
      <c r="BA96" s="110"/>
      <c r="BB96" s="110"/>
      <c r="BC96" s="110"/>
      <c r="BD96" s="110"/>
      <c r="BE96" s="110"/>
      <c r="BF96" s="110"/>
      <c r="BG96" s="110"/>
      <c r="BH96" s="110"/>
      <c r="BI96" s="99"/>
    </row>
    <row r="97" spans="1:61" ht="15.5" x14ac:dyDescent="0.35">
      <c r="A97" s="111"/>
      <c r="B97" s="109"/>
      <c r="C97" s="109"/>
      <c r="D97" s="109"/>
      <c r="E97" s="109"/>
      <c r="F97" s="109"/>
      <c r="G97" s="115"/>
      <c r="H97" s="109"/>
      <c r="I97" s="100"/>
      <c r="J97" s="109"/>
      <c r="K97" s="109"/>
      <c r="L97" s="109"/>
      <c r="M97" s="109"/>
      <c r="N97" s="109"/>
      <c r="O97" s="118"/>
      <c r="P97" s="100"/>
      <c r="Q97" s="118"/>
      <c r="R97" s="100"/>
      <c r="S97" s="99"/>
      <c r="T97" s="99"/>
      <c r="U97" s="99"/>
      <c r="V97" s="109"/>
      <c r="W97" s="118"/>
      <c r="X97" s="99"/>
      <c r="Y97" s="99"/>
      <c r="Z97" s="99"/>
      <c r="AA97" s="99"/>
      <c r="AB97" s="99"/>
      <c r="AO97" s="99"/>
      <c r="AP97" s="99"/>
      <c r="AQ97" s="99"/>
      <c r="AR97" s="99"/>
      <c r="AS97" s="99"/>
      <c r="AT97" s="99"/>
      <c r="AU97" s="99"/>
      <c r="AV97" s="99"/>
      <c r="AW97" s="99"/>
      <c r="AX97" s="99"/>
      <c r="AY97" s="99"/>
      <c r="AZ97" s="99"/>
      <c r="BA97" s="100"/>
      <c r="BB97" s="100"/>
      <c r="BC97" s="111"/>
      <c r="BD97" s="111"/>
      <c r="BE97" s="111"/>
      <c r="BF97" s="111"/>
      <c r="BG97" s="111"/>
      <c r="BH97" s="100"/>
      <c r="BI97" s="99"/>
    </row>
    <row r="98" spans="1:61" ht="17" x14ac:dyDescent="0.35">
      <c r="A98" s="111"/>
      <c r="B98" s="109"/>
      <c r="C98" s="109"/>
      <c r="D98" s="109"/>
      <c r="E98" s="109"/>
      <c r="F98" s="109"/>
      <c r="G98" s="115"/>
      <c r="H98" s="109"/>
      <c r="I98" s="100"/>
      <c r="J98" s="109"/>
      <c r="K98" s="109"/>
      <c r="L98" s="109"/>
      <c r="M98" s="109"/>
      <c r="N98" s="109"/>
      <c r="O98" s="118"/>
      <c r="P98" s="100"/>
      <c r="Q98" s="118"/>
      <c r="R98" s="100"/>
      <c r="S98" s="99"/>
      <c r="T98" s="99"/>
      <c r="U98" s="99"/>
      <c r="V98" s="109"/>
      <c r="W98" s="118"/>
      <c r="X98" s="99"/>
      <c r="Y98" s="99"/>
      <c r="Z98" s="99"/>
      <c r="AA98" s="99"/>
      <c r="AB98" s="99"/>
      <c r="AO98" s="99"/>
      <c r="AP98" s="99"/>
      <c r="AQ98" s="99"/>
      <c r="AR98" s="99"/>
      <c r="AS98" s="99"/>
      <c r="AT98" s="99"/>
      <c r="AU98" s="99"/>
      <c r="AV98" s="99"/>
      <c r="AW98" s="99"/>
      <c r="AX98" s="99"/>
      <c r="AY98" s="99"/>
      <c r="AZ98" s="99"/>
      <c r="BA98" s="104"/>
      <c r="BB98" s="101"/>
      <c r="BC98" s="108"/>
      <c r="BD98" s="108"/>
      <c r="BE98" s="108"/>
      <c r="BF98" s="108"/>
      <c r="BG98" s="108"/>
      <c r="BH98" s="106"/>
      <c r="BI98" s="99"/>
    </row>
    <row r="99" spans="1:61" ht="17" x14ac:dyDescent="0.35">
      <c r="A99" s="111"/>
      <c r="B99" s="109"/>
      <c r="C99" s="109"/>
      <c r="D99" s="109"/>
      <c r="E99" s="109"/>
      <c r="F99" s="109"/>
      <c r="G99" s="115"/>
      <c r="H99" s="109"/>
      <c r="I99" s="100"/>
      <c r="J99" s="109"/>
      <c r="K99" s="109"/>
      <c r="L99" s="109"/>
      <c r="M99" s="109"/>
      <c r="N99" s="109"/>
      <c r="O99" s="118"/>
      <c r="P99" s="100"/>
      <c r="Q99" s="118"/>
      <c r="R99" s="100"/>
      <c r="S99" s="94"/>
      <c r="T99" s="94"/>
      <c r="U99" s="94"/>
      <c r="V99" s="109"/>
      <c r="W99" s="118"/>
      <c r="X99" s="99"/>
      <c r="Y99" s="99"/>
      <c r="Z99" s="99"/>
      <c r="AA99" s="99"/>
      <c r="AB99" s="99"/>
      <c r="AO99" s="99"/>
      <c r="AP99" s="99"/>
      <c r="AQ99" s="99"/>
      <c r="AR99" s="99"/>
      <c r="AS99" s="99"/>
      <c r="AT99" s="99"/>
      <c r="AU99" s="99"/>
      <c r="AV99" s="99"/>
      <c r="AW99" s="99"/>
      <c r="AX99" s="99"/>
      <c r="AY99" s="99"/>
      <c r="AZ99" s="99"/>
      <c r="BA99" s="101"/>
      <c r="BB99" s="107"/>
      <c r="BC99" s="112"/>
      <c r="BD99" s="113"/>
      <c r="BE99" s="113"/>
      <c r="BF99" s="113"/>
      <c r="BG99" s="113"/>
      <c r="BH99" s="103"/>
      <c r="BI99" s="99"/>
    </row>
    <row r="100" spans="1:61" ht="17" x14ac:dyDescent="0.35">
      <c r="A100" s="111"/>
      <c r="B100" s="109"/>
      <c r="C100" s="109"/>
      <c r="D100" s="109"/>
      <c r="E100" s="109"/>
      <c r="F100" s="109"/>
      <c r="G100" s="115"/>
      <c r="H100" s="109"/>
      <c r="I100" s="107"/>
      <c r="J100" s="112"/>
      <c r="K100" s="113"/>
      <c r="L100" s="113"/>
      <c r="M100" s="113"/>
      <c r="N100" s="113"/>
      <c r="O100" s="118"/>
      <c r="P100" s="100"/>
      <c r="Q100" s="118"/>
      <c r="R100" s="100"/>
      <c r="S100" s="97"/>
      <c r="T100" s="97"/>
      <c r="U100" s="97"/>
      <c r="V100" s="109"/>
      <c r="W100" s="118"/>
      <c r="X100" s="99"/>
      <c r="Y100" s="99"/>
      <c r="Z100" s="99"/>
      <c r="AA100" s="99"/>
      <c r="AB100" s="99"/>
      <c r="AO100" s="99"/>
      <c r="AP100" s="99"/>
      <c r="AQ100" s="99"/>
      <c r="AR100" s="99"/>
      <c r="AS100" s="99"/>
      <c r="AT100" s="99"/>
      <c r="AU100" s="99"/>
      <c r="AV100" s="99"/>
      <c r="AW100" s="99"/>
      <c r="AX100" s="99"/>
      <c r="AY100" s="99"/>
      <c r="AZ100" s="99"/>
      <c r="BA100" s="101"/>
      <c r="BB100" s="101"/>
      <c r="BC100" s="108"/>
      <c r="BD100" s="108"/>
      <c r="BE100" s="108"/>
      <c r="BF100" s="108"/>
      <c r="BG100" s="108"/>
      <c r="BH100" s="103"/>
      <c r="BI100" s="99"/>
    </row>
    <row r="101" spans="1:61" ht="17" x14ac:dyDescent="0.35">
      <c r="A101" s="99"/>
      <c r="B101" s="99"/>
      <c r="C101" s="99"/>
      <c r="D101" s="99"/>
      <c r="E101" s="99"/>
      <c r="F101" s="99"/>
      <c r="G101" s="99"/>
      <c r="H101" s="99"/>
      <c r="I101" s="99"/>
      <c r="J101" s="99"/>
      <c r="K101" s="99"/>
      <c r="L101" s="99"/>
      <c r="M101" s="99"/>
      <c r="N101" s="99"/>
      <c r="O101" s="99"/>
      <c r="P101" s="99"/>
      <c r="Q101" s="99"/>
      <c r="R101" s="99"/>
      <c r="S101" s="99"/>
      <c r="T101" s="99"/>
      <c r="U101" s="99"/>
      <c r="V101" s="99"/>
      <c r="W101" s="99"/>
      <c r="X101" s="99"/>
      <c r="Y101" s="99"/>
      <c r="Z101" s="99"/>
      <c r="AA101" s="99"/>
      <c r="AB101" s="99"/>
      <c r="AO101" s="99"/>
      <c r="AP101" s="99"/>
      <c r="AQ101" s="99"/>
      <c r="AR101" s="99"/>
      <c r="AS101" s="99"/>
      <c r="AT101" s="99"/>
      <c r="AU101" s="99"/>
      <c r="AV101" s="99"/>
      <c r="AW101" s="99"/>
      <c r="AX101" s="99"/>
      <c r="AY101" s="99"/>
      <c r="AZ101" s="99"/>
      <c r="BA101" s="101"/>
      <c r="BB101" s="100"/>
      <c r="BC101" s="109"/>
      <c r="BD101" s="109"/>
      <c r="BE101" s="109"/>
      <c r="BF101" s="109"/>
      <c r="BG101" s="109"/>
      <c r="BH101" s="103"/>
      <c r="BI101" s="99"/>
    </row>
    <row r="102" spans="1:61" ht="17" x14ac:dyDescent="0.35">
      <c r="A102" s="119"/>
      <c r="B102" s="119"/>
      <c r="C102" s="119"/>
      <c r="D102" s="99"/>
      <c r="E102" s="99"/>
      <c r="F102" s="99"/>
      <c r="G102" s="99"/>
      <c r="H102" s="99"/>
      <c r="I102" s="99"/>
      <c r="J102" s="99"/>
      <c r="K102" s="99"/>
      <c r="L102" s="99"/>
      <c r="M102" s="99"/>
      <c r="N102" s="99"/>
      <c r="O102" s="99"/>
      <c r="P102" s="99"/>
      <c r="Q102" s="99"/>
      <c r="R102" s="99"/>
      <c r="S102" s="99"/>
      <c r="T102" s="99"/>
      <c r="U102" s="99"/>
      <c r="V102" s="99"/>
      <c r="W102" s="99"/>
      <c r="X102" s="99"/>
      <c r="Y102" s="99"/>
      <c r="Z102" s="99"/>
      <c r="AA102" s="99"/>
      <c r="AB102" s="99"/>
      <c r="AO102" s="99"/>
      <c r="AP102" s="99"/>
      <c r="AQ102" s="99"/>
      <c r="AR102" s="99"/>
      <c r="AS102" s="99"/>
      <c r="AT102" s="99"/>
      <c r="AU102" s="99"/>
      <c r="AV102" s="99"/>
      <c r="AW102" s="99"/>
      <c r="AX102" s="99"/>
      <c r="AY102" s="99"/>
      <c r="AZ102" s="99"/>
      <c r="BA102" s="101"/>
      <c r="BB102" s="100"/>
      <c r="BC102" s="109"/>
      <c r="BD102" s="109"/>
      <c r="BE102" s="109"/>
      <c r="BF102" s="109"/>
      <c r="BG102" s="109"/>
      <c r="BH102" s="103"/>
      <c r="BI102" s="99"/>
    </row>
    <row r="103" spans="1:61" ht="17" x14ac:dyDescent="0.35">
      <c r="A103" s="100"/>
      <c r="B103" s="111"/>
      <c r="C103" s="111"/>
      <c r="D103" s="111"/>
      <c r="E103" s="111"/>
      <c r="F103" s="111"/>
      <c r="G103" s="100"/>
      <c r="H103" s="100"/>
      <c r="I103" s="100"/>
      <c r="J103" s="111"/>
      <c r="K103" s="111"/>
      <c r="L103" s="111"/>
      <c r="M103" s="111"/>
      <c r="N103" s="111"/>
      <c r="O103" s="100"/>
      <c r="P103" s="100"/>
      <c r="Q103" s="100"/>
      <c r="R103" s="100"/>
      <c r="S103" s="99"/>
      <c r="T103" s="99"/>
      <c r="U103" s="99"/>
      <c r="V103" s="111"/>
      <c r="W103" s="100"/>
      <c r="X103" s="99"/>
      <c r="Y103" s="99"/>
      <c r="Z103" s="99"/>
      <c r="AA103" s="99"/>
      <c r="AB103" s="99"/>
      <c r="AO103" s="99"/>
      <c r="AP103" s="99"/>
      <c r="AQ103" s="99"/>
      <c r="AR103" s="99"/>
      <c r="AS103" s="99"/>
      <c r="AT103" s="99"/>
      <c r="AU103" s="99"/>
      <c r="AV103" s="99"/>
      <c r="AW103" s="99"/>
      <c r="AX103" s="99"/>
      <c r="AY103" s="99"/>
      <c r="AZ103" s="99"/>
      <c r="BA103" s="101"/>
      <c r="BB103" s="100"/>
      <c r="BC103" s="109"/>
      <c r="BD103" s="109"/>
      <c r="BE103" s="109"/>
      <c r="BF103" s="109"/>
      <c r="BG103" s="109"/>
      <c r="BH103" s="103"/>
      <c r="BI103" s="99"/>
    </row>
    <row r="104" spans="1:61" ht="17" x14ac:dyDescent="0.35">
      <c r="A104" s="111"/>
      <c r="B104" s="109"/>
      <c r="C104" s="109"/>
      <c r="D104" s="109"/>
      <c r="E104" s="109"/>
      <c r="F104" s="109"/>
      <c r="G104" s="115"/>
      <c r="H104" s="109"/>
      <c r="I104" s="100"/>
      <c r="J104" s="109"/>
      <c r="K104" s="109"/>
      <c r="L104" s="109"/>
      <c r="M104" s="109"/>
      <c r="N104" s="109"/>
      <c r="O104" s="118"/>
      <c r="P104" s="100"/>
      <c r="Q104" s="118"/>
      <c r="R104" s="100"/>
      <c r="S104" s="99"/>
      <c r="T104" s="99"/>
      <c r="U104" s="99"/>
      <c r="V104" s="112"/>
      <c r="W104" s="118"/>
      <c r="X104" s="99"/>
      <c r="Y104" s="99"/>
      <c r="Z104" s="99"/>
      <c r="AA104" s="99"/>
      <c r="AB104" s="99"/>
      <c r="AO104" s="99"/>
      <c r="AP104" s="99"/>
      <c r="AQ104" s="99"/>
      <c r="AR104" s="99"/>
      <c r="AS104" s="99"/>
      <c r="AT104" s="99"/>
      <c r="AU104" s="99"/>
      <c r="AV104" s="99"/>
      <c r="AW104" s="99"/>
      <c r="AX104" s="99"/>
      <c r="AY104" s="99"/>
      <c r="AZ104" s="99"/>
      <c r="BA104" s="101"/>
      <c r="BB104" s="100"/>
      <c r="BC104" s="109"/>
      <c r="BD104" s="109"/>
      <c r="BE104" s="109"/>
      <c r="BF104" s="109"/>
      <c r="BG104" s="109"/>
      <c r="BH104" s="103"/>
      <c r="BI104" s="99"/>
    </row>
    <row r="105" spans="1:61" ht="17" x14ac:dyDescent="0.35">
      <c r="A105" s="111"/>
      <c r="B105" s="109"/>
      <c r="C105" s="109"/>
      <c r="D105" s="109"/>
      <c r="E105" s="109"/>
      <c r="F105" s="109"/>
      <c r="G105" s="115"/>
      <c r="H105" s="109"/>
      <c r="I105" s="100"/>
      <c r="J105" s="109"/>
      <c r="K105" s="109"/>
      <c r="L105" s="109"/>
      <c r="M105" s="109"/>
      <c r="N105" s="109"/>
      <c r="O105" s="118"/>
      <c r="P105" s="100"/>
      <c r="Q105" s="118"/>
      <c r="R105" s="100"/>
      <c r="S105" s="99"/>
      <c r="T105" s="99"/>
      <c r="U105" s="99"/>
      <c r="V105" s="109"/>
      <c r="W105" s="118"/>
      <c r="X105" s="99"/>
      <c r="Y105" s="99"/>
      <c r="Z105" s="99"/>
      <c r="AA105" s="99"/>
      <c r="AB105" s="99"/>
      <c r="AO105" s="99"/>
      <c r="AP105" s="99"/>
      <c r="AQ105" s="99"/>
      <c r="AR105" s="99"/>
      <c r="AS105" s="99"/>
      <c r="AT105" s="99"/>
      <c r="AU105" s="99"/>
      <c r="AV105" s="99"/>
      <c r="AW105" s="99"/>
      <c r="AX105" s="99"/>
      <c r="AY105" s="99"/>
      <c r="AZ105" s="99"/>
      <c r="BA105" s="101"/>
      <c r="BB105" s="101"/>
      <c r="BC105" s="108"/>
      <c r="BD105" s="108"/>
      <c r="BE105" s="108"/>
      <c r="BF105" s="108"/>
      <c r="BG105" s="108"/>
      <c r="BH105" s="103"/>
      <c r="BI105" s="99"/>
    </row>
    <row r="106" spans="1:61" ht="17" x14ac:dyDescent="0.35">
      <c r="A106" s="111"/>
      <c r="B106" s="109"/>
      <c r="C106" s="109"/>
      <c r="D106" s="109"/>
      <c r="E106" s="109"/>
      <c r="F106" s="109"/>
      <c r="G106" s="115"/>
      <c r="H106" s="109"/>
      <c r="I106" s="100"/>
      <c r="J106" s="109"/>
      <c r="K106" s="109"/>
      <c r="L106" s="109"/>
      <c r="M106" s="109"/>
      <c r="N106" s="109"/>
      <c r="O106" s="118"/>
      <c r="P106" s="100"/>
      <c r="Q106" s="118"/>
      <c r="R106" s="100"/>
      <c r="S106" s="99"/>
      <c r="T106" s="99"/>
      <c r="U106" s="99"/>
      <c r="V106" s="109"/>
      <c r="W106" s="118"/>
      <c r="X106" s="99"/>
      <c r="Y106" s="99"/>
      <c r="Z106" s="99"/>
      <c r="AA106" s="99"/>
      <c r="AB106" s="99"/>
      <c r="AO106" s="99"/>
      <c r="AP106" s="99"/>
      <c r="AQ106" s="99"/>
      <c r="AR106" s="99"/>
      <c r="AS106" s="99"/>
      <c r="AT106" s="99"/>
      <c r="AU106" s="99"/>
      <c r="AV106" s="99"/>
      <c r="AW106" s="99"/>
      <c r="AX106" s="99"/>
      <c r="AY106" s="99"/>
      <c r="AZ106" s="99"/>
      <c r="BA106" s="101"/>
      <c r="BB106" s="100"/>
      <c r="BC106" s="109"/>
      <c r="BD106" s="109"/>
      <c r="BE106" s="109"/>
      <c r="BF106" s="109"/>
      <c r="BG106" s="109"/>
      <c r="BH106" s="103"/>
      <c r="BI106" s="99"/>
    </row>
    <row r="107" spans="1:61" ht="15.5" x14ac:dyDescent="0.35">
      <c r="A107" s="111"/>
      <c r="B107" s="109"/>
      <c r="C107" s="109"/>
      <c r="D107" s="109"/>
      <c r="E107" s="109"/>
      <c r="F107" s="109"/>
      <c r="G107" s="115"/>
      <c r="H107" s="109"/>
      <c r="I107" s="100"/>
      <c r="J107" s="109"/>
      <c r="K107" s="109"/>
      <c r="L107" s="109"/>
      <c r="M107" s="109"/>
      <c r="N107" s="109"/>
      <c r="O107" s="118"/>
      <c r="P107" s="100"/>
      <c r="Q107" s="118"/>
      <c r="R107" s="100"/>
      <c r="S107" s="99"/>
      <c r="T107" s="99"/>
      <c r="U107" s="99"/>
      <c r="V107" s="109"/>
      <c r="W107" s="118"/>
      <c r="X107" s="99"/>
      <c r="Y107" s="99"/>
      <c r="Z107" s="99"/>
      <c r="AA107" s="99"/>
      <c r="AB107" s="99"/>
      <c r="AO107" s="99"/>
      <c r="AP107" s="99"/>
      <c r="AQ107" s="99"/>
      <c r="AR107" s="99"/>
      <c r="AS107" s="99"/>
      <c r="AT107" s="99"/>
      <c r="AU107" s="99"/>
      <c r="AV107" s="99"/>
      <c r="AW107" s="99"/>
      <c r="AX107" s="99"/>
      <c r="AY107" s="99"/>
      <c r="AZ107" s="99"/>
      <c r="BA107" s="99"/>
      <c r="BB107" s="99"/>
      <c r="BC107" s="99"/>
      <c r="BD107" s="99"/>
      <c r="BE107" s="99"/>
      <c r="BF107" s="99"/>
      <c r="BG107" s="99"/>
      <c r="BH107" s="99"/>
      <c r="BI107" s="99"/>
    </row>
    <row r="108" spans="1:61" ht="15.5" x14ac:dyDescent="0.35">
      <c r="A108" s="111"/>
      <c r="B108" s="109"/>
      <c r="C108" s="109"/>
      <c r="D108" s="109"/>
      <c r="E108" s="109"/>
      <c r="F108" s="109"/>
      <c r="G108" s="115"/>
      <c r="H108" s="109"/>
      <c r="I108" s="100"/>
      <c r="J108" s="109"/>
      <c r="K108" s="109"/>
      <c r="L108" s="109"/>
      <c r="M108" s="109"/>
      <c r="N108" s="109"/>
      <c r="O108" s="118"/>
      <c r="P108" s="100"/>
      <c r="Q108" s="118"/>
      <c r="R108" s="100"/>
      <c r="S108" s="99"/>
      <c r="T108" s="99"/>
      <c r="U108" s="99"/>
      <c r="V108" s="109"/>
      <c r="W108" s="118"/>
      <c r="X108" s="99"/>
      <c r="Y108" s="99"/>
      <c r="Z108" s="99"/>
      <c r="AA108" s="99"/>
      <c r="AB108" s="99"/>
      <c r="AO108" s="99"/>
      <c r="AP108" s="99"/>
      <c r="AQ108" s="99"/>
      <c r="AR108" s="99"/>
      <c r="AS108" s="99"/>
      <c r="AT108" s="99"/>
      <c r="AU108" s="99"/>
      <c r="AV108" s="99"/>
      <c r="AW108" s="99"/>
      <c r="AX108" s="99"/>
      <c r="AY108" s="99"/>
      <c r="AZ108" s="99"/>
      <c r="BA108" s="99"/>
      <c r="BB108" s="99"/>
      <c r="BC108" s="99"/>
      <c r="BD108" s="99"/>
      <c r="BE108" s="99"/>
      <c r="BF108" s="99"/>
      <c r="BG108" s="99"/>
      <c r="BH108" s="99"/>
      <c r="BI108" s="99"/>
    </row>
    <row r="109" spans="1:61" ht="15.5" x14ac:dyDescent="0.35">
      <c r="A109" s="111"/>
      <c r="B109" s="109"/>
      <c r="C109" s="109"/>
      <c r="D109" s="109"/>
      <c r="E109" s="109"/>
      <c r="F109" s="109"/>
      <c r="G109" s="115"/>
      <c r="H109" s="109"/>
      <c r="I109" s="100"/>
      <c r="J109" s="109"/>
      <c r="K109" s="109"/>
      <c r="L109" s="109"/>
      <c r="M109" s="109"/>
      <c r="N109" s="109"/>
      <c r="O109" s="118"/>
      <c r="P109" s="100"/>
      <c r="Q109" s="118"/>
      <c r="R109" s="100"/>
      <c r="S109" s="99"/>
      <c r="T109" s="99"/>
      <c r="U109" s="99"/>
      <c r="V109" s="109"/>
      <c r="W109" s="118"/>
      <c r="X109" s="99"/>
      <c r="Y109" s="99"/>
      <c r="Z109" s="99"/>
      <c r="AA109" s="99"/>
      <c r="AB109" s="99"/>
      <c r="AO109" s="99"/>
      <c r="AP109" s="99"/>
      <c r="AQ109" s="99"/>
      <c r="AR109" s="99"/>
      <c r="AS109" s="99"/>
      <c r="AT109" s="99"/>
      <c r="AU109" s="99"/>
      <c r="AV109" s="99"/>
      <c r="AW109" s="99"/>
      <c r="AX109" s="99"/>
      <c r="AY109" s="99"/>
      <c r="AZ109" s="99"/>
      <c r="BA109" s="99"/>
      <c r="BB109" s="99"/>
      <c r="BC109" s="99"/>
      <c r="BD109" s="99"/>
      <c r="BE109" s="99"/>
      <c r="BF109" s="99"/>
      <c r="BG109" s="99"/>
      <c r="BH109" s="99"/>
      <c r="BI109" s="99"/>
    </row>
    <row r="110" spans="1:61" ht="15.5" x14ac:dyDescent="0.35">
      <c r="A110" s="111"/>
      <c r="B110" s="109"/>
      <c r="C110" s="109"/>
      <c r="D110" s="109"/>
      <c r="E110" s="109"/>
      <c r="F110" s="109"/>
      <c r="G110" s="115"/>
      <c r="H110" s="109"/>
      <c r="I110" s="100"/>
      <c r="J110" s="109"/>
      <c r="K110" s="109"/>
      <c r="L110" s="109"/>
      <c r="M110" s="109"/>
      <c r="N110" s="109"/>
      <c r="O110" s="118"/>
      <c r="P110" s="100"/>
      <c r="Q110" s="118"/>
      <c r="R110" s="100"/>
      <c r="S110" s="99"/>
      <c r="T110" s="99"/>
      <c r="U110" s="99"/>
      <c r="V110" s="109"/>
      <c r="W110" s="118"/>
      <c r="X110" s="99"/>
      <c r="Y110" s="99"/>
      <c r="Z110" s="99"/>
      <c r="AA110" s="99"/>
      <c r="AB110" s="99"/>
      <c r="AO110" s="99"/>
      <c r="AP110" s="99"/>
      <c r="AQ110" s="99"/>
      <c r="AR110" s="99"/>
      <c r="AS110" s="99"/>
      <c r="AT110" s="99"/>
      <c r="AU110" s="99"/>
      <c r="AV110" s="99"/>
      <c r="AW110" s="99"/>
      <c r="AX110" s="99"/>
      <c r="AY110" s="99"/>
      <c r="AZ110" s="99"/>
      <c r="BA110" s="99"/>
      <c r="BB110" s="99"/>
      <c r="BC110" s="99"/>
      <c r="BD110" s="99"/>
      <c r="BE110" s="99"/>
      <c r="BF110" s="99"/>
      <c r="BG110" s="99"/>
      <c r="BH110" s="99"/>
      <c r="BI110" s="99"/>
    </row>
    <row r="111" spans="1:61" ht="15.5" x14ac:dyDescent="0.35">
      <c r="A111" s="111"/>
      <c r="B111" s="109"/>
      <c r="C111" s="109"/>
      <c r="D111" s="109"/>
      <c r="E111" s="109"/>
      <c r="F111" s="109"/>
      <c r="G111" s="115"/>
      <c r="H111" s="109"/>
      <c r="I111" s="100"/>
      <c r="J111" s="109"/>
      <c r="K111" s="109"/>
      <c r="L111" s="109"/>
      <c r="M111" s="109"/>
      <c r="N111" s="109"/>
      <c r="O111" s="118"/>
      <c r="P111" s="100"/>
      <c r="Q111" s="118"/>
      <c r="R111" s="100"/>
      <c r="S111" s="99"/>
      <c r="T111" s="99"/>
      <c r="U111" s="99"/>
      <c r="V111" s="109"/>
      <c r="W111" s="118"/>
      <c r="X111" s="99"/>
      <c r="Y111" s="99"/>
      <c r="Z111" s="99"/>
      <c r="AA111" s="99"/>
      <c r="AB111" s="99"/>
      <c r="AO111" s="99"/>
      <c r="AP111" s="99"/>
      <c r="AQ111" s="99"/>
      <c r="AR111" s="99"/>
      <c r="AS111" s="99"/>
      <c r="AT111" s="99"/>
      <c r="AU111" s="99"/>
      <c r="AV111" s="99"/>
      <c r="AW111" s="99"/>
      <c r="AX111" s="99"/>
      <c r="AY111" s="99"/>
      <c r="AZ111" s="99"/>
      <c r="BA111" s="99"/>
      <c r="BB111" s="99"/>
      <c r="BC111" s="99"/>
      <c r="BD111" s="99"/>
      <c r="BE111" s="99"/>
      <c r="BF111" s="99"/>
      <c r="BG111" s="99"/>
      <c r="BH111" s="99"/>
      <c r="BI111" s="99"/>
    </row>
    <row r="112" spans="1:61" ht="15.5" x14ac:dyDescent="0.35">
      <c r="A112" s="111"/>
      <c r="B112" s="109"/>
      <c r="C112" s="109"/>
      <c r="D112" s="109"/>
      <c r="E112" s="109"/>
      <c r="F112" s="109"/>
      <c r="G112" s="115"/>
      <c r="H112" s="109"/>
      <c r="I112" s="107"/>
      <c r="J112" s="112"/>
      <c r="K112" s="113"/>
      <c r="L112" s="113"/>
      <c r="M112" s="113"/>
      <c r="N112" s="113"/>
      <c r="O112" s="118"/>
      <c r="P112" s="100"/>
      <c r="Q112" s="118"/>
      <c r="R112" s="100"/>
      <c r="S112" s="99"/>
      <c r="T112" s="99"/>
      <c r="U112" s="99"/>
      <c r="V112" s="109"/>
      <c r="W112" s="118"/>
      <c r="X112" s="99"/>
      <c r="Y112" s="99"/>
      <c r="Z112" s="99"/>
      <c r="AA112" s="99"/>
      <c r="AB112" s="99"/>
      <c r="AO112" s="99"/>
      <c r="AP112" s="99"/>
      <c r="AQ112" s="99"/>
      <c r="AR112" s="99"/>
      <c r="AS112" s="99"/>
      <c r="AT112" s="99"/>
      <c r="AU112" s="99"/>
      <c r="AV112" s="99"/>
      <c r="AW112" s="99"/>
      <c r="AX112" s="99"/>
      <c r="AY112" s="99"/>
      <c r="AZ112" s="99"/>
      <c r="BA112" s="99"/>
      <c r="BB112" s="99"/>
      <c r="BC112" s="99"/>
      <c r="BD112" s="99"/>
      <c r="BE112" s="99"/>
      <c r="BF112" s="99"/>
      <c r="BG112" s="99"/>
      <c r="BH112" s="99"/>
      <c r="BI112" s="99"/>
    </row>
    <row r="113" spans="41:61" x14ac:dyDescent="0.35">
      <c r="AO113" s="99"/>
      <c r="AP113" s="99"/>
      <c r="AQ113" s="99"/>
      <c r="AR113" s="99"/>
      <c r="AS113" s="99"/>
      <c r="AT113" s="99"/>
      <c r="AU113" s="99"/>
      <c r="AV113" s="99"/>
      <c r="AW113" s="99"/>
      <c r="AX113" s="99"/>
      <c r="AY113" s="99"/>
      <c r="AZ113" s="99"/>
      <c r="BA113" s="99"/>
      <c r="BB113" s="99"/>
      <c r="BC113" s="99"/>
      <c r="BD113" s="99"/>
      <c r="BE113" s="99"/>
      <c r="BF113" s="99"/>
      <c r="BG113" s="99"/>
      <c r="BH113" s="99"/>
      <c r="BI113" s="99"/>
    </row>
    <row r="114" spans="41:61" x14ac:dyDescent="0.35">
      <c r="AO114" s="99"/>
      <c r="AP114" s="99"/>
      <c r="AQ114" s="99"/>
      <c r="AR114" s="99"/>
      <c r="AS114" s="99"/>
      <c r="AT114" s="99"/>
      <c r="AU114" s="99"/>
      <c r="AV114" s="99"/>
      <c r="AW114" s="99"/>
      <c r="AX114" s="99"/>
      <c r="AY114" s="99"/>
      <c r="AZ114" s="99"/>
      <c r="BA114" s="99"/>
      <c r="BB114" s="99"/>
      <c r="BC114" s="99"/>
      <c r="BD114" s="99"/>
      <c r="BE114" s="99"/>
      <c r="BF114" s="99"/>
      <c r="BG114" s="99"/>
      <c r="BH114" s="99"/>
      <c r="BI114" s="99"/>
    </row>
    <row r="115" spans="41:61" x14ac:dyDescent="0.35">
      <c r="AO115" s="99"/>
      <c r="AP115" s="99"/>
      <c r="AQ115" s="99"/>
      <c r="AR115" s="99"/>
      <c r="AS115" s="99"/>
      <c r="AT115" s="99"/>
      <c r="AU115" s="99"/>
      <c r="AV115" s="99"/>
      <c r="AW115" s="99"/>
      <c r="AX115" s="99"/>
      <c r="AY115" s="99"/>
      <c r="AZ115" s="99"/>
      <c r="BA115" s="99"/>
      <c r="BB115" s="99"/>
      <c r="BC115" s="99"/>
      <c r="BD115" s="99"/>
      <c r="BE115" s="99"/>
      <c r="BF115" s="99"/>
      <c r="BG115" s="99"/>
      <c r="BH115" s="99"/>
      <c r="BI115" s="99"/>
    </row>
    <row r="116" spans="41:61" x14ac:dyDescent="0.35">
      <c r="AO116" s="99"/>
      <c r="AP116" s="99"/>
      <c r="AQ116" s="99"/>
      <c r="AR116" s="99"/>
      <c r="AS116" s="99"/>
      <c r="AT116" s="99"/>
      <c r="AU116" s="99"/>
      <c r="AV116" s="99"/>
      <c r="AW116" s="99"/>
      <c r="AX116" s="99"/>
      <c r="AY116" s="99"/>
      <c r="AZ116" s="99"/>
      <c r="BA116" s="99"/>
      <c r="BB116" s="99"/>
      <c r="BC116" s="99"/>
      <c r="BD116" s="99"/>
      <c r="BE116" s="99"/>
      <c r="BF116" s="99"/>
      <c r="BG116" s="99"/>
      <c r="BH116" s="99"/>
      <c r="BI116" s="99"/>
    </row>
    <row r="117" spans="41:61" x14ac:dyDescent="0.35">
      <c r="AO117" s="99"/>
      <c r="AP117" s="99"/>
      <c r="AQ117" s="99"/>
      <c r="AR117" s="99"/>
      <c r="AS117" s="99"/>
      <c r="AT117" s="99"/>
      <c r="AU117" s="99"/>
      <c r="AV117" s="99"/>
      <c r="AW117" s="99"/>
      <c r="AX117" s="99"/>
      <c r="AY117" s="99"/>
      <c r="AZ117" s="99"/>
      <c r="BA117" s="99"/>
      <c r="BB117" s="99"/>
      <c r="BC117" s="99"/>
      <c r="BD117" s="99"/>
      <c r="BE117" s="99"/>
      <c r="BF117" s="99"/>
      <c r="BG117" s="99"/>
      <c r="BH117" s="99"/>
      <c r="BI117" s="99"/>
    </row>
    <row r="118" spans="41:61" x14ac:dyDescent="0.35">
      <c r="AO118" s="99"/>
      <c r="AP118" s="99"/>
      <c r="AQ118" s="99"/>
      <c r="AR118" s="99"/>
      <c r="AS118" s="99"/>
      <c r="AT118" s="99"/>
      <c r="AU118" s="99"/>
      <c r="AV118" s="99"/>
      <c r="AW118" s="99"/>
      <c r="AX118" s="99"/>
      <c r="AY118" s="99"/>
      <c r="AZ118" s="99"/>
      <c r="BA118" s="99"/>
      <c r="BB118" s="99"/>
      <c r="BC118" s="99"/>
      <c r="BD118" s="99"/>
      <c r="BE118" s="99"/>
      <c r="BF118" s="99"/>
      <c r="BG118" s="99"/>
      <c r="BH118" s="99"/>
      <c r="BI118" s="99"/>
    </row>
    <row r="119" spans="41:61" x14ac:dyDescent="0.35">
      <c r="AO119" s="99"/>
      <c r="AP119" s="99"/>
      <c r="AQ119" s="99"/>
      <c r="AR119" s="99"/>
      <c r="AS119" s="99"/>
      <c r="AT119" s="99"/>
      <c r="AU119" s="99"/>
      <c r="AV119" s="99"/>
      <c r="AW119" s="99"/>
      <c r="AX119" s="99"/>
      <c r="AY119" s="99"/>
      <c r="AZ119" s="99"/>
      <c r="BA119" s="99"/>
      <c r="BB119" s="99"/>
      <c r="BC119" s="99"/>
      <c r="BD119" s="99"/>
      <c r="BE119" s="99"/>
      <c r="BF119" s="99"/>
      <c r="BG119" s="99"/>
      <c r="BH119" s="99"/>
      <c r="BI119" s="99"/>
    </row>
    <row r="120" spans="41:61" x14ac:dyDescent="0.35">
      <c r="AO120" s="99"/>
      <c r="AP120" s="99"/>
      <c r="AQ120" s="99"/>
      <c r="AR120" s="99"/>
      <c r="AS120" s="99"/>
      <c r="AT120" s="99"/>
      <c r="AU120" s="99"/>
      <c r="AV120" s="99"/>
      <c r="AW120" s="99"/>
      <c r="AX120" s="99"/>
      <c r="AY120" s="99"/>
      <c r="AZ120" s="99"/>
      <c r="BA120" s="99"/>
      <c r="BB120" s="99"/>
      <c r="BC120" s="99"/>
      <c r="BD120" s="99"/>
      <c r="BE120" s="99"/>
      <c r="BF120" s="99"/>
      <c r="BG120" s="99"/>
      <c r="BH120" s="99"/>
      <c r="BI120" s="99"/>
    </row>
    <row r="121" spans="41:61" x14ac:dyDescent="0.35">
      <c r="AO121" s="99"/>
      <c r="AP121" s="99"/>
      <c r="AQ121" s="99"/>
      <c r="AR121" s="99"/>
      <c r="AS121" s="99"/>
      <c r="AT121" s="99"/>
      <c r="AU121" s="99"/>
      <c r="AV121" s="99"/>
      <c r="AW121" s="99"/>
      <c r="AX121" s="99"/>
      <c r="AY121" s="99"/>
      <c r="AZ121" s="99"/>
      <c r="BA121" s="99"/>
      <c r="BB121" s="99"/>
      <c r="BC121" s="99"/>
      <c r="BD121" s="99"/>
      <c r="BE121" s="99"/>
      <c r="BF121" s="99"/>
      <c r="BG121" s="99"/>
      <c r="BH121" s="99"/>
      <c r="BI121" s="99"/>
    </row>
    <row r="122" spans="41:61" x14ac:dyDescent="0.35">
      <c r="AO122" s="99"/>
      <c r="AP122" s="99"/>
      <c r="AQ122" s="99"/>
      <c r="AR122" s="99"/>
      <c r="AS122" s="99"/>
      <c r="AT122" s="99"/>
      <c r="AU122" s="99"/>
      <c r="AV122" s="99"/>
      <c r="AW122" s="99"/>
      <c r="AX122" s="99"/>
      <c r="AY122" s="99"/>
      <c r="AZ122" s="99"/>
      <c r="BA122" s="99"/>
      <c r="BB122" s="99"/>
      <c r="BC122" s="99"/>
      <c r="BD122" s="99"/>
      <c r="BE122" s="99"/>
      <c r="BF122" s="99"/>
      <c r="BG122" s="99"/>
      <c r="BH122" s="99"/>
      <c r="BI122" s="99"/>
    </row>
    <row r="123" spans="41:61" x14ac:dyDescent="0.35">
      <c r="AO123" s="99"/>
      <c r="AP123" s="99"/>
      <c r="AQ123" s="99"/>
      <c r="AR123" s="99"/>
      <c r="AS123" s="99"/>
      <c r="AT123" s="99"/>
      <c r="AU123" s="99"/>
      <c r="AV123" s="99"/>
      <c r="AW123" s="99"/>
      <c r="AX123" s="99"/>
      <c r="AY123" s="99"/>
      <c r="AZ123" s="99"/>
      <c r="BA123" s="99"/>
      <c r="BB123" s="99"/>
      <c r="BC123" s="99"/>
      <c r="BD123" s="99"/>
      <c r="BE123" s="99"/>
      <c r="BF123" s="99"/>
      <c r="BG123" s="99"/>
      <c r="BH123" s="99"/>
      <c r="BI123" s="99"/>
    </row>
    <row r="124" spans="41:61" x14ac:dyDescent="0.35">
      <c r="AO124" s="99"/>
      <c r="AP124" s="99"/>
      <c r="AQ124" s="99"/>
      <c r="AR124" s="99"/>
      <c r="AS124" s="99"/>
      <c r="AT124" s="99"/>
      <c r="AU124" s="99"/>
      <c r="AV124" s="99"/>
      <c r="AW124" s="99"/>
      <c r="AX124" s="99"/>
      <c r="AY124" s="99"/>
      <c r="AZ124" s="99"/>
      <c r="BA124" s="99"/>
      <c r="BB124" s="99"/>
      <c r="BC124" s="99"/>
      <c r="BD124" s="99"/>
      <c r="BE124" s="99"/>
      <c r="BF124" s="99"/>
      <c r="BG124" s="99"/>
      <c r="BH124" s="99"/>
      <c r="BI124" s="99"/>
    </row>
  </sheetData>
  <sortState xmlns:xlrd2="http://schemas.microsoft.com/office/spreadsheetml/2017/richdata2" ref="V44:W52">
    <sortCondition descending="1" ref="W47"/>
  </sortState>
  <mergeCells count="33">
    <mergeCell ref="AB20:AC20"/>
    <mergeCell ref="Y38:AB38"/>
    <mergeCell ref="Y39:AB39"/>
    <mergeCell ref="AJ33:AM33"/>
    <mergeCell ref="AJ41:AM41"/>
    <mergeCell ref="AU23:AW23"/>
    <mergeCell ref="G48:G50"/>
    <mergeCell ref="H48:H50"/>
    <mergeCell ref="J48:N48"/>
    <mergeCell ref="J49:N49"/>
    <mergeCell ref="J50:N50"/>
    <mergeCell ref="AK23:AN23"/>
    <mergeCell ref="AP23:AS23"/>
    <mergeCell ref="A48:A50"/>
    <mergeCell ref="B48:F50"/>
    <mergeCell ref="A1:A2"/>
    <mergeCell ref="B43:F43"/>
    <mergeCell ref="J43:N43"/>
    <mergeCell ref="A44:A47"/>
    <mergeCell ref="B44:F47"/>
    <mergeCell ref="G44:G47"/>
    <mergeCell ref="H44:H47"/>
    <mergeCell ref="J44:N44"/>
    <mergeCell ref="J45:N45"/>
    <mergeCell ref="J46:N46"/>
    <mergeCell ref="J47:N47"/>
    <mergeCell ref="A42:C42"/>
    <mergeCell ref="A51:A52"/>
    <mergeCell ref="B51:F52"/>
    <mergeCell ref="G51:G52"/>
    <mergeCell ref="H51:H52"/>
    <mergeCell ref="J51:N51"/>
    <mergeCell ref="J52:N52"/>
  </mergeCell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opyFilteredData">
                <anchor moveWithCells="1" sizeWithCells="1">
                  <from>
                    <xdr:col>5</xdr:col>
                    <xdr:colOff>12700</xdr:colOff>
                    <xdr:row>37</xdr:row>
                    <xdr:rowOff>12700</xdr:rowOff>
                  </from>
                  <to>
                    <xdr:col>6</xdr:col>
                    <xdr:colOff>850900</xdr:colOff>
                    <xdr:row>38</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36" yWindow="475" count="7">
        <x14:dataValidation type="list" allowBlank="1" showInputMessage="1" showErrorMessage="1" promptTitle="Economic level" prompt="Select the economic level._x000a_Note: Low wage earners are defined as employees who earn two thirds or less of national median gross hourly earnings. " xr:uid="{00000000-0002-0000-0200-000000000000}">
          <x14:formula1>
            <xm:f>'Sociodem statistics'!$B$39:$B$41</xm:f>
          </x14:formula1>
          <xm:sqref>A35</xm:sqref>
        </x14:dataValidation>
        <x14:dataValidation type="list" allowBlank="1" showInputMessage="1" showErrorMessage="1" promptTitle="Sexual orientation" prompt="Select: heterosexual, LGTB or All" xr:uid="{00000000-0002-0000-0200-000001000000}">
          <x14:formula1>
            <xm:f>'Sociodem statistics'!$B$29:$B$31</xm:f>
          </x14:formula1>
          <xm:sqref>A34</xm:sqref>
        </x14:dataValidation>
        <x14:dataValidation type="list" allowBlank="1" showInputMessage="1" showErrorMessage="1" promptTitle="Family" prompt="Select the family size" xr:uid="{00000000-0002-0000-0200-000002000000}">
          <x14:formula1>
            <xm:f>'Sociodem statistics'!$B$16:$B$19</xm:f>
          </x14:formula1>
          <xm:sqref>A33</xm:sqref>
        </x14:dataValidation>
        <x14:dataValidation type="list" allowBlank="1" showInputMessage="1" showErrorMessage="1" promptTitle="Disability" prompt="Choose if you are considering people with or without disability_x000a_" xr:uid="{00000000-0002-0000-0200-000003000000}">
          <x14:formula1>
            <xm:f>'Sociodem statistics'!$B$13:$B$15</xm:f>
          </x14:formula1>
          <xm:sqref>A32</xm:sqref>
        </x14:dataValidation>
        <x14:dataValidation type="list" allowBlank="1" showInputMessage="1" showErrorMessage="1" promptTitle="Education" prompt="Select the level of education:_x000a_- Low level: &lt; lower secundary education_x000a_- Medium level:between upper secondary and short-cycle tertiary education_x000a_- High level: degree or higher" xr:uid="{00000000-0002-0000-0200-000004000000}">
          <x14:formula1>
            <xm:f>'Sociodem statistics'!$B$9:$B$12</xm:f>
          </x14:formula1>
          <xm:sqref>A31</xm:sqref>
        </x14:dataValidation>
        <x14:dataValidation type="list" allowBlank="1" showInputMessage="1" showErrorMessage="1" promptTitle="Gender" prompt="Select the gender under evaluation" xr:uid="{00000000-0002-0000-0200-000005000000}">
          <x14:formula1>
            <xm:f>'Sociodem statistics'!$B$6:$B$8</xm:f>
          </x14:formula1>
          <xm:sqref>A30</xm:sqref>
        </x14:dataValidation>
        <x14:dataValidation type="list" allowBlank="1" showInputMessage="1" showErrorMessage="1" promptTitle="Age" prompt="Select the age included in the study" xr:uid="{00000000-0002-0000-0200-000006000000}">
          <x14:formula1>
            <xm:f>'Sociodem statistics'!$B$2:$B$5</xm:f>
          </x14:formula1>
          <xm:sqref>A29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144"/>
  <sheetViews>
    <sheetView topLeftCell="F1" zoomScale="110" zoomScaleNormal="110" workbookViewId="0">
      <selection activeCell="I2" sqref="I2"/>
    </sheetView>
  </sheetViews>
  <sheetFormatPr baseColWidth="10" defaultColWidth="8.7265625" defaultRowHeight="14.5" x14ac:dyDescent="0.35"/>
  <cols>
    <col min="1" max="1" width="11" customWidth="1"/>
    <col min="2" max="2" width="13.08984375" customWidth="1"/>
    <col min="3" max="3" width="8.90625" bestFit="1" customWidth="1"/>
    <col min="4" max="4" width="12.36328125" customWidth="1"/>
    <col min="5" max="5" width="31.6328125" customWidth="1"/>
    <col min="6" max="6" width="12.90625" customWidth="1"/>
    <col min="7" max="8" width="17.7265625" customWidth="1"/>
    <col min="9" max="9" width="11.7265625" customWidth="1"/>
    <col min="10" max="10" width="14.7265625" customWidth="1"/>
    <col min="11" max="11" width="18.7265625" customWidth="1"/>
    <col min="12" max="12" width="14.26953125" customWidth="1"/>
    <col min="13" max="13" width="15.08984375" customWidth="1"/>
    <col min="14" max="14" width="19.90625" customWidth="1"/>
    <col min="15" max="15" width="11.453125" customWidth="1"/>
    <col min="16" max="16" width="12.81640625" customWidth="1"/>
    <col min="17" max="17" width="14.54296875" customWidth="1"/>
    <col min="18" max="18" width="18.08984375" customWidth="1"/>
    <col min="19" max="19" width="20.81640625" customWidth="1"/>
    <col min="20" max="20" width="14.54296875" customWidth="1"/>
    <col min="21" max="21" width="15.90625" bestFit="1" customWidth="1"/>
    <col min="22" max="22" width="15.26953125" customWidth="1"/>
    <col min="23" max="23" width="15.54296875" customWidth="1"/>
    <col min="24" max="24" width="15.453125" customWidth="1"/>
  </cols>
  <sheetData>
    <row r="1" spans="1:24" x14ac:dyDescent="0.35">
      <c r="A1" s="147" t="s">
        <v>8498</v>
      </c>
      <c r="B1" s="147" t="s">
        <v>8760</v>
      </c>
      <c r="C1" s="147" t="s">
        <v>8499</v>
      </c>
      <c r="D1" s="147" t="s">
        <v>8760</v>
      </c>
      <c r="E1" s="147" t="s">
        <v>8500</v>
      </c>
      <c r="F1" s="147" t="s">
        <v>8501</v>
      </c>
      <c r="G1" s="148" t="s">
        <v>8881</v>
      </c>
      <c r="H1" s="148" t="s">
        <v>8763</v>
      </c>
      <c r="I1" s="147" t="s">
        <v>8761</v>
      </c>
      <c r="J1" s="147" t="s">
        <v>8762</v>
      </c>
      <c r="K1" s="147" t="s">
        <v>8774</v>
      </c>
      <c r="N1" s="147" t="s">
        <v>8881</v>
      </c>
      <c r="O1" s="151" t="s">
        <v>8880</v>
      </c>
      <c r="P1" s="151" t="s">
        <v>8762</v>
      </c>
      <c r="Q1" s="151" t="s">
        <v>8774</v>
      </c>
      <c r="T1" s="147" t="s">
        <v>8500</v>
      </c>
      <c r="U1" s="147" t="s">
        <v>8501</v>
      </c>
      <c r="V1" s="147" t="s">
        <v>8761</v>
      </c>
      <c r="W1" s="147" t="s">
        <v>8762</v>
      </c>
      <c r="X1" s="147" t="s">
        <v>8774</v>
      </c>
    </row>
    <row r="2" spans="1:24" ht="130.5" x14ac:dyDescent="0.35">
      <c r="A2" s="190" t="s">
        <v>8502</v>
      </c>
      <c r="B2" s="190">
        <v>0.39461840236813056</v>
      </c>
      <c r="C2" s="183" t="s">
        <v>36</v>
      </c>
      <c r="D2" s="183">
        <v>0.46247786946102909</v>
      </c>
      <c r="E2" s="154" t="s">
        <v>8503</v>
      </c>
      <c r="F2" s="154" t="s">
        <v>8504</v>
      </c>
      <c r="G2" s="155" t="s">
        <v>8505</v>
      </c>
      <c r="H2" s="154" t="s">
        <v>8504</v>
      </c>
      <c r="I2" s="149"/>
      <c r="J2" s="149">
        <f>$B$2*$D$2*I2</f>
        <v>0</v>
      </c>
      <c r="K2" s="149" t="e">
        <f t="shared" ref="K2:K33" si="0">J2/SUM($J$2:$J$144)</f>
        <v>#DIV/0!</v>
      </c>
      <c r="N2" s="152" t="s">
        <v>8738</v>
      </c>
      <c r="O2" s="152" t="s">
        <v>8878</v>
      </c>
      <c r="P2" s="152">
        <v>1.7730000000000001E-3</v>
      </c>
      <c r="Q2" s="153">
        <f xml:space="preserve"> P2/SUM($P$2:$P$144)</f>
        <v>1.6710146663062881E-2</v>
      </c>
      <c r="T2" s="152" t="s">
        <v>8739</v>
      </c>
      <c r="U2" s="152" t="s">
        <v>8882</v>
      </c>
      <c r="V2" s="152">
        <v>8.1040999999999995E-3</v>
      </c>
      <c r="W2" s="152">
        <v>1.7627999999999999E-3</v>
      </c>
      <c r="X2" s="152">
        <f t="shared" ref="X2:X33" si="1">W2/SUM($W$2:$W$144)</f>
        <v>3.1785879582797889E-2</v>
      </c>
    </row>
    <row r="3" spans="1:24" ht="130.5" x14ac:dyDescent="0.35">
      <c r="A3" s="190"/>
      <c r="B3" s="190"/>
      <c r="C3" s="183"/>
      <c r="D3" s="183"/>
      <c r="E3" s="191" t="s">
        <v>8506</v>
      </c>
      <c r="F3" s="154" t="s">
        <v>8775</v>
      </c>
      <c r="G3" s="156" t="s">
        <v>8507</v>
      </c>
      <c r="H3" s="154" t="s">
        <v>8775</v>
      </c>
      <c r="I3" s="149"/>
      <c r="J3" s="149">
        <f t="shared" ref="J3:J13" si="2">$B$2*$D$2*I3</f>
        <v>0</v>
      </c>
      <c r="K3" s="149" t="e">
        <f t="shared" si="0"/>
        <v>#DIV/0!</v>
      </c>
      <c r="N3" s="152" t="s">
        <v>8766</v>
      </c>
      <c r="O3" s="152" t="s">
        <v>8740</v>
      </c>
      <c r="P3" s="152">
        <v>1.7627999999999999E-3</v>
      </c>
      <c r="Q3" s="153">
        <f t="shared" ref="Q3:Q66" si="3" xml:space="preserve"> P3/SUM($P$2:$P$144)</f>
        <v>1.6614013839620554E-2</v>
      </c>
      <c r="T3" s="152" t="s">
        <v>8523</v>
      </c>
      <c r="U3" s="152" t="s">
        <v>8884</v>
      </c>
      <c r="V3" s="152">
        <v>8.1279000000000004E-3</v>
      </c>
      <c r="W3" s="152">
        <v>1.4834E-3</v>
      </c>
      <c r="X3" s="152">
        <f t="shared" si="1"/>
        <v>2.6747886188519622E-2</v>
      </c>
    </row>
    <row r="4" spans="1:24" ht="87" x14ac:dyDescent="0.35">
      <c r="A4" s="190"/>
      <c r="B4" s="190"/>
      <c r="C4" s="183"/>
      <c r="D4" s="183"/>
      <c r="E4" s="191"/>
      <c r="F4" s="154" t="s">
        <v>8776</v>
      </c>
      <c r="G4" s="155" t="s">
        <v>8508</v>
      </c>
      <c r="H4" s="154" t="s">
        <v>8776</v>
      </c>
      <c r="I4" s="149"/>
      <c r="J4" s="149">
        <f t="shared" si="2"/>
        <v>0</v>
      </c>
      <c r="K4" s="149" t="e">
        <f t="shared" si="0"/>
        <v>#DIV/0!</v>
      </c>
      <c r="N4" s="152" t="s">
        <v>8519</v>
      </c>
      <c r="O4" s="152" t="s">
        <v>8781</v>
      </c>
      <c r="P4" s="152">
        <v>1.5142000000000001E-3</v>
      </c>
      <c r="Q4" s="153">
        <f t="shared" si="3"/>
        <v>1.4271011887879196E-2</v>
      </c>
      <c r="T4" s="152" t="s">
        <v>8526</v>
      </c>
      <c r="U4" s="152" t="s">
        <v>8885</v>
      </c>
      <c r="V4" s="152">
        <v>8.0569000000000005E-3</v>
      </c>
      <c r="W4" s="152">
        <v>1.4704E-3</v>
      </c>
      <c r="X4" s="152">
        <f t="shared" si="1"/>
        <v>2.651347704705356E-2</v>
      </c>
    </row>
    <row r="5" spans="1:24" ht="43.5" x14ac:dyDescent="0.35">
      <c r="A5" s="190"/>
      <c r="B5" s="190"/>
      <c r="C5" s="183"/>
      <c r="D5" s="183"/>
      <c r="E5" s="191" t="s">
        <v>8509</v>
      </c>
      <c r="F5" s="154" t="s">
        <v>8777</v>
      </c>
      <c r="G5" s="156" t="s">
        <v>8510</v>
      </c>
      <c r="H5" s="154" t="s">
        <v>8777</v>
      </c>
      <c r="I5" s="149"/>
      <c r="J5" s="149">
        <f t="shared" si="2"/>
        <v>0</v>
      </c>
      <c r="K5" s="149" t="e">
        <f t="shared" si="0"/>
        <v>#DIV/0!</v>
      </c>
      <c r="N5" s="152" t="s">
        <v>8510</v>
      </c>
      <c r="O5" s="152" t="s">
        <v>8777</v>
      </c>
      <c r="P5" s="152">
        <v>1.4955000000000001E-3</v>
      </c>
      <c r="Q5" s="153">
        <f t="shared" si="3"/>
        <v>1.4094768378234935E-2</v>
      </c>
      <c r="T5" s="152" t="s">
        <v>8697</v>
      </c>
      <c r="U5" s="152" t="s">
        <v>8892</v>
      </c>
      <c r="V5" s="152">
        <v>8.4992999999999996E-3</v>
      </c>
      <c r="W5" s="152">
        <v>1.4682E-3</v>
      </c>
      <c r="X5" s="152">
        <f t="shared" si="1"/>
        <v>2.6473807807728535E-2</v>
      </c>
    </row>
    <row r="6" spans="1:24" ht="72.5" x14ac:dyDescent="0.35">
      <c r="A6" s="190"/>
      <c r="B6" s="190"/>
      <c r="C6" s="183"/>
      <c r="D6" s="183"/>
      <c r="E6" s="191"/>
      <c r="F6" s="154" t="s">
        <v>8778</v>
      </c>
      <c r="G6" s="156" t="s">
        <v>8511</v>
      </c>
      <c r="H6" s="154" t="s">
        <v>8778</v>
      </c>
      <c r="I6" s="149"/>
      <c r="J6" s="149">
        <f t="shared" si="2"/>
        <v>0</v>
      </c>
      <c r="K6" s="149" t="e">
        <f t="shared" si="0"/>
        <v>#DIV/0!</v>
      </c>
      <c r="N6" s="152" t="s">
        <v>8525</v>
      </c>
      <c r="O6" s="152" t="s">
        <v>8524</v>
      </c>
      <c r="P6" s="152">
        <v>1.4834E-3</v>
      </c>
      <c r="Q6" s="153">
        <f t="shared" si="3"/>
        <v>1.3980728460229823E-2</v>
      </c>
      <c r="T6" s="152" t="s">
        <v>8733</v>
      </c>
      <c r="U6" s="152" t="s">
        <v>8888</v>
      </c>
      <c r="V6" s="152">
        <v>6.4904999999999997E-3</v>
      </c>
      <c r="W6" s="152">
        <v>1.4117999999999999E-3</v>
      </c>
      <c r="X6" s="152">
        <f t="shared" si="1"/>
        <v>2.545683276321424E-2</v>
      </c>
    </row>
    <row r="7" spans="1:24" ht="72.5" x14ac:dyDescent="0.35">
      <c r="A7" s="190"/>
      <c r="B7" s="190"/>
      <c r="C7" s="183"/>
      <c r="D7" s="183"/>
      <c r="E7" s="191"/>
      <c r="F7" s="154" t="s">
        <v>8779</v>
      </c>
      <c r="G7" s="155" t="s">
        <v>8512</v>
      </c>
      <c r="H7" s="154" t="s">
        <v>8779</v>
      </c>
      <c r="I7" s="149"/>
      <c r="J7" s="149">
        <f t="shared" si="2"/>
        <v>0</v>
      </c>
      <c r="K7" s="149" t="e">
        <f t="shared" si="0"/>
        <v>#DIV/0!</v>
      </c>
      <c r="N7" s="152" t="s">
        <v>8507</v>
      </c>
      <c r="O7" s="152" t="s">
        <v>8775</v>
      </c>
      <c r="P7" s="152">
        <v>1.4729999999999999E-3</v>
      </c>
      <c r="Q7" s="153">
        <f t="shared" si="3"/>
        <v>1.38827106794651E-2</v>
      </c>
      <c r="T7" s="152" t="s">
        <v>8736</v>
      </c>
      <c r="U7" s="152" t="s">
        <v>8895</v>
      </c>
      <c r="V7" s="152">
        <v>6.3079E-3</v>
      </c>
      <c r="W7" s="152">
        <v>1.3721E-3</v>
      </c>
      <c r="X7" s="152">
        <f t="shared" si="1"/>
        <v>2.4740983308121731E-2</v>
      </c>
    </row>
    <row r="8" spans="1:24" ht="116" x14ac:dyDescent="0.35">
      <c r="A8" s="190"/>
      <c r="B8" s="190"/>
      <c r="C8" s="183"/>
      <c r="D8" s="183"/>
      <c r="E8" s="157" t="s">
        <v>8513</v>
      </c>
      <c r="F8" s="158" t="s">
        <v>8879</v>
      </c>
      <c r="G8" s="156" t="s">
        <v>8515</v>
      </c>
      <c r="H8" s="158" t="s">
        <v>8879</v>
      </c>
      <c r="I8" s="149"/>
      <c r="J8" s="149">
        <f t="shared" si="2"/>
        <v>0</v>
      </c>
      <c r="K8" s="149" t="e">
        <f t="shared" si="0"/>
        <v>#DIV/0!</v>
      </c>
      <c r="N8" s="152" t="s">
        <v>8715</v>
      </c>
      <c r="O8" s="152" t="s">
        <v>8869</v>
      </c>
      <c r="P8" s="152">
        <v>1.4729000000000001E-3</v>
      </c>
      <c r="Q8" s="153">
        <f t="shared" si="3"/>
        <v>1.3881768200803902E-2</v>
      </c>
      <c r="T8" s="152" t="s">
        <v>8729</v>
      </c>
      <c r="U8" s="152" t="s">
        <v>8891</v>
      </c>
      <c r="V8" s="152">
        <v>7.8886000000000008E-3</v>
      </c>
      <c r="W8" s="152">
        <v>1.3626999999999999E-3</v>
      </c>
      <c r="X8" s="152">
        <f t="shared" si="1"/>
        <v>2.4571487467369344E-2</v>
      </c>
    </row>
    <row r="9" spans="1:24" ht="116" x14ac:dyDescent="0.35">
      <c r="A9" s="190"/>
      <c r="B9" s="190"/>
      <c r="C9" s="183"/>
      <c r="D9" s="183"/>
      <c r="E9" s="157" t="s">
        <v>8513</v>
      </c>
      <c r="F9" s="154" t="s">
        <v>8514</v>
      </c>
      <c r="G9" s="155" t="s">
        <v>8516</v>
      </c>
      <c r="H9" s="154" t="s">
        <v>8514</v>
      </c>
      <c r="I9" s="149"/>
      <c r="J9" s="149">
        <f t="shared" si="2"/>
        <v>0</v>
      </c>
      <c r="K9" s="149" t="e">
        <f t="shared" si="0"/>
        <v>#DIV/0!</v>
      </c>
      <c r="N9" s="152" t="s">
        <v>8528</v>
      </c>
      <c r="O9" s="152" t="s">
        <v>8527</v>
      </c>
      <c r="P9" s="152">
        <v>1.4704E-3</v>
      </c>
      <c r="Q9" s="153">
        <f t="shared" si="3"/>
        <v>1.3858206234273919E-2</v>
      </c>
      <c r="T9" s="152" t="s">
        <v>8706</v>
      </c>
      <c r="U9" s="152" t="s">
        <v>8898</v>
      </c>
      <c r="V9" s="152">
        <v>7.7400999999999998E-3</v>
      </c>
      <c r="W9" s="152">
        <v>1.3370000000000001E-3</v>
      </c>
      <c r="X9" s="152">
        <f t="shared" si="1"/>
        <v>2.4108078626163366E-2</v>
      </c>
    </row>
    <row r="10" spans="1:24" ht="101.5" x14ac:dyDescent="0.35">
      <c r="A10" s="190"/>
      <c r="B10" s="190"/>
      <c r="C10" s="183"/>
      <c r="D10" s="183"/>
      <c r="E10" s="191" t="s">
        <v>8517</v>
      </c>
      <c r="F10" s="154" t="s">
        <v>8780</v>
      </c>
      <c r="G10" s="155" t="s">
        <v>8518</v>
      </c>
      <c r="H10" s="154" t="s">
        <v>8780</v>
      </c>
      <c r="I10" s="149"/>
      <c r="J10" s="149">
        <f t="shared" si="2"/>
        <v>0</v>
      </c>
      <c r="K10" s="149" t="e">
        <f t="shared" si="0"/>
        <v>#DIV/0!</v>
      </c>
      <c r="N10" s="152" t="s">
        <v>8699</v>
      </c>
      <c r="O10" s="152" t="s">
        <v>8698</v>
      </c>
      <c r="P10" s="152">
        <v>1.4682E-3</v>
      </c>
      <c r="Q10" s="153">
        <f t="shared" si="3"/>
        <v>1.3837471703727535E-2</v>
      </c>
      <c r="T10" s="152" t="s">
        <v>8517</v>
      </c>
      <c r="U10" s="152" t="s">
        <v>8909</v>
      </c>
      <c r="V10" s="152">
        <v>7.2944000000000004E-3</v>
      </c>
      <c r="W10" s="152">
        <v>1.3312E-3</v>
      </c>
      <c r="X10" s="152">
        <f t="shared" si="1"/>
        <v>2.4003496086124662E-2</v>
      </c>
    </row>
    <row r="11" spans="1:24" ht="101.5" x14ac:dyDescent="0.35">
      <c r="A11" s="190"/>
      <c r="B11" s="190"/>
      <c r="C11" s="183"/>
      <c r="D11" s="183"/>
      <c r="E11" s="191"/>
      <c r="F11" s="154" t="s">
        <v>8781</v>
      </c>
      <c r="G11" s="159" t="s">
        <v>8519</v>
      </c>
      <c r="H11" s="154" t="s">
        <v>8781</v>
      </c>
      <c r="I11" s="149"/>
      <c r="J11" s="149">
        <f t="shared" si="2"/>
        <v>0</v>
      </c>
      <c r="K11" s="149" t="e">
        <f t="shared" si="0"/>
        <v>#DIV/0!</v>
      </c>
      <c r="N11" s="152" t="s">
        <v>8709</v>
      </c>
      <c r="O11" s="152" t="s">
        <v>8864</v>
      </c>
      <c r="P11" s="152">
        <v>1.4479E-3</v>
      </c>
      <c r="Q11" s="153">
        <f t="shared" si="3"/>
        <v>1.3646148535504086E-2</v>
      </c>
      <c r="T11" s="152" t="s">
        <v>8726</v>
      </c>
      <c r="U11" s="152" t="s">
        <v>8886</v>
      </c>
      <c r="V11" s="152">
        <v>7.3696999999999999E-3</v>
      </c>
      <c r="W11" s="152">
        <v>1.2731000000000001E-3</v>
      </c>
      <c r="X11" s="152">
        <f t="shared" si="1"/>
        <v>2.2955867538495576E-2</v>
      </c>
    </row>
    <row r="12" spans="1:24" ht="130.5" x14ac:dyDescent="0.35">
      <c r="A12" s="190"/>
      <c r="B12" s="190"/>
      <c r="C12" s="183"/>
      <c r="D12" s="183"/>
      <c r="E12" s="154" t="s">
        <v>8520</v>
      </c>
      <c r="F12" s="154" t="s">
        <v>8521</v>
      </c>
      <c r="G12" s="155" t="s">
        <v>8522</v>
      </c>
      <c r="H12" s="154" t="s">
        <v>8521</v>
      </c>
      <c r="I12" s="149"/>
      <c r="J12" s="149">
        <f>$B$2*$D$2*I12</f>
        <v>0</v>
      </c>
      <c r="K12" s="149" t="e">
        <f t="shared" si="0"/>
        <v>#DIV/0!</v>
      </c>
      <c r="N12" s="150" t="s">
        <v>8704</v>
      </c>
      <c r="O12" s="150" t="s">
        <v>8860</v>
      </c>
      <c r="P12" s="150">
        <v>1.4426E-3</v>
      </c>
      <c r="Q12" s="153">
        <f t="shared" si="3"/>
        <v>1.3596197166460525E-2</v>
      </c>
      <c r="T12" s="150" t="s">
        <v>8712</v>
      </c>
      <c r="U12" s="150" t="s">
        <v>8890</v>
      </c>
      <c r="V12" s="150">
        <v>7.2748999999999999E-3</v>
      </c>
      <c r="W12" s="150">
        <v>1.2566999999999999E-3</v>
      </c>
      <c r="X12" s="150">
        <f t="shared" si="1"/>
        <v>2.2660151390799924E-2</v>
      </c>
    </row>
    <row r="13" spans="1:24" ht="87" x14ac:dyDescent="0.35">
      <c r="A13" s="190"/>
      <c r="B13" s="190"/>
      <c r="C13" s="183"/>
      <c r="D13" s="183"/>
      <c r="E13" s="154" t="s">
        <v>8523</v>
      </c>
      <c r="F13" s="154" t="s">
        <v>8524</v>
      </c>
      <c r="G13" s="159" t="s">
        <v>8525</v>
      </c>
      <c r="H13" s="154" t="s">
        <v>8524</v>
      </c>
      <c r="I13" s="149"/>
      <c r="J13" s="149">
        <f t="shared" si="2"/>
        <v>0</v>
      </c>
      <c r="K13" s="149" t="e">
        <f t="shared" si="0"/>
        <v>#DIV/0!</v>
      </c>
      <c r="N13" s="150" t="s">
        <v>8768</v>
      </c>
      <c r="O13" s="150" t="s">
        <v>8867</v>
      </c>
      <c r="P13" s="150">
        <v>1.4388999999999999E-3</v>
      </c>
      <c r="Q13" s="153">
        <f t="shared" si="3"/>
        <v>1.3561325455996151E-2</v>
      </c>
      <c r="T13" s="150" t="s">
        <v>8700</v>
      </c>
      <c r="U13" s="150" t="s">
        <v>8896</v>
      </c>
      <c r="V13" s="150">
        <v>7.2573999999999998E-3</v>
      </c>
      <c r="W13" s="150">
        <v>1.2537E-3</v>
      </c>
      <c r="X13" s="150">
        <f t="shared" si="1"/>
        <v>2.2606056973538527E-2</v>
      </c>
    </row>
    <row r="14" spans="1:24" ht="72.5" x14ac:dyDescent="0.35">
      <c r="A14" s="190"/>
      <c r="B14" s="190"/>
      <c r="C14" s="183"/>
      <c r="D14" s="183"/>
      <c r="E14" s="154" t="s">
        <v>8526</v>
      </c>
      <c r="F14" s="154" t="s">
        <v>8527</v>
      </c>
      <c r="G14" s="159" t="s">
        <v>8528</v>
      </c>
      <c r="H14" s="154" t="s">
        <v>8527</v>
      </c>
      <c r="I14" s="149"/>
      <c r="J14" s="149">
        <f>$B$2*$D$2*I14</f>
        <v>0</v>
      </c>
      <c r="K14" s="149" t="e">
        <f t="shared" si="0"/>
        <v>#DIV/0!</v>
      </c>
      <c r="N14" s="150" t="s">
        <v>8703</v>
      </c>
      <c r="O14" s="150" t="s">
        <v>8859</v>
      </c>
      <c r="P14" s="150">
        <v>1.4151000000000001E-3</v>
      </c>
      <c r="Q14" s="153">
        <f t="shared" si="3"/>
        <v>1.3337015534630729E-2</v>
      </c>
      <c r="T14" s="150" t="s">
        <v>8723</v>
      </c>
      <c r="U14" s="150" t="s">
        <v>8893</v>
      </c>
      <c r="V14" s="150">
        <v>7.1463999999999998E-3</v>
      </c>
      <c r="W14" s="150">
        <v>1.2344999999999999E-3</v>
      </c>
      <c r="X14" s="150">
        <f t="shared" si="1"/>
        <v>2.2259852703065575E-2</v>
      </c>
    </row>
    <row r="15" spans="1:24" ht="58" x14ac:dyDescent="0.35">
      <c r="A15" s="190"/>
      <c r="B15" s="190"/>
      <c r="C15" s="183" t="s">
        <v>8529</v>
      </c>
      <c r="D15" s="183">
        <v>0.1788174772766627</v>
      </c>
      <c r="E15" s="191" t="s">
        <v>8530</v>
      </c>
      <c r="F15" s="154" t="s">
        <v>8782</v>
      </c>
      <c r="G15" s="155" t="s">
        <v>8531</v>
      </c>
      <c r="H15" s="154" t="s">
        <v>8782</v>
      </c>
      <c r="I15" s="149"/>
      <c r="J15" s="149">
        <f>$B$2*$D$15*I15</f>
        <v>0</v>
      </c>
      <c r="K15" s="149" t="e">
        <f t="shared" si="0"/>
        <v>#DIV/0!</v>
      </c>
      <c r="N15" s="150" t="s">
        <v>8718</v>
      </c>
      <c r="O15" s="150" t="s">
        <v>8872</v>
      </c>
      <c r="P15" s="150">
        <v>1.4124000000000001E-3</v>
      </c>
      <c r="Q15" s="153">
        <f t="shared" si="3"/>
        <v>1.3311568610778349E-2</v>
      </c>
      <c r="T15" s="150" t="s">
        <v>8719</v>
      </c>
      <c r="U15" s="150" t="s">
        <v>8889</v>
      </c>
      <c r="V15" s="150">
        <v>6.7761000000000002E-3</v>
      </c>
      <c r="W15" s="150">
        <v>1.1705000000000001E-3</v>
      </c>
      <c r="X15" s="150">
        <f t="shared" si="1"/>
        <v>2.1105838468155738E-2</v>
      </c>
    </row>
    <row r="16" spans="1:24" ht="101.5" x14ac:dyDescent="0.35">
      <c r="A16" s="190"/>
      <c r="B16" s="190"/>
      <c r="C16" s="183"/>
      <c r="D16" s="183"/>
      <c r="E16" s="191"/>
      <c r="F16" s="154" t="s">
        <v>8783</v>
      </c>
      <c r="G16" s="159" t="s">
        <v>8532</v>
      </c>
      <c r="H16" s="154" t="s">
        <v>8783</v>
      </c>
      <c r="I16" s="149"/>
      <c r="J16" s="149">
        <f t="shared" ref="J16:J36" si="4">$B$2*$D$15*I16</f>
        <v>0</v>
      </c>
      <c r="K16" s="149" t="e">
        <f t="shared" si="0"/>
        <v>#DIV/0!</v>
      </c>
      <c r="N16" s="150" t="s">
        <v>8735</v>
      </c>
      <c r="O16" s="150" t="s">
        <v>8734</v>
      </c>
      <c r="P16" s="150">
        <v>1.4117999999999999E-3</v>
      </c>
      <c r="Q16" s="153">
        <f t="shared" si="3"/>
        <v>1.3305913738811152E-2</v>
      </c>
      <c r="T16" s="150" t="s">
        <v>8509</v>
      </c>
      <c r="U16" s="150" t="s">
        <v>8894</v>
      </c>
      <c r="V16" s="150">
        <v>6.3924999999999997E-3</v>
      </c>
      <c r="W16" s="150">
        <v>1.1666000000000001E-3</v>
      </c>
      <c r="X16" s="150">
        <f t="shared" si="1"/>
        <v>2.1035515725715919E-2</v>
      </c>
    </row>
    <row r="17" spans="1:24" ht="101.5" x14ac:dyDescent="0.35">
      <c r="A17" s="190"/>
      <c r="B17" s="190"/>
      <c r="C17" s="183"/>
      <c r="D17" s="183"/>
      <c r="E17" s="191"/>
      <c r="F17" s="154" t="s">
        <v>8794</v>
      </c>
      <c r="G17" s="159" t="s">
        <v>8533</v>
      </c>
      <c r="H17" s="154" t="s">
        <v>8794</v>
      </c>
      <c r="I17" s="149"/>
      <c r="J17" s="149">
        <f t="shared" si="4"/>
        <v>0</v>
      </c>
      <c r="K17" s="149" t="e">
        <f t="shared" si="0"/>
        <v>#DIV/0!</v>
      </c>
      <c r="N17" s="150" t="s">
        <v>8717</v>
      </c>
      <c r="O17" s="150" t="s">
        <v>8871</v>
      </c>
      <c r="P17" s="150">
        <v>1.4096E-3</v>
      </c>
      <c r="Q17" s="153">
        <f t="shared" si="3"/>
        <v>1.3285179208264769E-2</v>
      </c>
      <c r="T17" s="150" t="s">
        <v>8506</v>
      </c>
      <c r="U17" s="150" t="s">
        <v>8887</v>
      </c>
      <c r="V17" s="150">
        <v>6.2992999999999999E-3</v>
      </c>
      <c r="W17" s="150">
        <v>1.1496E-3</v>
      </c>
      <c r="X17" s="150">
        <f t="shared" si="1"/>
        <v>2.0728980694567991E-2</v>
      </c>
    </row>
    <row r="18" spans="1:24" ht="101.5" x14ac:dyDescent="0.35">
      <c r="A18" s="190"/>
      <c r="B18" s="190"/>
      <c r="C18" s="183"/>
      <c r="D18" s="183"/>
      <c r="E18" s="191"/>
      <c r="F18" s="154" t="s">
        <v>8784</v>
      </c>
      <c r="G18" s="159" t="s">
        <v>8534</v>
      </c>
      <c r="H18" s="154" t="s">
        <v>8784</v>
      </c>
      <c r="I18" s="149"/>
      <c r="J18" s="149">
        <f t="shared" si="4"/>
        <v>0</v>
      </c>
      <c r="K18" s="149" t="e">
        <f t="shared" si="0"/>
        <v>#DIV/0!</v>
      </c>
      <c r="N18" s="150" t="s">
        <v>8721</v>
      </c>
      <c r="O18" s="150" t="s">
        <v>8874</v>
      </c>
      <c r="P18" s="150">
        <v>1.4081E-3</v>
      </c>
      <c r="Q18" s="153">
        <f t="shared" si="3"/>
        <v>1.327104202834678E-2</v>
      </c>
      <c r="T18" s="150" t="s">
        <v>8513</v>
      </c>
      <c r="U18" s="150" t="s">
        <v>8901</v>
      </c>
      <c r="V18" s="150">
        <v>5.3937999999999998E-3</v>
      </c>
      <c r="W18" s="150">
        <v>9.8438999999999992E-4</v>
      </c>
      <c r="X18" s="150">
        <f t="shared" si="1"/>
        <v>1.7750001135982761E-2</v>
      </c>
    </row>
    <row r="19" spans="1:24" ht="101.5" x14ac:dyDescent="0.35">
      <c r="A19" s="190"/>
      <c r="B19" s="190"/>
      <c r="C19" s="183"/>
      <c r="D19" s="183"/>
      <c r="E19" s="191"/>
      <c r="F19" s="154" t="s">
        <v>8785</v>
      </c>
      <c r="G19" s="159" t="s">
        <v>8535</v>
      </c>
      <c r="H19" s="154" t="s">
        <v>8785</v>
      </c>
      <c r="I19" s="149"/>
      <c r="J19" s="149">
        <f t="shared" si="4"/>
        <v>0</v>
      </c>
      <c r="K19" s="149" t="e">
        <f t="shared" si="0"/>
        <v>#DIV/0!</v>
      </c>
      <c r="N19" s="150" t="s">
        <v>8722</v>
      </c>
      <c r="O19" s="150" t="s">
        <v>8874</v>
      </c>
      <c r="P19" s="150">
        <v>1.4081E-3</v>
      </c>
      <c r="Q19" s="153">
        <f t="shared" si="3"/>
        <v>1.327104202834678E-2</v>
      </c>
      <c r="T19" s="150" t="s">
        <v>8513</v>
      </c>
      <c r="U19" s="150" t="s">
        <v>8514</v>
      </c>
      <c r="V19" s="150">
        <v>5.1719000000000001E-3</v>
      </c>
      <c r="W19" s="150">
        <v>9.4386999999999997E-4</v>
      </c>
      <c r="X19" s="150">
        <f t="shared" si="1"/>
        <v>1.7019365873505471E-2</v>
      </c>
    </row>
    <row r="20" spans="1:24" ht="101.5" x14ac:dyDescent="0.35">
      <c r="A20" s="190"/>
      <c r="B20" s="190"/>
      <c r="C20" s="183"/>
      <c r="D20" s="183"/>
      <c r="E20" s="191"/>
      <c r="F20" s="154" t="s">
        <v>8786</v>
      </c>
      <c r="G20" s="159" t="s">
        <v>8536</v>
      </c>
      <c r="H20" s="154" t="s">
        <v>8786</v>
      </c>
      <c r="I20" s="149"/>
      <c r="J20" s="149">
        <f t="shared" si="4"/>
        <v>0</v>
      </c>
      <c r="K20" s="149" t="e">
        <f t="shared" si="0"/>
        <v>#DIV/0!</v>
      </c>
      <c r="N20" s="150" t="s">
        <v>8725</v>
      </c>
      <c r="O20" s="150" t="s">
        <v>8876</v>
      </c>
      <c r="P20" s="150">
        <v>1.4054E-3</v>
      </c>
      <c r="Q20" s="153">
        <f t="shared" si="3"/>
        <v>1.32455951044944E-2</v>
      </c>
      <c r="T20" s="150" t="s">
        <v>8503</v>
      </c>
      <c r="U20" s="150" t="s">
        <v>8919</v>
      </c>
      <c r="V20" s="150">
        <v>4.3658000000000004E-3</v>
      </c>
      <c r="W20" s="150">
        <v>7.9677000000000003E-4</v>
      </c>
      <c r="X20" s="150">
        <f t="shared" si="1"/>
        <v>1.4366936280454889E-2</v>
      </c>
    </row>
    <row r="21" spans="1:24" ht="101.5" x14ac:dyDescent="0.35">
      <c r="A21" s="190"/>
      <c r="B21" s="190"/>
      <c r="C21" s="183"/>
      <c r="D21" s="183"/>
      <c r="E21" s="191"/>
      <c r="F21" s="154" t="s">
        <v>8787</v>
      </c>
      <c r="G21" s="159" t="s">
        <v>8537</v>
      </c>
      <c r="H21" s="154" t="s">
        <v>8787</v>
      </c>
      <c r="I21" s="149"/>
      <c r="J21" s="149">
        <f t="shared" si="4"/>
        <v>0</v>
      </c>
      <c r="K21" s="149" t="e">
        <f t="shared" si="0"/>
        <v>#DIV/0!</v>
      </c>
      <c r="N21" s="150" t="s">
        <v>8711</v>
      </c>
      <c r="O21" s="150" t="s">
        <v>8866</v>
      </c>
      <c r="P21" s="150">
        <v>1.4040000000000001E-3</v>
      </c>
      <c r="Q21" s="153">
        <f t="shared" si="3"/>
        <v>1.3232400403237612E-2</v>
      </c>
      <c r="T21" s="150" t="s">
        <v>8577</v>
      </c>
      <c r="U21" s="150" t="s">
        <v>8903</v>
      </c>
      <c r="V21" s="150">
        <v>8.3315999999999998E-3</v>
      </c>
      <c r="W21" s="150">
        <v>7.6316000000000003E-4</v>
      </c>
      <c r="X21" s="150">
        <f t="shared" si="1"/>
        <v>1.3760898492403018E-2</v>
      </c>
    </row>
    <row r="22" spans="1:24" ht="130.5" x14ac:dyDescent="0.35">
      <c r="A22" s="190"/>
      <c r="B22" s="190"/>
      <c r="C22" s="183"/>
      <c r="D22" s="183"/>
      <c r="E22" s="191"/>
      <c r="F22" s="154" t="s">
        <v>8788</v>
      </c>
      <c r="G22" s="159" t="s">
        <v>8538</v>
      </c>
      <c r="H22" s="154" t="s">
        <v>8788</v>
      </c>
      <c r="I22" s="149"/>
      <c r="J22" s="149">
        <f t="shared" si="4"/>
        <v>0</v>
      </c>
      <c r="K22" s="149" t="e">
        <f t="shared" si="0"/>
        <v>#DIV/0!</v>
      </c>
      <c r="N22" s="150" t="s">
        <v>8710</v>
      </c>
      <c r="O22" s="150" t="s">
        <v>8865</v>
      </c>
      <c r="P22" s="150">
        <v>1.4011E-3</v>
      </c>
      <c r="Q22" s="153">
        <f t="shared" si="3"/>
        <v>1.3205068522062833E-2</v>
      </c>
      <c r="T22" s="150" t="s">
        <v>8580</v>
      </c>
      <c r="U22" s="150" t="s">
        <v>8907</v>
      </c>
      <c r="V22" s="150">
        <v>8.2932000000000006E-3</v>
      </c>
      <c r="W22" s="150">
        <v>7.5964999999999995E-4</v>
      </c>
      <c r="X22" s="150">
        <f t="shared" si="1"/>
        <v>1.369760802420718E-2</v>
      </c>
    </row>
    <row r="23" spans="1:24" ht="116" x14ac:dyDescent="0.35">
      <c r="A23" s="190"/>
      <c r="B23" s="190"/>
      <c r="C23" s="183"/>
      <c r="D23" s="183"/>
      <c r="E23" s="191"/>
      <c r="F23" s="154" t="s">
        <v>8789</v>
      </c>
      <c r="G23" s="159" t="s">
        <v>8539</v>
      </c>
      <c r="H23" s="154" t="s">
        <v>8789</v>
      </c>
      <c r="I23" s="149"/>
      <c r="J23" s="149">
        <f t="shared" si="4"/>
        <v>0</v>
      </c>
      <c r="K23" s="149" t="e">
        <f t="shared" si="0"/>
        <v>#DIV/0!</v>
      </c>
      <c r="N23" s="150" t="s">
        <v>8716</v>
      </c>
      <c r="O23" s="150" t="s">
        <v>8870</v>
      </c>
      <c r="P23" s="150">
        <v>1.3979000000000001E-3</v>
      </c>
      <c r="Q23" s="153">
        <f t="shared" si="3"/>
        <v>1.3174909204904457E-2</v>
      </c>
      <c r="T23" s="150" t="s">
        <v>8621</v>
      </c>
      <c r="U23" s="150" t="s">
        <v>8908</v>
      </c>
      <c r="V23" s="150">
        <v>8.4533000000000004E-3</v>
      </c>
      <c r="W23" s="150">
        <v>7.5854999999999998E-4</v>
      </c>
      <c r="X23" s="150">
        <f t="shared" si="1"/>
        <v>1.3677773404544668E-2</v>
      </c>
    </row>
    <row r="24" spans="1:24" ht="174" x14ac:dyDescent="0.35">
      <c r="A24" s="190"/>
      <c r="B24" s="190"/>
      <c r="C24" s="183"/>
      <c r="D24" s="183"/>
      <c r="E24" s="191"/>
      <c r="F24" s="154" t="s">
        <v>8790</v>
      </c>
      <c r="G24" s="159" t="s">
        <v>8540</v>
      </c>
      <c r="H24" s="154" t="s">
        <v>8790</v>
      </c>
      <c r="I24" s="149"/>
      <c r="J24" s="149">
        <f t="shared" si="4"/>
        <v>0</v>
      </c>
      <c r="K24" s="149" t="e">
        <f t="shared" si="0"/>
        <v>#DIV/0!</v>
      </c>
      <c r="N24" s="150" t="s">
        <v>8705</v>
      </c>
      <c r="O24" s="150" t="s">
        <v>8861</v>
      </c>
      <c r="P24" s="150">
        <v>1.3942E-3</v>
      </c>
      <c r="Q24" s="153">
        <f t="shared" si="3"/>
        <v>1.3140037494440083E-2</v>
      </c>
      <c r="T24" s="150" t="s">
        <v>8905</v>
      </c>
      <c r="U24" s="150" t="s">
        <v>8906</v>
      </c>
      <c r="V24" s="150">
        <v>8.4034000000000001E-3</v>
      </c>
      <c r="W24" s="150">
        <v>7.5407000000000002E-4</v>
      </c>
      <c r="X24" s="150">
        <f t="shared" si="1"/>
        <v>1.3596992408100979E-2</v>
      </c>
    </row>
    <row r="25" spans="1:24" ht="101.5" x14ac:dyDescent="0.35">
      <c r="A25" s="190"/>
      <c r="B25" s="190"/>
      <c r="C25" s="183"/>
      <c r="D25" s="183"/>
      <c r="E25" s="191"/>
      <c r="F25" s="154" t="s">
        <v>8791</v>
      </c>
      <c r="G25" s="159" t="s">
        <v>8541</v>
      </c>
      <c r="H25" s="154" t="s">
        <v>8791</v>
      </c>
      <c r="I25" s="149"/>
      <c r="J25" s="149">
        <f t="shared" si="4"/>
        <v>0</v>
      </c>
      <c r="K25" s="149" t="e">
        <f t="shared" si="0"/>
        <v>#DIV/0!</v>
      </c>
      <c r="N25" s="150" t="s">
        <v>8707</v>
      </c>
      <c r="O25" s="150" t="s">
        <v>8862</v>
      </c>
      <c r="P25" s="150">
        <v>1.3921000000000001E-3</v>
      </c>
      <c r="Q25" s="153">
        <f t="shared" si="3"/>
        <v>1.31202454425549E-2</v>
      </c>
      <c r="T25" s="150" t="s">
        <v>8618</v>
      </c>
      <c r="U25" s="150" t="s">
        <v>8912</v>
      </c>
      <c r="V25" s="150">
        <v>8.3674999999999999E-3</v>
      </c>
      <c r="W25" s="150">
        <v>7.5084999999999995E-4</v>
      </c>
      <c r="X25" s="150">
        <f t="shared" si="1"/>
        <v>1.3538931066907076E-2</v>
      </c>
    </row>
    <row r="26" spans="1:24" ht="101.5" x14ac:dyDescent="0.35">
      <c r="A26" s="190"/>
      <c r="B26" s="190"/>
      <c r="C26" s="183"/>
      <c r="D26" s="183"/>
      <c r="E26" s="191"/>
      <c r="F26" s="154" t="s">
        <v>8792</v>
      </c>
      <c r="G26" s="159" t="s">
        <v>8542</v>
      </c>
      <c r="H26" s="154" t="s">
        <v>8792</v>
      </c>
      <c r="I26" s="149"/>
      <c r="J26" s="149">
        <f t="shared" si="4"/>
        <v>0</v>
      </c>
      <c r="K26" s="149" t="e">
        <f t="shared" si="0"/>
        <v>#DIV/0!</v>
      </c>
      <c r="N26" s="150" t="s">
        <v>8511</v>
      </c>
      <c r="O26" s="150" t="s">
        <v>8778</v>
      </c>
      <c r="P26" s="150">
        <v>1.3771E-3</v>
      </c>
      <c r="Q26" s="153">
        <f t="shared" si="3"/>
        <v>1.297887364337501E-2</v>
      </c>
      <c r="T26" s="150" t="s">
        <v>8916</v>
      </c>
      <c r="U26" s="150" t="s">
        <v>8917</v>
      </c>
      <c r="V26" s="150">
        <v>8.2990000000000008E-3</v>
      </c>
      <c r="W26" s="150">
        <v>7.4470999999999999E-4</v>
      </c>
      <c r="X26" s="150">
        <f t="shared" si="1"/>
        <v>1.3428217826245415E-2</v>
      </c>
    </row>
    <row r="27" spans="1:24" ht="101.5" x14ac:dyDescent="0.35">
      <c r="A27" s="190"/>
      <c r="B27" s="190"/>
      <c r="C27" s="183"/>
      <c r="D27" s="183"/>
      <c r="E27" s="191"/>
      <c r="F27" s="154" t="s">
        <v>8793</v>
      </c>
      <c r="G27" s="159" t="s">
        <v>8543</v>
      </c>
      <c r="H27" s="154" t="s">
        <v>8793</v>
      </c>
      <c r="I27" s="149"/>
      <c r="J27" s="149">
        <f t="shared" si="4"/>
        <v>0</v>
      </c>
      <c r="K27" s="149" t="e">
        <f t="shared" si="0"/>
        <v>#DIV/0!</v>
      </c>
      <c r="N27" s="150" t="s">
        <v>8731</v>
      </c>
      <c r="O27" s="150" t="s">
        <v>8730</v>
      </c>
      <c r="P27" s="150">
        <v>1.3626999999999999E-3</v>
      </c>
      <c r="Q27" s="153">
        <f t="shared" si="3"/>
        <v>1.2843156716162315E-2</v>
      </c>
      <c r="T27" s="150" t="s">
        <v>8625</v>
      </c>
      <c r="U27" s="150" t="s">
        <v>8904</v>
      </c>
      <c r="V27" s="150">
        <v>8.2983999999999992E-3</v>
      </c>
      <c r="W27" s="150">
        <v>7.4465000000000002E-4</v>
      </c>
      <c r="X27" s="150">
        <f t="shared" si="1"/>
        <v>1.3427135937900188E-2</v>
      </c>
    </row>
    <row r="28" spans="1:24" ht="145" x14ac:dyDescent="0.35">
      <c r="A28" s="190"/>
      <c r="B28" s="190"/>
      <c r="C28" s="183"/>
      <c r="D28" s="183"/>
      <c r="E28" s="191" t="s">
        <v>8544</v>
      </c>
      <c r="F28" s="154" t="s">
        <v>8795</v>
      </c>
      <c r="G28" s="155" t="s">
        <v>8545</v>
      </c>
      <c r="H28" s="154" t="s">
        <v>8795</v>
      </c>
      <c r="I28" s="149"/>
      <c r="J28" s="149">
        <f t="shared" si="4"/>
        <v>0</v>
      </c>
      <c r="K28" s="149" t="e">
        <f t="shared" si="0"/>
        <v>#DIV/0!</v>
      </c>
      <c r="N28" s="150" t="s">
        <v>8701</v>
      </c>
      <c r="O28" s="150" t="s">
        <v>8857</v>
      </c>
      <c r="P28" s="150">
        <v>1.2924E-3</v>
      </c>
      <c r="Q28" s="153">
        <f t="shared" si="3"/>
        <v>1.2180594217339236E-2</v>
      </c>
      <c r="T28" s="150" t="s">
        <v>8566</v>
      </c>
      <c r="U28" s="150" t="s">
        <v>8914</v>
      </c>
      <c r="V28" s="150">
        <v>8.1145999999999996E-3</v>
      </c>
      <c r="W28" s="150">
        <v>7.4328000000000003E-4</v>
      </c>
      <c r="X28" s="150">
        <f t="shared" si="1"/>
        <v>1.3402432820684148E-2</v>
      </c>
    </row>
    <row r="29" spans="1:24" ht="116" x14ac:dyDescent="0.35">
      <c r="A29" s="190"/>
      <c r="B29" s="190"/>
      <c r="C29" s="183"/>
      <c r="D29" s="183"/>
      <c r="E29" s="191"/>
      <c r="F29" s="154" t="s">
        <v>8796</v>
      </c>
      <c r="G29" s="159" t="s">
        <v>8546</v>
      </c>
      <c r="H29" s="154" t="s">
        <v>8796</v>
      </c>
      <c r="I29" s="149"/>
      <c r="J29" s="149">
        <f t="shared" si="4"/>
        <v>0</v>
      </c>
      <c r="K29" s="149" t="e">
        <f t="shared" si="0"/>
        <v>#DIV/0!</v>
      </c>
      <c r="N29" s="150" t="s">
        <v>8728</v>
      </c>
      <c r="O29" s="150" t="s">
        <v>8727</v>
      </c>
      <c r="P29" s="150">
        <v>1.2731000000000001E-3</v>
      </c>
      <c r="Q29" s="153">
        <f t="shared" si="3"/>
        <v>1.1998695835727781E-2</v>
      </c>
      <c r="T29" s="150" t="s">
        <v>8583</v>
      </c>
      <c r="U29" s="150" t="s">
        <v>8911</v>
      </c>
      <c r="V29" s="150">
        <v>8.0675E-3</v>
      </c>
      <c r="W29" s="150">
        <v>7.3897000000000003E-4</v>
      </c>
      <c r="X29" s="150">
        <f t="shared" si="1"/>
        <v>1.3324717174551939E-2</v>
      </c>
    </row>
    <row r="30" spans="1:24" ht="101.5" x14ac:dyDescent="0.35">
      <c r="A30" s="190"/>
      <c r="B30" s="190"/>
      <c r="C30" s="183"/>
      <c r="D30" s="183"/>
      <c r="E30" s="191"/>
      <c r="F30" s="154" t="s">
        <v>8797</v>
      </c>
      <c r="G30" s="159" t="s">
        <v>8547</v>
      </c>
      <c r="H30" s="154" t="s">
        <v>8797</v>
      </c>
      <c r="I30" s="149"/>
      <c r="J30" s="149">
        <f t="shared" si="4"/>
        <v>0</v>
      </c>
      <c r="K30" s="149" t="e">
        <f t="shared" si="0"/>
        <v>#DIV/0!</v>
      </c>
      <c r="N30" s="150" t="s">
        <v>8518</v>
      </c>
      <c r="O30" s="150" t="s">
        <v>8780</v>
      </c>
      <c r="P30" s="150">
        <v>1.1483000000000001E-3</v>
      </c>
      <c r="Q30" s="153">
        <f t="shared" si="3"/>
        <v>1.0822482466551105E-2</v>
      </c>
      <c r="T30" s="150" t="s">
        <v>8612</v>
      </c>
      <c r="U30" s="150" t="s">
        <v>8899</v>
      </c>
      <c r="V30" s="150">
        <v>8.1852000000000001E-3</v>
      </c>
      <c r="W30" s="150">
        <v>7.3448999999999997E-4</v>
      </c>
      <c r="X30" s="150">
        <f t="shared" si="1"/>
        <v>1.324393617810825E-2</v>
      </c>
    </row>
    <row r="31" spans="1:24" ht="130.5" x14ac:dyDescent="0.35">
      <c r="A31" s="190"/>
      <c r="B31" s="190"/>
      <c r="C31" s="183"/>
      <c r="D31" s="183"/>
      <c r="E31" s="191"/>
      <c r="F31" s="154" t="s">
        <v>8798</v>
      </c>
      <c r="G31" s="159" t="s">
        <v>8548</v>
      </c>
      <c r="H31" s="154" t="s">
        <v>8798</v>
      </c>
      <c r="I31" s="149"/>
      <c r="J31" s="149">
        <f t="shared" si="4"/>
        <v>0</v>
      </c>
      <c r="K31" s="149" t="e">
        <f t="shared" si="0"/>
        <v>#DIV/0!</v>
      </c>
      <c r="N31" s="150" t="s">
        <v>8724</v>
      </c>
      <c r="O31" s="150" t="s">
        <v>8875</v>
      </c>
      <c r="P31" s="150">
        <v>1.0635E-3</v>
      </c>
      <c r="Q31" s="153">
        <f t="shared" si="3"/>
        <v>1.002326056185413E-2</v>
      </c>
      <c r="T31" s="150" t="s">
        <v>8569</v>
      </c>
      <c r="U31" s="150" t="s">
        <v>8913</v>
      </c>
      <c r="V31" s="150">
        <v>8.0149999999999996E-3</v>
      </c>
      <c r="W31" s="150">
        <v>7.3417000000000003E-4</v>
      </c>
      <c r="X31" s="150">
        <f t="shared" si="1"/>
        <v>1.3238166106933701E-2</v>
      </c>
    </row>
    <row r="32" spans="1:24" ht="116" x14ac:dyDescent="0.35">
      <c r="A32" s="190"/>
      <c r="B32" s="190"/>
      <c r="C32" s="183"/>
      <c r="D32" s="183"/>
      <c r="E32" s="154" t="s">
        <v>8549</v>
      </c>
      <c r="F32" s="154" t="s">
        <v>8550</v>
      </c>
      <c r="G32" s="159" t="s">
        <v>8551</v>
      </c>
      <c r="H32" s="154" t="s">
        <v>8550</v>
      </c>
      <c r="I32" s="149"/>
      <c r="J32" s="149">
        <f t="shared" si="4"/>
        <v>0</v>
      </c>
      <c r="K32" s="149" t="e">
        <f t="shared" si="0"/>
        <v>#DIV/0!</v>
      </c>
      <c r="N32" s="150" t="s">
        <v>8708</v>
      </c>
      <c r="O32" s="150" t="s">
        <v>8863</v>
      </c>
      <c r="P32" s="150">
        <v>1.0401E-3</v>
      </c>
      <c r="Q32" s="153">
        <f t="shared" si="3"/>
        <v>9.8027205551335025E-3</v>
      </c>
      <c r="T32" s="150" t="s">
        <v>8606</v>
      </c>
      <c r="U32" s="150" t="s">
        <v>8902</v>
      </c>
      <c r="V32" s="150">
        <v>8.1148000000000001E-3</v>
      </c>
      <c r="W32" s="150">
        <v>7.2816999999999999E-4</v>
      </c>
      <c r="X32" s="150">
        <f t="shared" si="1"/>
        <v>1.3129977272410904E-2</v>
      </c>
    </row>
    <row r="33" spans="1:24" ht="101.5" x14ac:dyDescent="0.35">
      <c r="A33" s="190"/>
      <c r="B33" s="190"/>
      <c r="C33" s="183"/>
      <c r="D33" s="183"/>
      <c r="E33" s="191" t="s">
        <v>8552</v>
      </c>
      <c r="F33" s="154" t="s">
        <v>8799</v>
      </c>
      <c r="G33" s="155" t="s">
        <v>8553</v>
      </c>
      <c r="H33" s="154" t="s">
        <v>8799</v>
      </c>
      <c r="I33" s="149"/>
      <c r="J33" s="149">
        <f t="shared" si="4"/>
        <v>0</v>
      </c>
      <c r="K33" s="149" t="e">
        <f t="shared" si="0"/>
        <v>#DIV/0!</v>
      </c>
      <c r="N33" s="150" t="s">
        <v>8516</v>
      </c>
      <c r="O33" s="150" t="s">
        <v>8514</v>
      </c>
      <c r="P33" s="150">
        <v>9.8438999999999992E-4</v>
      </c>
      <c r="Q33" s="153">
        <f t="shared" si="3"/>
        <v>9.2776656929793953E-3</v>
      </c>
      <c r="T33" s="150" t="s">
        <v>8634</v>
      </c>
      <c r="U33" s="150" t="s">
        <v>8961</v>
      </c>
      <c r="V33" s="150">
        <v>7.9568E-3</v>
      </c>
      <c r="W33" s="150">
        <v>7.1398999999999996E-4</v>
      </c>
      <c r="X33" s="150">
        <f t="shared" si="1"/>
        <v>1.2874290993488691E-2</v>
      </c>
    </row>
    <row r="34" spans="1:24" ht="101.5" x14ac:dyDescent="0.35">
      <c r="A34" s="190"/>
      <c r="B34" s="190"/>
      <c r="C34" s="183"/>
      <c r="D34" s="183"/>
      <c r="E34" s="191"/>
      <c r="F34" s="154" t="s">
        <v>8800</v>
      </c>
      <c r="G34" s="159" t="s">
        <v>8554</v>
      </c>
      <c r="H34" s="154" t="s">
        <v>8800</v>
      </c>
      <c r="I34" s="149"/>
      <c r="J34" s="149">
        <f t="shared" si="4"/>
        <v>0</v>
      </c>
      <c r="K34" s="149" t="e">
        <f t="shared" ref="K34:K65" si="5">J34/SUM($J$2:$J$144)</f>
        <v>#DIV/0!</v>
      </c>
      <c r="N34" s="150" t="s">
        <v>8737</v>
      </c>
      <c r="O34" s="150" t="s">
        <v>8877</v>
      </c>
      <c r="P34" s="150">
        <v>9.7112000000000001E-4</v>
      </c>
      <c r="Q34" s="153">
        <f t="shared" si="3"/>
        <v>9.1525987746382542E-3</v>
      </c>
      <c r="T34" s="150" t="s">
        <v>8609</v>
      </c>
      <c r="U34" s="150" t="s">
        <v>8910</v>
      </c>
      <c r="V34" s="150">
        <v>7.7686999999999999E-3</v>
      </c>
      <c r="W34" s="150">
        <v>6.9713000000000002E-4</v>
      </c>
      <c r="X34" s="150">
        <f t="shared" ref="X34:X65" si="6">W34/SUM($W$2:$W$144)</f>
        <v>1.2570280368479632E-2</v>
      </c>
    </row>
    <row r="35" spans="1:24" ht="145" x14ac:dyDescent="0.35">
      <c r="A35" s="190"/>
      <c r="B35" s="190"/>
      <c r="C35" s="183"/>
      <c r="D35" s="183"/>
      <c r="E35" s="191"/>
      <c r="F35" s="154" t="s">
        <v>8801</v>
      </c>
      <c r="G35" s="159" t="s">
        <v>8555</v>
      </c>
      <c r="H35" s="154" t="s">
        <v>8801</v>
      </c>
      <c r="I35" s="149"/>
      <c r="J35" s="149">
        <f t="shared" si="4"/>
        <v>0</v>
      </c>
      <c r="K35" s="149" t="e">
        <f t="shared" si="5"/>
        <v>#DIV/0!</v>
      </c>
      <c r="N35" s="150" t="s">
        <v>8515</v>
      </c>
      <c r="O35" s="150" t="s">
        <v>8879</v>
      </c>
      <c r="P35" s="150">
        <v>9.4386999999999997E-4</v>
      </c>
      <c r="Q35" s="153">
        <f t="shared" si="3"/>
        <v>8.8957733394614547E-3</v>
      </c>
      <c r="T35" s="150" t="s">
        <v>8599</v>
      </c>
      <c r="U35" s="150" t="s">
        <v>8918</v>
      </c>
      <c r="V35" s="150">
        <v>7.6807000000000004E-3</v>
      </c>
      <c r="W35" s="150">
        <v>6.8922000000000005E-4</v>
      </c>
      <c r="X35" s="150">
        <f t="shared" si="6"/>
        <v>1.2427651421633743E-2</v>
      </c>
    </row>
    <row r="36" spans="1:24" ht="145" x14ac:dyDescent="0.35">
      <c r="A36" s="190"/>
      <c r="B36" s="190"/>
      <c r="C36" s="183"/>
      <c r="D36" s="183"/>
      <c r="E36" s="154" t="s">
        <v>8556</v>
      </c>
      <c r="F36" s="154" t="s">
        <v>8557</v>
      </c>
      <c r="G36" s="155" t="s">
        <v>8558</v>
      </c>
      <c r="H36" s="154" t="s">
        <v>8557</v>
      </c>
      <c r="I36" s="149"/>
      <c r="J36" s="149">
        <f t="shared" si="4"/>
        <v>0</v>
      </c>
      <c r="K36" s="149" t="e">
        <f t="shared" si="5"/>
        <v>#DIV/0!</v>
      </c>
      <c r="N36" s="150" t="s">
        <v>8508</v>
      </c>
      <c r="O36" s="150" t="s">
        <v>8776</v>
      </c>
      <c r="P36" s="150">
        <v>8.2627999999999998E-4</v>
      </c>
      <c r="Q36" s="153">
        <f t="shared" si="3"/>
        <v>7.7875126817572452E-3</v>
      </c>
      <c r="T36" s="150" t="s">
        <v>8631</v>
      </c>
      <c r="U36" s="150" t="s">
        <v>8915</v>
      </c>
      <c r="V36" s="150">
        <v>7.4291000000000001E-3</v>
      </c>
      <c r="W36" s="150">
        <v>6.6664000000000003E-4</v>
      </c>
      <c r="X36" s="150">
        <f t="shared" si="6"/>
        <v>1.2020500774379616E-2</v>
      </c>
    </row>
    <row r="37" spans="1:24" ht="145" x14ac:dyDescent="0.35">
      <c r="A37" s="190"/>
      <c r="B37" s="190"/>
      <c r="C37" s="183"/>
      <c r="D37" s="183"/>
      <c r="E37" s="154" t="s">
        <v>8559</v>
      </c>
      <c r="F37" s="154" t="s">
        <v>8560</v>
      </c>
      <c r="G37" s="159" t="s">
        <v>8561</v>
      </c>
      <c r="H37" s="154" t="s">
        <v>8560</v>
      </c>
      <c r="I37" s="149"/>
      <c r="J37" s="149">
        <f>$B$2*$D$15*I37</f>
        <v>0</v>
      </c>
      <c r="K37" s="149" t="e">
        <f t="shared" si="5"/>
        <v>#DIV/0!</v>
      </c>
      <c r="N37" s="150" t="s">
        <v>8505</v>
      </c>
      <c r="O37" s="150" t="s">
        <v>8504</v>
      </c>
      <c r="P37" s="150">
        <v>7.9677000000000003E-4</v>
      </c>
      <c r="Q37" s="153">
        <f t="shared" si="3"/>
        <v>7.5093872288373442E-3</v>
      </c>
      <c r="T37" s="150" t="s">
        <v>8549</v>
      </c>
      <c r="U37" s="150" t="s">
        <v>8921</v>
      </c>
      <c r="V37" s="150">
        <v>8.3902999999999998E-3</v>
      </c>
      <c r="W37" s="150">
        <v>5.9206000000000005E-4</v>
      </c>
      <c r="X37" s="150">
        <f t="shared" si="6"/>
        <v>1.0675713561261244E-2</v>
      </c>
    </row>
    <row r="38" spans="1:24" ht="101.5" x14ac:dyDescent="0.35">
      <c r="A38" s="190"/>
      <c r="B38" s="190"/>
      <c r="C38" s="183" t="s">
        <v>8562</v>
      </c>
      <c r="D38" s="183">
        <v>0.23211951005793224</v>
      </c>
      <c r="E38" s="154" t="s">
        <v>8563</v>
      </c>
      <c r="F38" s="154" t="s">
        <v>8564</v>
      </c>
      <c r="G38" s="155" t="s">
        <v>8565</v>
      </c>
      <c r="H38" s="154" t="s">
        <v>8564</v>
      </c>
      <c r="I38" s="149"/>
      <c r="J38" s="149">
        <f>$B$2*$D$38*I38</f>
        <v>0</v>
      </c>
      <c r="K38" s="149" t="e">
        <f t="shared" si="5"/>
        <v>#DIV/0!</v>
      </c>
      <c r="N38" s="150" t="s">
        <v>8586</v>
      </c>
      <c r="O38" s="150" t="s">
        <v>8810</v>
      </c>
      <c r="P38" s="150">
        <v>7.8757000000000002E-4</v>
      </c>
      <c r="Q38" s="153">
        <f t="shared" si="3"/>
        <v>7.4226791920070125E-3</v>
      </c>
      <c r="T38" s="150" t="s">
        <v>8559</v>
      </c>
      <c r="U38" s="150" t="s">
        <v>8935</v>
      </c>
      <c r="V38" s="150">
        <v>8.2626999999999996E-3</v>
      </c>
      <c r="W38" s="150">
        <v>5.8305E-4</v>
      </c>
      <c r="X38" s="150">
        <f t="shared" si="6"/>
        <v>1.0513249994752841E-2</v>
      </c>
    </row>
    <row r="39" spans="1:24" ht="87" x14ac:dyDescent="0.35">
      <c r="A39" s="190"/>
      <c r="B39" s="190"/>
      <c r="C39" s="183"/>
      <c r="D39" s="183"/>
      <c r="E39" s="154" t="s">
        <v>8566</v>
      </c>
      <c r="F39" s="154" t="s">
        <v>8567</v>
      </c>
      <c r="G39" s="156" t="s">
        <v>8568</v>
      </c>
      <c r="H39" s="154" t="s">
        <v>8567</v>
      </c>
      <c r="I39" s="149"/>
      <c r="J39" s="149">
        <f t="shared" ref="J39:J52" si="7">$B$2*$D$38*I39</f>
        <v>0</v>
      </c>
      <c r="K39" s="149" t="e">
        <f t="shared" si="5"/>
        <v>#DIV/0!</v>
      </c>
      <c r="N39" s="150" t="s">
        <v>8581</v>
      </c>
      <c r="O39" s="150" t="s">
        <v>8806</v>
      </c>
      <c r="P39" s="150">
        <v>7.6825999999999999E-4</v>
      </c>
      <c r="Q39" s="153">
        <f t="shared" si="3"/>
        <v>7.240686562529435E-3</v>
      </c>
      <c r="T39" s="150" t="s">
        <v>8928</v>
      </c>
      <c r="U39" s="150" t="s">
        <v>8929</v>
      </c>
      <c r="V39" s="150">
        <v>8.2483999999999995E-3</v>
      </c>
      <c r="W39" s="150">
        <v>5.6399E-4</v>
      </c>
      <c r="X39" s="150">
        <f t="shared" si="6"/>
        <v>1.0169570130418755E-2</v>
      </c>
    </row>
    <row r="40" spans="1:24" ht="101.5" x14ac:dyDescent="0.35">
      <c r="A40" s="190"/>
      <c r="B40" s="190"/>
      <c r="C40" s="183"/>
      <c r="D40" s="183"/>
      <c r="E40" s="191" t="s">
        <v>8569</v>
      </c>
      <c r="F40" s="154" t="s">
        <v>8802</v>
      </c>
      <c r="G40" s="156" t="s">
        <v>8570</v>
      </c>
      <c r="H40" s="154" t="s">
        <v>8802</v>
      </c>
      <c r="I40" s="149"/>
      <c r="J40" s="149">
        <f t="shared" si="7"/>
        <v>0</v>
      </c>
      <c r="K40" s="149" t="e">
        <f t="shared" si="5"/>
        <v>#DIV/0!</v>
      </c>
      <c r="N40" s="150" t="s">
        <v>8636</v>
      </c>
      <c r="O40" s="150" t="s">
        <v>8827</v>
      </c>
      <c r="P40" s="150">
        <v>7.6729999999999995E-4</v>
      </c>
      <c r="Q40" s="153">
        <f t="shared" si="3"/>
        <v>7.2316387673819213E-3</v>
      </c>
      <c r="T40" s="150" t="s">
        <v>8930</v>
      </c>
      <c r="U40" s="150" t="s">
        <v>8931</v>
      </c>
      <c r="V40" s="150">
        <v>8.1864999999999993E-3</v>
      </c>
      <c r="W40" s="150">
        <v>5.5975999999999997E-4</v>
      </c>
      <c r="X40" s="150">
        <f t="shared" si="6"/>
        <v>1.0093297002080183E-2</v>
      </c>
    </row>
    <row r="41" spans="1:24" ht="217.5" x14ac:dyDescent="0.35">
      <c r="A41" s="190"/>
      <c r="B41" s="190"/>
      <c r="C41" s="183"/>
      <c r="D41" s="183"/>
      <c r="E41" s="191"/>
      <c r="F41" s="154" t="s">
        <v>8803</v>
      </c>
      <c r="G41" s="156" t="s">
        <v>8571</v>
      </c>
      <c r="H41" s="154" t="s">
        <v>8803</v>
      </c>
      <c r="I41" s="149"/>
      <c r="J41" s="149">
        <f t="shared" si="7"/>
        <v>0</v>
      </c>
      <c r="K41" s="149" t="e">
        <f t="shared" si="5"/>
        <v>#DIV/0!</v>
      </c>
      <c r="N41" s="150" t="s">
        <v>8573</v>
      </c>
      <c r="O41" s="150" t="s">
        <v>8805</v>
      </c>
      <c r="P41" s="150">
        <v>7.6318000000000002E-4</v>
      </c>
      <c r="Q41" s="153">
        <f t="shared" si="3"/>
        <v>7.1928086465405132E-3</v>
      </c>
      <c r="T41" s="150" t="s">
        <v>8530</v>
      </c>
      <c r="U41" s="150" t="s">
        <v>8924</v>
      </c>
      <c r="V41" s="150">
        <v>7.737E-3</v>
      </c>
      <c r="W41" s="150">
        <v>5.4595999999999996E-4</v>
      </c>
      <c r="X41" s="150">
        <f t="shared" si="6"/>
        <v>9.8444626826777494E-3</v>
      </c>
    </row>
    <row r="42" spans="1:24" ht="87" x14ac:dyDescent="0.35">
      <c r="A42" s="190"/>
      <c r="B42" s="190"/>
      <c r="C42" s="183"/>
      <c r="D42" s="183"/>
      <c r="E42" s="191"/>
      <c r="F42" s="154" t="s">
        <v>8804</v>
      </c>
      <c r="G42" s="156" t="s">
        <v>8572</v>
      </c>
      <c r="H42" s="154" t="s">
        <v>8804</v>
      </c>
      <c r="I42" s="149"/>
      <c r="J42" s="149">
        <f t="shared" si="7"/>
        <v>0</v>
      </c>
      <c r="K42" s="149" t="e">
        <f t="shared" si="5"/>
        <v>#DIV/0!</v>
      </c>
      <c r="N42" s="150" t="s">
        <v>8767</v>
      </c>
      <c r="O42" s="150" t="s">
        <v>8578</v>
      </c>
      <c r="P42" s="150">
        <v>7.6316000000000003E-4</v>
      </c>
      <c r="Q42" s="153">
        <f t="shared" si="3"/>
        <v>7.1926201508082733E-3</v>
      </c>
      <c r="T42" s="150" t="s">
        <v>8643</v>
      </c>
      <c r="U42" s="150" t="s">
        <v>8936</v>
      </c>
      <c r="V42" s="150">
        <v>7.8855000000000001E-3</v>
      </c>
      <c r="W42" s="150">
        <v>5.3918E-4</v>
      </c>
      <c r="X42" s="150">
        <f t="shared" si="6"/>
        <v>9.7222092996669882E-3</v>
      </c>
    </row>
    <row r="43" spans="1:24" ht="87" x14ac:dyDescent="0.35">
      <c r="A43" s="190"/>
      <c r="B43" s="190"/>
      <c r="C43" s="183"/>
      <c r="D43" s="183"/>
      <c r="E43" s="191"/>
      <c r="F43" s="154" t="s">
        <v>8805</v>
      </c>
      <c r="G43" s="156" t="s">
        <v>8573</v>
      </c>
      <c r="H43" s="154" t="s">
        <v>8805</v>
      </c>
      <c r="I43" s="149"/>
      <c r="J43" s="149">
        <f t="shared" si="7"/>
        <v>0</v>
      </c>
      <c r="K43" s="149" t="e">
        <f t="shared" si="5"/>
        <v>#DIV/0!</v>
      </c>
      <c r="N43" s="150" t="s">
        <v>8589</v>
      </c>
      <c r="O43" s="150" t="s">
        <v>8813</v>
      </c>
      <c r="P43" s="150">
        <v>7.6219000000000005E-4</v>
      </c>
      <c r="Q43" s="153">
        <f t="shared" si="3"/>
        <v>7.1834781077946405E-3</v>
      </c>
      <c r="T43" s="150" t="s">
        <v>8520</v>
      </c>
      <c r="U43" s="150" t="s">
        <v>8897</v>
      </c>
      <c r="V43" s="150">
        <v>2.7012E-3</v>
      </c>
      <c r="W43" s="150">
        <v>4.9297000000000002E-4</v>
      </c>
      <c r="X43" s="150">
        <f t="shared" si="6"/>
        <v>8.8889749591172431E-3</v>
      </c>
    </row>
    <row r="44" spans="1:24" ht="101.5" x14ac:dyDescent="0.35">
      <c r="A44" s="190"/>
      <c r="B44" s="190"/>
      <c r="C44" s="183"/>
      <c r="D44" s="183"/>
      <c r="E44" s="154" t="s">
        <v>8574</v>
      </c>
      <c r="F44" s="154" t="s">
        <v>8575</v>
      </c>
      <c r="G44" s="156" t="s">
        <v>8576</v>
      </c>
      <c r="H44" s="154" t="s">
        <v>8575</v>
      </c>
      <c r="I44" s="149"/>
      <c r="J44" s="149">
        <f t="shared" si="7"/>
        <v>0</v>
      </c>
      <c r="K44" s="149" t="e">
        <f t="shared" si="5"/>
        <v>#DIV/0!</v>
      </c>
      <c r="N44" s="150" t="s">
        <v>8624</v>
      </c>
      <c r="O44" s="150" t="s">
        <v>8825</v>
      </c>
      <c r="P44" s="150">
        <v>7.6057999999999996E-4</v>
      </c>
      <c r="Q44" s="153">
        <f t="shared" si="3"/>
        <v>7.1683042013493316E-3</v>
      </c>
      <c r="T44" s="150" t="s">
        <v>8925</v>
      </c>
      <c r="U44" s="150" t="s">
        <v>8926</v>
      </c>
      <c r="V44" s="150">
        <v>8.3321000000000003E-3</v>
      </c>
      <c r="W44" s="150">
        <v>4.7504999999999997E-4</v>
      </c>
      <c r="X44" s="150">
        <f t="shared" si="6"/>
        <v>8.5658509733424881E-3</v>
      </c>
    </row>
    <row r="45" spans="1:24" ht="87" x14ac:dyDescent="0.35">
      <c r="A45" s="190"/>
      <c r="B45" s="190"/>
      <c r="C45" s="183"/>
      <c r="D45" s="183"/>
      <c r="E45" s="154" t="s">
        <v>8577</v>
      </c>
      <c r="F45" s="154" t="s">
        <v>8578</v>
      </c>
      <c r="G45" s="156" t="s">
        <v>8579</v>
      </c>
      <c r="H45" s="154" t="s">
        <v>8578</v>
      </c>
      <c r="I45" s="149"/>
      <c r="J45" s="149">
        <f t="shared" si="7"/>
        <v>0</v>
      </c>
      <c r="K45" s="149" t="e">
        <f t="shared" si="5"/>
        <v>#DIV/0!</v>
      </c>
      <c r="N45" s="150" t="s">
        <v>8622</v>
      </c>
      <c r="O45" s="150" t="s">
        <v>8823</v>
      </c>
      <c r="P45" s="150">
        <v>7.5995999999999995E-4</v>
      </c>
      <c r="Q45" s="153">
        <f t="shared" si="3"/>
        <v>7.1624608336498963E-3</v>
      </c>
      <c r="T45" s="150" t="s">
        <v>8667</v>
      </c>
      <c r="U45" s="150" t="s">
        <v>8927</v>
      </c>
      <c r="V45" s="150">
        <v>8.3104000000000008E-3</v>
      </c>
      <c r="W45" s="150">
        <v>4.7381000000000002E-4</v>
      </c>
      <c r="X45" s="150">
        <f t="shared" si="6"/>
        <v>8.5434919475411101E-3</v>
      </c>
    </row>
    <row r="46" spans="1:24" ht="145" x14ac:dyDescent="0.35">
      <c r="A46" s="190"/>
      <c r="B46" s="190"/>
      <c r="C46" s="183"/>
      <c r="D46" s="183"/>
      <c r="E46" s="191" t="s">
        <v>8580</v>
      </c>
      <c r="F46" s="154" t="s">
        <v>8806</v>
      </c>
      <c r="G46" s="156" t="s">
        <v>8581</v>
      </c>
      <c r="H46" s="154" t="s">
        <v>8806</v>
      </c>
      <c r="I46" s="149"/>
      <c r="J46" s="149">
        <f t="shared" si="7"/>
        <v>0</v>
      </c>
      <c r="K46" s="149" t="e">
        <f t="shared" si="5"/>
        <v>#DIV/0!</v>
      </c>
      <c r="N46" s="150" t="s">
        <v>8605</v>
      </c>
      <c r="O46" s="150" t="s">
        <v>8818</v>
      </c>
      <c r="P46" s="150">
        <v>7.5546999999999995E-4</v>
      </c>
      <c r="Q46" s="153">
        <f t="shared" si="3"/>
        <v>7.1201435417620491E-3</v>
      </c>
      <c r="T46" s="150" t="s">
        <v>8939</v>
      </c>
      <c r="U46" s="150" t="s">
        <v>8940</v>
      </c>
      <c r="V46" s="150">
        <v>8.3069000000000007E-3</v>
      </c>
      <c r="W46" s="150">
        <v>4.7361000000000001E-4</v>
      </c>
      <c r="X46" s="150">
        <f t="shared" si="6"/>
        <v>8.539885653057017E-3</v>
      </c>
    </row>
    <row r="47" spans="1:24" ht="101.5" x14ac:dyDescent="0.35">
      <c r="A47" s="190"/>
      <c r="B47" s="190"/>
      <c r="C47" s="183"/>
      <c r="D47" s="183"/>
      <c r="E47" s="191"/>
      <c r="F47" s="154" t="s">
        <v>8807</v>
      </c>
      <c r="G47" s="159" t="s">
        <v>8582</v>
      </c>
      <c r="H47" s="154" t="s">
        <v>8807</v>
      </c>
      <c r="I47" s="149"/>
      <c r="J47" s="149">
        <f t="shared" si="7"/>
        <v>0</v>
      </c>
      <c r="K47" s="149" t="e">
        <f t="shared" si="5"/>
        <v>#DIV/0!</v>
      </c>
      <c r="N47" s="150" t="s">
        <v>8623</v>
      </c>
      <c r="O47" s="150" t="s">
        <v>8824</v>
      </c>
      <c r="P47" s="150">
        <v>7.5511999999999997E-4</v>
      </c>
      <c r="Q47" s="153">
        <f t="shared" si="3"/>
        <v>7.1168448664478516E-3</v>
      </c>
      <c r="T47" s="150" t="s">
        <v>8544</v>
      </c>
      <c r="U47" s="150" t="s">
        <v>8944</v>
      </c>
      <c r="V47" s="150">
        <v>6.7019999999999996E-3</v>
      </c>
      <c r="W47" s="150">
        <v>4.7291999999999999E-4</v>
      </c>
      <c r="X47" s="150">
        <f t="shared" si="6"/>
        <v>8.5274439370868951E-3</v>
      </c>
    </row>
    <row r="48" spans="1:24" ht="58" x14ac:dyDescent="0.35">
      <c r="A48" s="190"/>
      <c r="B48" s="190"/>
      <c r="C48" s="183"/>
      <c r="D48" s="183"/>
      <c r="E48" s="191" t="s">
        <v>8583</v>
      </c>
      <c r="F48" s="154" t="s">
        <v>8808</v>
      </c>
      <c r="G48" s="156" t="s">
        <v>8584</v>
      </c>
      <c r="H48" s="154" t="s">
        <v>8808</v>
      </c>
      <c r="I48" s="149"/>
      <c r="J48" s="149">
        <f t="shared" si="7"/>
        <v>0</v>
      </c>
      <c r="K48" s="149" t="e">
        <f t="shared" si="5"/>
        <v>#DIV/0!</v>
      </c>
      <c r="N48" s="150" t="s">
        <v>8773</v>
      </c>
      <c r="O48" s="150" t="s">
        <v>8802</v>
      </c>
      <c r="P48" s="150">
        <v>7.5431000000000001E-4</v>
      </c>
      <c r="Q48" s="153">
        <f t="shared" si="3"/>
        <v>7.1092107892921381E-3</v>
      </c>
      <c r="T48" s="150" t="s">
        <v>8679</v>
      </c>
      <c r="U48" s="150" t="s">
        <v>8937</v>
      </c>
      <c r="V48" s="150">
        <v>8.1019000000000004E-3</v>
      </c>
      <c r="W48" s="150">
        <v>4.6192E-4</v>
      </c>
      <c r="X48" s="150">
        <f t="shared" si="6"/>
        <v>8.3290977404617671E-3</v>
      </c>
    </row>
    <row r="49" spans="1:24" ht="145" x14ac:dyDescent="0.35">
      <c r="A49" s="190"/>
      <c r="B49" s="190"/>
      <c r="C49" s="183"/>
      <c r="D49" s="183"/>
      <c r="E49" s="191"/>
      <c r="F49" s="154" t="s">
        <v>8809</v>
      </c>
      <c r="G49" s="156" t="s">
        <v>8585</v>
      </c>
      <c r="H49" s="154" t="s">
        <v>8809</v>
      </c>
      <c r="I49" s="149"/>
      <c r="J49" s="149">
        <f t="shared" si="7"/>
        <v>0</v>
      </c>
      <c r="K49" s="149" t="e">
        <f t="shared" si="5"/>
        <v>#DIV/0!</v>
      </c>
      <c r="N49" s="150" t="s">
        <v>8604</v>
      </c>
      <c r="O49" s="150" t="s">
        <v>8817</v>
      </c>
      <c r="P49" s="150">
        <v>7.5266999999999999E-4</v>
      </c>
      <c r="Q49" s="153">
        <f t="shared" si="3"/>
        <v>7.0937541392484703E-3</v>
      </c>
      <c r="T49" s="150" t="s">
        <v>8946</v>
      </c>
      <c r="U49" s="150" t="s">
        <v>8947</v>
      </c>
      <c r="V49" s="150">
        <v>8.0990000000000003E-3</v>
      </c>
      <c r="W49" s="150">
        <v>4.6176000000000002E-4</v>
      </c>
      <c r="X49" s="150">
        <f t="shared" si="6"/>
        <v>8.3262127048744916E-3</v>
      </c>
    </row>
    <row r="50" spans="1:24" ht="130.5" x14ac:dyDescent="0.35">
      <c r="A50" s="190"/>
      <c r="B50" s="190"/>
      <c r="C50" s="183"/>
      <c r="D50" s="183"/>
      <c r="E50" s="191"/>
      <c r="F50" s="154" t="s">
        <v>8810</v>
      </c>
      <c r="G50" s="156" t="s">
        <v>8586</v>
      </c>
      <c r="H50" s="154" t="s">
        <v>8810</v>
      </c>
      <c r="I50" s="149"/>
      <c r="J50" s="149">
        <f t="shared" si="7"/>
        <v>0</v>
      </c>
      <c r="K50" s="149" t="e">
        <f t="shared" si="5"/>
        <v>#DIV/0!</v>
      </c>
      <c r="N50" s="150" t="s">
        <v>8602</v>
      </c>
      <c r="O50" s="150" t="s">
        <v>8816</v>
      </c>
      <c r="P50" s="150">
        <v>7.5177000000000002E-4</v>
      </c>
      <c r="Q50" s="153">
        <f t="shared" si="3"/>
        <v>7.0852718312976772E-3</v>
      </c>
      <c r="T50" s="150" t="s">
        <v>8658</v>
      </c>
      <c r="U50" s="150" t="s">
        <v>8941</v>
      </c>
      <c r="V50" s="150">
        <v>8.0827E-3</v>
      </c>
      <c r="W50" s="150">
        <v>4.6083000000000002E-4</v>
      </c>
      <c r="X50" s="150">
        <f t="shared" si="6"/>
        <v>8.309443435523459E-3</v>
      </c>
    </row>
    <row r="51" spans="1:24" ht="101.5" x14ac:dyDescent="0.35">
      <c r="A51" s="190"/>
      <c r="B51" s="190"/>
      <c r="C51" s="183"/>
      <c r="D51" s="183"/>
      <c r="E51" s="191"/>
      <c r="F51" s="154" t="s">
        <v>8811</v>
      </c>
      <c r="G51" s="156" t="s">
        <v>8587</v>
      </c>
      <c r="H51" s="154" t="s">
        <v>8811</v>
      </c>
      <c r="I51" s="149"/>
      <c r="J51" s="149">
        <f t="shared" si="7"/>
        <v>0</v>
      </c>
      <c r="K51" s="149" t="e">
        <f t="shared" si="5"/>
        <v>#DIV/0!</v>
      </c>
      <c r="N51" s="150" t="s">
        <v>8582</v>
      </c>
      <c r="O51" s="150" t="s">
        <v>8807</v>
      </c>
      <c r="P51" s="150">
        <v>7.5104000000000002E-4</v>
      </c>
      <c r="Q51" s="153">
        <f t="shared" si="3"/>
        <v>7.0783917370709224E-3</v>
      </c>
      <c r="T51" s="150" t="s">
        <v>8686</v>
      </c>
      <c r="U51" s="150" t="s">
        <v>8942</v>
      </c>
      <c r="V51" s="150">
        <v>8.0376000000000006E-3</v>
      </c>
      <c r="W51" s="150">
        <v>4.5825999999999999E-4</v>
      </c>
      <c r="X51" s="150">
        <f t="shared" si="6"/>
        <v>8.2631025514028605E-3</v>
      </c>
    </row>
    <row r="52" spans="1:24" ht="72.5" x14ac:dyDescent="0.35">
      <c r="A52" s="190"/>
      <c r="B52" s="190"/>
      <c r="C52" s="183"/>
      <c r="D52" s="183"/>
      <c r="E52" s="191"/>
      <c r="F52" s="154" t="s">
        <v>8812</v>
      </c>
      <c r="G52" s="156" t="s">
        <v>8588</v>
      </c>
      <c r="H52" s="154" t="s">
        <v>8812</v>
      </c>
      <c r="I52" s="149"/>
      <c r="J52" s="149">
        <f t="shared" si="7"/>
        <v>0</v>
      </c>
      <c r="K52" s="149" t="e">
        <f t="shared" si="5"/>
        <v>#DIV/0!</v>
      </c>
      <c r="N52" s="150" t="s">
        <v>8620</v>
      </c>
      <c r="O52" s="150" t="s">
        <v>8619</v>
      </c>
      <c r="P52" s="150">
        <v>7.5084999999999995E-4</v>
      </c>
      <c r="Q52" s="153">
        <f t="shared" si="3"/>
        <v>7.0766010276146433E-3</v>
      </c>
      <c r="T52" s="150" t="s">
        <v>8552</v>
      </c>
      <c r="U52" s="150" t="s">
        <v>8923</v>
      </c>
      <c r="V52" s="150">
        <v>6.3931999999999999E-3</v>
      </c>
      <c r="W52" s="150">
        <v>4.5113999999999999E-4</v>
      </c>
      <c r="X52" s="150">
        <f t="shared" si="6"/>
        <v>8.1347184677691402E-3</v>
      </c>
    </row>
    <row r="53" spans="1:24" ht="101.5" x14ac:dyDescent="0.35">
      <c r="A53" s="190"/>
      <c r="B53" s="190"/>
      <c r="C53" s="183"/>
      <c r="D53" s="183"/>
      <c r="E53" s="191"/>
      <c r="F53" s="154" t="s">
        <v>8813</v>
      </c>
      <c r="G53" s="159" t="s">
        <v>8589</v>
      </c>
      <c r="H53" s="154" t="s">
        <v>8813</v>
      </c>
      <c r="I53" s="149"/>
      <c r="J53" s="149">
        <f>$B$2*$D$38*I53</f>
        <v>0</v>
      </c>
      <c r="K53" s="149" t="e">
        <f t="shared" si="5"/>
        <v>#DIV/0!</v>
      </c>
      <c r="N53" s="150" t="s">
        <v>8770</v>
      </c>
      <c r="O53" s="150" t="s">
        <v>8803</v>
      </c>
      <c r="P53" s="150">
        <v>7.4815000000000005E-4</v>
      </c>
      <c r="Q53" s="153">
        <f t="shared" si="3"/>
        <v>7.051154103762264E-3</v>
      </c>
      <c r="T53" s="150" t="s">
        <v>8692</v>
      </c>
      <c r="U53" s="150" t="s">
        <v>8938</v>
      </c>
      <c r="V53" s="150">
        <v>7.3258999999999998E-3</v>
      </c>
      <c r="W53" s="150">
        <v>4.1768000000000003E-4</v>
      </c>
      <c r="X53" s="150">
        <f t="shared" si="6"/>
        <v>7.5313854005803404E-3</v>
      </c>
    </row>
    <row r="54" spans="1:24" ht="72.5" x14ac:dyDescent="0.35">
      <c r="A54" s="190"/>
      <c r="B54" s="190"/>
      <c r="C54" s="183" t="s">
        <v>8590</v>
      </c>
      <c r="D54" s="183">
        <v>0.12658514320437608</v>
      </c>
      <c r="E54" s="154" t="s">
        <v>8591</v>
      </c>
      <c r="F54" s="154" t="s">
        <v>8592</v>
      </c>
      <c r="G54" s="155" t="s">
        <v>8593</v>
      </c>
      <c r="H54" s="154" t="s">
        <v>8592</v>
      </c>
      <c r="I54" s="149"/>
      <c r="J54" s="149">
        <f>$B$2*$D$54*I54</f>
        <v>0</v>
      </c>
      <c r="K54" s="149" t="e">
        <f t="shared" si="5"/>
        <v>#DIV/0!</v>
      </c>
      <c r="N54" s="150" t="s">
        <v>8617</v>
      </c>
      <c r="O54" s="150" t="s">
        <v>8616</v>
      </c>
      <c r="P54" s="150">
        <v>7.4470999999999999E-4</v>
      </c>
      <c r="Q54" s="153">
        <f t="shared" si="3"/>
        <v>7.0187328378170091E-3</v>
      </c>
      <c r="T54" s="150" t="s">
        <v>8932</v>
      </c>
      <c r="U54" s="150" t="s">
        <v>8933</v>
      </c>
      <c r="V54" s="150">
        <v>7.3010000000000002E-3</v>
      </c>
      <c r="W54" s="150">
        <v>4.1627E-4</v>
      </c>
      <c r="X54" s="150">
        <f t="shared" si="6"/>
        <v>7.5059610244674821E-3</v>
      </c>
    </row>
    <row r="55" spans="1:24" ht="58" x14ac:dyDescent="0.35">
      <c r="A55" s="190"/>
      <c r="B55" s="190"/>
      <c r="C55" s="183"/>
      <c r="D55" s="183"/>
      <c r="E55" s="154" t="s">
        <v>8594</v>
      </c>
      <c r="F55" s="154" t="s">
        <v>8595</v>
      </c>
      <c r="G55" s="155" t="s">
        <v>8596</v>
      </c>
      <c r="H55" s="154" t="s">
        <v>8595</v>
      </c>
      <c r="I55" s="149"/>
      <c r="J55" s="149">
        <f>$B$2*$D$54*I55</f>
        <v>0</v>
      </c>
      <c r="K55" s="149" t="e">
        <f t="shared" si="5"/>
        <v>#DIV/0!</v>
      </c>
      <c r="N55" s="150" t="s">
        <v>8627</v>
      </c>
      <c r="O55" s="150" t="s">
        <v>8626</v>
      </c>
      <c r="P55" s="150">
        <v>7.4465000000000002E-4</v>
      </c>
      <c r="Q55" s="153">
        <f t="shared" si="3"/>
        <v>7.0181673506202902E-3</v>
      </c>
      <c r="T55" s="150" t="s">
        <v>8949</v>
      </c>
      <c r="U55" s="150" t="s">
        <v>8950</v>
      </c>
      <c r="V55" s="150">
        <v>7.1840000000000003E-3</v>
      </c>
      <c r="W55" s="150">
        <v>4.0958999999999999E-4</v>
      </c>
      <c r="X55" s="150">
        <f t="shared" si="6"/>
        <v>7.3855107886987674E-3</v>
      </c>
    </row>
    <row r="56" spans="1:24" ht="87" x14ac:dyDescent="0.35">
      <c r="A56" s="189" t="s">
        <v>8597</v>
      </c>
      <c r="B56" s="189">
        <v>0.2151241970727332</v>
      </c>
      <c r="C56" s="184" t="s">
        <v>8598</v>
      </c>
      <c r="D56" s="184">
        <v>0.4171263300688956</v>
      </c>
      <c r="E56" s="185" t="s">
        <v>8599</v>
      </c>
      <c r="F56" s="145" t="s">
        <v>8814</v>
      </c>
      <c r="G56" s="155" t="s">
        <v>8600</v>
      </c>
      <c r="H56" s="145" t="s">
        <v>8814</v>
      </c>
      <c r="I56" s="149"/>
      <c r="J56" s="149">
        <f>$B$56*$D$56*I56</f>
        <v>0</v>
      </c>
      <c r="K56" s="149" t="e">
        <f t="shared" si="5"/>
        <v>#DIV/0!</v>
      </c>
      <c r="N56" s="150" t="s">
        <v>8568</v>
      </c>
      <c r="O56" s="150" t="s">
        <v>8567</v>
      </c>
      <c r="P56" s="150">
        <v>7.4328000000000003E-4</v>
      </c>
      <c r="Q56" s="153">
        <f t="shared" si="3"/>
        <v>7.0052553929618603E-3</v>
      </c>
      <c r="T56" s="150" t="s">
        <v>8661</v>
      </c>
      <c r="U56" s="150" t="s">
        <v>8948</v>
      </c>
      <c r="V56" s="150">
        <v>7.1634000000000003E-3</v>
      </c>
      <c r="W56" s="150">
        <v>4.0842E-4</v>
      </c>
      <c r="X56" s="150">
        <f t="shared" si="6"/>
        <v>7.3644139659668224E-3</v>
      </c>
    </row>
    <row r="57" spans="1:24" ht="145" x14ac:dyDescent="0.35">
      <c r="A57" s="189"/>
      <c r="B57" s="189"/>
      <c r="C57" s="184"/>
      <c r="D57" s="184"/>
      <c r="E57" s="185"/>
      <c r="F57" s="145" t="s">
        <v>8815</v>
      </c>
      <c r="G57" s="159" t="s">
        <v>8601</v>
      </c>
      <c r="H57" s="145" t="s">
        <v>8815</v>
      </c>
      <c r="I57" s="149"/>
      <c r="J57" s="149">
        <f t="shared" ref="J57:J79" si="8">$B$56*$D$56*I57</f>
        <v>0</v>
      </c>
      <c r="K57" s="149" t="e">
        <f t="shared" si="5"/>
        <v>#DIV/0!</v>
      </c>
      <c r="N57" s="150" t="s">
        <v>8587</v>
      </c>
      <c r="O57" s="150" t="s">
        <v>8811</v>
      </c>
      <c r="P57" s="150">
        <v>7.4133000000000001E-4</v>
      </c>
      <c r="Q57" s="153">
        <f t="shared" si="3"/>
        <v>6.9868770590684748E-3</v>
      </c>
      <c r="T57" s="150" t="s">
        <v>8683</v>
      </c>
      <c r="U57" s="150" t="s">
        <v>8943</v>
      </c>
      <c r="V57" s="150">
        <v>7.1599999999999997E-3</v>
      </c>
      <c r="W57" s="150">
        <v>4.0822999999999999E-4</v>
      </c>
      <c r="X57" s="150">
        <f t="shared" si="6"/>
        <v>7.3609879862069332E-3</v>
      </c>
    </row>
    <row r="58" spans="1:24" ht="145" x14ac:dyDescent="0.35">
      <c r="A58" s="189"/>
      <c r="B58" s="189"/>
      <c r="C58" s="184"/>
      <c r="D58" s="184"/>
      <c r="E58" s="185"/>
      <c r="F58" s="145" t="s">
        <v>8816</v>
      </c>
      <c r="G58" s="159" t="s">
        <v>8602</v>
      </c>
      <c r="H58" s="145" t="s">
        <v>8816</v>
      </c>
      <c r="I58" s="149"/>
      <c r="J58" s="149">
        <f t="shared" si="8"/>
        <v>0</v>
      </c>
      <c r="K58" s="149" t="e">
        <f t="shared" si="5"/>
        <v>#DIV/0!</v>
      </c>
      <c r="N58" s="150" t="s">
        <v>8613</v>
      </c>
      <c r="O58" s="150" t="s">
        <v>8821</v>
      </c>
      <c r="P58" s="150">
        <v>7.3505E-4</v>
      </c>
      <c r="Q58" s="153">
        <f t="shared" si="3"/>
        <v>6.9276893991451613E-3</v>
      </c>
      <c r="T58" s="150" t="s">
        <v>8574</v>
      </c>
      <c r="U58" s="150" t="s">
        <v>8934</v>
      </c>
      <c r="V58" s="150">
        <v>4.1916000000000002E-3</v>
      </c>
      <c r="W58" s="150">
        <v>3.8393999999999999E-4</v>
      </c>
      <c r="X58" s="150">
        <f t="shared" si="6"/>
        <v>6.9230035211138088E-3</v>
      </c>
    </row>
    <row r="59" spans="1:24" ht="174" x14ac:dyDescent="0.35">
      <c r="A59" s="189"/>
      <c r="B59" s="189"/>
      <c r="C59" s="184"/>
      <c r="D59" s="184"/>
      <c r="E59" s="185" t="s">
        <v>8603</v>
      </c>
      <c r="F59" s="145" t="s">
        <v>8817</v>
      </c>
      <c r="G59" s="159" t="s">
        <v>8604</v>
      </c>
      <c r="H59" s="145" t="s">
        <v>8817</v>
      </c>
      <c r="I59" s="149"/>
      <c r="J59" s="149">
        <f t="shared" si="8"/>
        <v>0</v>
      </c>
      <c r="K59" s="149" t="e">
        <f t="shared" si="5"/>
        <v>#DIV/0!</v>
      </c>
      <c r="N59" s="150" t="s">
        <v>8639</v>
      </c>
      <c r="O59" s="150" t="s">
        <v>8830</v>
      </c>
      <c r="P59" s="150">
        <v>7.3428999999999996E-4</v>
      </c>
      <c r="Q59" s="153">
        <f t="shared" si="3"/>
        <v>6.9205265613200458E-3</v>
      </c>
      <c r="T59" s="150" t="s">
        <v>8628</v>
      </c>
      <c r="U59" s="150" t="s">
        <v>8900</v>
      </c>
      <c r="V59" s="150">
        <v>4.1913000000000002E-3</v>
      </c>
      <c r="W59" s="150">
        <v>3.7609999999999998E-4</v>
      </c>
      <c r="X59" s="150">
        <f t="shared" si="6"/>
        <v>6.7816367773373531E-3</v>
      </c>
    </row>
    <row r="60" spans="1:24" ht="174" x14ac:dyDescent="0.35">
      <c r="A60" s="189"/>
      <c r="B60" s="189"/>
      <c r="C60" s="184"/>
      <c r="D60" s="184"/>
      <c r="E60" s="185"/>
      <c r="F60" s="145" t="s">
        <v>8818</v>
      </c>
      <c r="G60" s="159" t="s">
        <v>8605</v>
      </c>
      <c r="H60" s="145" t="s">
        <v>8818</v>
      </c>
      <c r="I60" s="149"/>
      <c r="J60" s="149">
        <f t="shared" si="8"/>
        <v>0</v>
      </c>
      <c r="K60" s="149" t="e">
        <f t="shared" si="5"/>
        <v>#DIV/0!</v>
      </c>
      <c r="N60" s="150" t="s">
        <v>8614</v>
      </c>
      <c r="O60" s="150" t="s">
        <v>8822</v>
      </c>
      <c r="P60" s="150">
        <v>7.3393999999999998E-4</v>
      </c>
      <c r="Q60" s="153">
        <f t="shared" si="3"/>
        <v>6.9172278860058492E-3</v>
      </c>
      <c r="T60" s="150" t="s">
        <v>8563</v>
      </c>
      <c r="U60" s="150" t="s">
        <v>8920</v>
      </c>
      <c r="V60" s="150">
        <v>2.3888E-3</v>
      </c>
      <c r="W60" s="150">
        <v>2.1881E-4</v>
      </c>
      <c r="X60" s="150">
        <f t="shared" si="6"/>
        <v>3.9454664803222185E-3</v>
      </c>
    </row>
    <row r="61" spans="1:24" ht="333.5" x14ac:dyDescent="0.35">
      <c r="A61" s="189"/>
      <c r="B61" s="189"/>
      <c r="C61" s="184"/>
      <c r="D61" s="184"/>
      <c r="E61" s="145" t="s">
        <v>8606</v>
      </c>
      <c r="F61" s="145" t="s">
        <v>8607</v>
      </c>
      <c r="G61" s="159" t="s">
        <v>8608</v>
      </c>
      <c r="H61" s="145" t="s">
        <v>8607</v>
      </c>
      <c r="I61" s="149"/>
      <c r="J61" s="149">
        <f t="shared" si="8"/>
        <v>0</v>
      </c>
      <c r="K61" s="149" t="e">
        <f t="shared" si="5"/>
        <v>#DIV/0!</v>
      </c>
      <c r="N61" s="150" t="s">
        <v>8637</v>
      </c>
      <c r="O61" s="150" t="s">
        <v>8828</v>
      </c>
      <c r="P61" s="150">
        <v>7.3377999999999996E-4</v>
      </c>
      <c r="Q61" s="153">
        <f t="shared" si="3"/>
        <v>6.9157199201479299E-3</v>
      </c>
      <c r="T61" s="150" t="s">
        <v>8556</v>
      </c>
      <c r="U61" s="150" t="s">
        <v>8951</v>
      </c>
      <c r="V61" s="150">
        <v>1.9266000000000001E-3</v>
      </c>
      <c r="W61" s="150">
        <v>1.3595E-4</v>
      </c>
      <c r="X61" s="150">
        <f t="shared" si="6"/>
        <v>2.4513786755623857E-3</v>
      </c>
    </row>
    <row r="62" spans="1:24" ht="116" x14ac:dyDescent="0.35">
      <c r="A62" s="189"/>
      <c r="B62" s="189"/>
      <c r="C62" s="184"/>
      <c r="D62" s="184"/>
      <c r="E62" s="185" t="s">
        <v>8609</v>
      </c>
      <c r="F62" s="145" t="s">
        <v>8819</v>
      </c>
      <c r="G62" s="159" t="s">
        <v>8610</v>
      </c>
      <c r="H62" s="145" t="s">
        <v>8819</v>
      </c>
      <c r="I62" s="149"/>
      <c r="J62" s="149">
        <f t="shared" si="8"/>
        <v>0</v>
      </c>
      <c r="K62" s="149" t="e">
        <f t="shared" si="5"/>
        <v>#DIV/0!</v>
      </c>
      <c r="N62" s="150" t="s">
        <v>8638</v>
      </c>
      <c r="O62" s="150" t="s">
        <v>8829</v>
      </c>
      <c r="P62" s="150">
        <v>7.3362000000000004E-4</v>
      </c>
      <c r="Q62" s="153">
        <f t="shared" si="3"/>
        <v>6.9142119542900116E-3</v>
      </c>
      <c r="T62" s="150" t="s">
        <v>8594</v>
      </c>
      <c r="U62" s="150" t="s">
        <v>8945</v>
      </c>
      <c r="V62" s="150">
        <v>1.0150999999999999E-3</v>
      </c>
      <c r="W62" s="150">
        <v>5.0708000000000003E-5</v>
      </c>
      <c r="X62" s="150">
        <f t="shared" si="6"/>
        <v>9.1433990349700227E-4</v>
      </c>
    </row>
    <row r="63" spans="1:24" ht="130.5" x14ac:dyDescent="0.35">
      <c r="A63" s="189"/>
      <c r="B63" s="189"/>
      <c r="C63" s="184"/>
      <c r="D63" s="184"/>
      <c r="E63" s="185"/>
      <c r="F63" s="145" t="s">
        <v>8820</v>
      </c>
      <c r="G63" s="159" t="s">
        <v>8611</v>
      </c>
      <c r="H63" s="145" t="s">
        <v>8820</v>
      </c>
      <c r="I63" s="149"/>
      <c r="J63" s="149">
        <f t="shared" si="8"/>
        <v>0</v>
      </c>
      <c r="K63" s="149" t="e">
        <f t="shared" si="5"/>
        <v>#DIV/0!</v>
      </c>
      <c r="N63" s="150" t="s">
        <v>8601</v>
      </c>
      <c r="O63" s="150" t="s">
        <v>8815</v>
      </c>
      <c r="P63" s="150">
        <v>7.2979999999999996E-4</v>
      </c>
      <c r="Q63" s="153">
        <f t="shared" si="3"/>
        <v>6.8782092694321994E-3</v>
      </c>
      <c r="T63" s="150" t="s">
        <v>8591</v>
      </c>
      <c r="U63" s="150" t="s">
        <v>8922</v>
      </c>
      <c r="V63" s="150">
        <v>8.5981000000000002E-4</v>
      </c>
      <c r="W63" s="150">
        <v>4.295E-5</v>
      </c>
      <c r="X63" s="150">
        <f t="shared" si="6"/>
        <v>7.7445174045902504E-4</v>
      </c>
    </row>
    <row r="64" spans="1:24" ht="116" x14ac:dyDescent="0.35">
      <c r="A64" s="189"/>
      <c r="B64" s="189"/>
      <c r="C64" s="184"/>
      <c r="D64" s="184"/>
      <c r="E64" s="185" t="s">
        <v>8612</v>
      </c>
      <c r="F64" s="145" t="s">
        <v>8821</v>
      </c>
      <c r="G64" s="159" t="s">
        <v>8613</v>
      </c>
      <c r="H64" s="145" t="s">
        <v>8821</v>
      </c>
      <c r="I64" s="149"/>
      <c r="J64" s="149">
        <f t="shared" si="8"/>
        <v>0</v>
      </c>
      <c r="K64" s="149" t="e">
        <f t="shared" si="5"/>
        <v>#DIV/0!</v>
      </c>
      <c r="N64" s="150" t="s">
        <v>8640</v>
      </c>
      <c r="O64" s="150" t="s">
        <v>8831</v>
      </c>
      <c r="P64" s="150">
        <v>7.2933999999999998E-4</v>
      </c>
      <c r="Q64" s="153">
        <f t="shared" si="3"/>
        <v>6.8738738675906833E-3</v>
      </c>
      <c r="T64" s="150" t="s">
        <v>8742</v>
      </c>
      <c r="U64" s="150" t="s">
        <v>8952</v>
      </c>
      <c r="V64" s="150">
        <v>0</v>
      </c>
      <c r="W64" s="150">
        <v>0</v>
      </c>
      <c r="X64" s="150">
        <f t="shared" si="6"/>
        <v>0</v>
      </c>
    </row>
    <row r="65" spans="1:24" ht="145" x14ac:dyDescent="0.35">
      <c r="A65" s="189"/>
      <c r="B65" s="189"/>
      <c r="C65" s="184"/>
      <c r="D65" s="184"/>
      <c r="E65" s="185"/>
      <c r="F65" s="145" t="s">
        <v>8822</v>
      </c>
      <c r="G65" s="159" t="s">
        <v>8614</v>
      </c>
      <c r="H65" s="145" t="s">
        <v>8822</v>
      </c>
      <c r="I65" s="149"/>
      <c r="J65" s="149">
        <f t="shared" si="8"/>
        <v>0</v>
      </c>
      <c r="K65" s="149" t="e">
        <f t="shared" si="5"/>
        <v>#DIV/0!</v>
      </c>
      <c r="N65" s="150" t="s">
        <v>8608</v>
      </c>
      <c r="O65" s="150" t="s">
        <v>8607</v>
      </c>
      <c r="P65" s="150">
        <v>7.2816999999999999E-4</v>
      </c>
      <c r="Q65" s="153">
        <f t="shared" si="3"/>
        <v>6.8628468672546515E-3</v>
      </c>
      <c r="T65" s="150" t="s">
        <v>8953</v>
      </c>
      <c r="U65" s="150" t="s">
        <v>8954</v>
      </c>
      <c r="V65" s="150">
        <v>0</v>
      </c>
      <c r="W65" s="150">
        <v>0</v>
      </c>
      <c r="X65" s="150">
        <f t="shared" si="6"/>
        <v>0</v>
      </c>
    </row>
    <row r="66" spans="1:24" ht="101.5" x14ac:dyDescent="0.35">
      <c r="A66" s="189"/>
      <c r="B66" s="189"/>
      <c r="C66" s="184"/>
      <c r="D66" s="184"/>
      <c r="E66" s="145" t="s">
        <v>8615</v>
      </c>
      <c r="F66" s="145" t="s">
        <v>8616</v>
      </c>
      <c r="G66" s="159" t="s">
        <v>8617</v>
      </c>
      <c r="H66" s="145" t="s">
        <v>8616</v>
      </c>
      <c r="I66" s="149"/>
      <c r="J66" s="149">
        <f t="shared" si="8"/>
        <v>0</v>
      </c>
      <c r="K66" s="149" t="e">
        <f t="shared" ref="K66:K97" si="9">J66/SUM($J$2:$J$144)</f>
        <v>#DIV/0!</v>
      </c>
      <c r="N66" s="150" t="s">
        <v>8641</v>
      </c>
      <c r="O66" s="150" t="s">
        <v>8832</v>
      </c>
      <c r="P66" s="150">
        <v>7.2678E-4</v>
      </c>
      <c r="Q66" s="153">
        <f t="shared" si="3"/>
        <v>6.8497464138639825E-3</v>
      </c>
      <c r="T66" s="150" t="s">
        <v>8955</v>
      </c>
      <c r="U66" s="150" t="s">
        <v>8956</v>
      </c>
      <c r="V66" s="150">
        <v>0</v>
      </c>
      <c r="W66" s="150">
        <v>0</v>
      </c>
      <c r="X66" s="150">
        <f t="shared" ref="X66:X97" si="10">W66/SUM($W$2:$W$144)</f>
        <v>0</v>
      </c>
    </row>
    <row r="67" spans="1:24" ht="101.5" x14ac:dyDescent="0.35">
      <c r="A67" s="189"/>
      <c r="B67" s="189"/>
      <c r="C67" s="184"/>
      <c r="D67" s="184"/>
      <c r="E67" s="145" t="s">
        <v>8618</v>
      </c>
      <c r="F67" s="145" t="s">
        <v>8619</v>
      </c>
      <c r="G67" s="159" t="s">
        <v>8620</v>
      </c>
      <c r="H67" s="145" t="s">
        <v>8619</v>
      </c>
      <c r="I67" s="149"/>
      <c r="J67" s="149">
        <f t="shared" si="8"/>
        <v>0</v>
      </c>
      <c r="K67" s="149" t="e">
        <f t="shared" si="9"/>
        <v>#DIV/0!</v>
      </c>
      <c r="N67" s="150" t="s">
        <v>8610</v>
      </c>
      <c r="O67" s="150" t="s">
        <v>8819</v>
      </c>
      <c r="P67" s="150">
        <v>7.2632000000000003E-4</v>
      </c>
      <c r="Q67" s="153">
        <f t="shared" ref="Q67:Q130" si="11" xml:space="preserve"> P67/SUM($P$2:$P$144)</f>
        <v>6.8454110120224655E-3</v>
      </c>
      <c r="T67" s="150" t="s">
        <v>8957</v>
      </c>
      <c r="U67" s="150" t="s">
        <v>8958</v>
      </c>
      <c r="V67" s="150">
        <v>0</v>
      </c>
      <c r="W67" s="150">
        <v>0</v>
      </c>
      <c r="X67" s="150">
        <f t="shared" si="10"/>
        <v>0</v>
      </c>
    </row>
    <row r="68" spans="1:24" ht="145" x14ac:dyDescent="0.35">
      <c r="A68" s="189"/>
      <c r="B68" s="189"/>
      <c r="C68" s="184"/>
      <c r="D68" s="184"/>
      <c r="E68" s="185" t="s">
        <v>8621</v>
      </c>
      <c r="F68" s="145" t="s">
        <v>8823</v>
      </c>
      <c r="G68" s="159" t="s">
        <v>8622</v>
      </c>
      <c r="H68" s="145" t="s">
        <v>8823</v>
      </c>
      <c r="I68" s="149"/>
      <c r="J68" s="149">
        <f t="shared" si="8"/>
        <v>0</v>
      </c>
      <c r="K68" s="149" t="e">
        <f t="shared" si="9"/>
        <v>#DIV/0!</v>
      </c>
      <c r="N68" s="150" t="s">
        <v>8702</v>
      </c>
      <c r="O68" s="150" t="s">
        <v>8858</v>
      </c>
      <c r="P68" s="150">
        <v>7.2409999999999998E-4</v>
      </c>
      <c r="Q68" s="153">
        <f t="shared" si="11"/>
        <v>6.8244879857438413E-3</v>
      </c>
      <c r="T68" s="150" t="s">
        <v>8754</v>
      </c>
      <c r="U68" s="150" t="s">
        <v>8959</v>
      </c>
      <c r="V68" s="150">
        <v>0</v>
      </c>
      <c r="W68" s="150">
        <v>0</v>
      </c>
      <c r="X68" s="150">
        <f t="shared" si="10"/>
        <v>0</v>
      </c>
    </row>
    <row r="69" spans="1:24" ht="116" x14ac:dyDescent="0.35">
      <c r="A69" s="189"/>
      <c r="B69" s="189"/>
      <c r="C69" s="184"/>
      <c r="D69" s="184"/>
      <c r="E69" s="185"/>
      <c r="F69" s="145" t="s">
        <v>8824</v>
      </c>
      <c r="G69" s="159" t="s">
        <v>8623</v>
      </c>
      <c r="H69" s="145" t="s">
        <v>8824</v>
      </c>
      <c r="I69" s="149"/>
      <c r="J69" s="149">
        <f t="shared" si="8"/>
        <v>0</v>
      </c>
      <c r="K69" s="149" t="e">
        <f t="shared" si="9"/>
        <v>#DIV/0!</v>
      </c>
      <c r="N69" s="150" t="s">
        <v>8588</v>
      </c>
      <c r="O69" s="150" t="s">
        <v>8812</v>
      </c>
      <c r="P69" s="150">
        <v>7.1973000000000002E-4</v>
      </c>
      <c r="Q69" s="153">
        <f t="shared" si="11"/>
        <v>6.7833016682494343E-3</v>
      </c>
      <c r="T69" s="150" t="s">
        <v>8757</v>
      </c>
      <c r="U69" s="150" t="s">
        <v>8960</v>
      </c>
      <c r="V69" s="150">
        <v>0</v>
      </c>
      <c r="W69" s="150">
        <v>0</v>
      </c>
      <c r="X69" s="150">
        <f t="shared" si="10"/>
        <v>0</v>
      </c>
    </row>
    <row r="70" spans="1:24" ht="116" x14ac:dyDescent="0.35">
      <c r="A70" s="189"/>
      <c r="B70" s="189"/>
      <c r="C70" s="184"/>
      <c r="D70" s="184"/>
      <c r="E70" s="185"/>
      <c r="F70" s="145" t="s">
        <v>8825</v>
      </c>
      <c r="G70" s="159" t="s">
        <v>8624</v>
      </c>
      <c r="H70" s="145" t="s">
        <v>8825</v>
      </c>
      <c r="I70" s="149"/>
      <c r="J70" s="149">
        <f t="shared" si="8"/>
        <v>0</v>
      </c>
      <c r="K70" s="149" t="e">
        <f t="shared" si="9"/>
        <v>#DIV/0!</v>
      </c>
      <c r="N70" s="150" t="s">
        <v>8584</v>
      </c>
      <c r="O70" s="150" t="s">
        <v>8808</v>
      </c>
      <c r="P70" s="150">
        <v>7.1604000000000004E-4</v>
      </c>
      <c r="Q70" s="153">
        <f t="shared" si="11"/>
        <v>6.7485242056511815E-3</v>
      </c>
      <c r="T70" s="150" t="s">
        <v>8764</v>
      </c>
      <c r="U70" s="150" t="s">
        <v>8883</v>
      </c>
      <c r="V70" s="150">
        <v>1.9042E-3</v>
      </c>
      <c r="W70" s="150">
        <v>0</v>
      </c>
      <c r="X70" s="150">
        <f t="shared" si="10"/>
        <v>0</v>
      </c>
    </row>
    <row r="71" spans="1:24" ht="72.5" x14ac:dyDescent="0.35">
      <c r="A71" s="189"/>
      <c r="B71" s="189"/>
      <c r="C71" s="184"/>
      <c r="D71" s="184"/>
      <c r="E71" s="145" t="s">
        <v>8625</v>
      </c>
      <c r="F71" s="145" t="s">
        <v>8626</v>
      </c>
      <c r="G71" s="159" t="s">
        <v>8627</v>
      </c>
      <c r="H71" s="145" t="s">
        <v>8626</v>
      </c>
      <c r="I71" s="149"/>
      <c r="J71" s="149">
        <f t="shared" si="8"/>
        <v>0</v>
      </c>
      <c r="K71" s="149" t="e">
        <f t="shared" si="9"/>
        <v>#DIV/0!</v>
      </c>
      <c r="N71" s="150" t="s">
        <v>8585</v>
      </c>
      <c r="O71" s="150" t="s">
        <v>8809</v>
      </c>
      <c r="P71" s="150">
        <v>7.0697999999999996E-4</v>
      </c>
      <c r="Q71" s="153">
        <f t="shared" si="11"/>
        <v>6.6631356389465282E-3</v>
      </c>
      <c r="T71" s="150" t="s">
        <v>8574</v>
      </c>
      <c r="U71" s="150" t="s">
        <v>8934</v>
      </c>
      <c r="V71" s="150">
        <v>4.9179000000000002E-3</v>
      </c>
      <c r="W71" s="150">
        <v>4.4874999999999998E-4</v>
      </c>
      <c r="X71" s="150">
        <f t="shared" si="10"/>
        <v>8.0916232486842252E-3</v>
      </c>
    </row>
    <row r="72" spans="1:24" ht="72.5" x14ac:dyDescent="0.35">
      <c r="A72" s="189"/>
      <c r="B72" s="189"/>
      <c r="C72" s="184"/>
      <c r="D72" s="184"/>
      <c r="E72" s="145" t="s">
        <v>8628</v>
      </c>
      <c r="F72" s="145" t="s">
        <v>8629</v>
      </c>
      <c r="G72" s="159" t="s">
        <v>8630</v>
      </c>
      <c r="H72" s="145" t="s">
        <v>8629</v>
      </c>
      <c r="I72" s="149"/>
      <c r="J72" s="149">
        <f t="shared" si="8"/>
        <v>0</v>
      </c>
      <c r="K72" s="149" t="e">
        <f t="shared" si="9"/>
        <v>#DIV/0!</v>
      </c>
      <c r="N72" s="150" t="s">
        <v>8720</v>
      </c>
      <c r="O72" s="150" t="s">
        <v>8873</v>
      </c>
      <c r="P72" s="150">
        <v>6.9539999999999999E-4</v>
      </c>
      <c r="Q72" s="153">
        <f t="shared" si="11"/>
        <v>6.5539966099796539E-3</v>
      </c>
      <c r="T72" s="150" t="s">
        <v>8559</v>
      </c>
      <c r="U72" s="150" t="s">
        <v>8935</v>
      </c>
      <c r="V72" s="150">
        <v>7.7488000000000001E-3</v>
      </c>
      <c r="W72" s="150">
        <v>4.4744000000000001E-4</v>
      </c>
      <c r="X72" s="150">
        <f t="shared" si="10"/>
        <v>8.068002019813416E-3</v>
      </c>
    </row>
    <row r="73" spans="1:24" ht="116" x14ac:dyDescent="0.35">
      <c r="A73" s="189"/>
      <c r="B73" s="189"/>
      <c r="C73" s="184"/>
      <c r="D73" s="184"/>
      <c r="E73" s="145" t="s">
        <v>8631</v>
      </c>
      <c r="F73" s="145" t="s">
        <v>8632</v>
      </c>
      <c r="G73" s="159" t="s">
        <v>8633</v>
      </c>
      <c r="H73" s="145" t="s">
        <v>8632</v>
      </c>
      <c r="I73" s="149"/>
      <c r="J73" s="149">
        <f t="shared" si="8"/>
        <v>0</v>
      </c>
      <c r="K73" s="149" t="e">
        <f t="shared" si="9"/>
        <v>#DIV/0!</v>
      </c>
      <c r="N73" s="150" t="s">
        <v>8769</v>
      </c>
      <c r="O73" s="150" t="s">
        <v>8804</v>
      </c>
      <c r="P73" s="150">
        <v>6.7102000000000004E-4</v>
      </c>
      <c r="Q73" s="153">
        <f t="shared" si="11"/>
        <v>6.3242203123792745E-3</v>
      </c>
      <c r="T73" s="150" t="s">
        <v>8643</v>
      </c>
      <c r="U73" s="150" t="s">
        <v>8936</v>
      </c>
      <c r="V73" s="150">
        <v>6.5640999999999998E-3</v>
      </c>
      <c r="W73" s="150">
        <v>4.3654000000000002E-4</v>
      </c>
      <c r="X73" s="150">
        <f t="shared" si="10"/>
        <v>7.8714589704303329E-3</v>
      </c>
    </row>
    <row r="74" spans="1:24" ht="101.5" x14ac:dyDescent="0.35">
      <c r="A74" s="189"/>
      <c r="B74" s="189"/>
      <c r="C74" s="184"/>
      <c r="D74" s="184"/>
      <c r="E74" s="185" t="s">
        <v>8634</v>
      </c>
      <c r="F74" s="145" t="s">
        <v>8826</v>
      </c>
      <c r="G74" s="155" t="s">
        <v>8635</v>
      </c>
      <c r="H74" s="145" t="s">
        <v>8826</v>
      </c>
      <c r="I74" s="149"/>
      <c r="J74" s="149">
        <f t="shared" si="8"/>
        <v>0</v>
      </c>
      <c r="K74" s="149" t="e">
        <f t="shared" si="9"/>
        <v>#DIV/0!</v>
      </c>
      <c r="N74" s="150" t="s">
        <v>8611</v>
      </c>
      <c r="O74" s="150" t="s">
        <v>8820</v>
      </c>
      <c r="P74" s="150">
        <v>6.6792999999999996E-4</v>
      </c>
      <c r="Q74" s="153">
        <f t="shared" si="11"/>
        <v>6.2950977217482171E-3</v>
      </c>
      <c r="T74" s="150" t="s">
        <v>8643</v>
      </c>
      <c r="U74" s="150" t="s">
        <v>8936</v>
      </c>
      <c r="V74" s="150">
        <v>6.5640999999999998E-3</v>
      </c>
      <c r="W74" s="150">
        <v>4.3654000000000002E-4</v>
      </c>
      <c r="X74" s="150">
        <f t="shared" si="10"/>
        <v>7.8714589704303329E-3</v>
      </c>
    </row>
    <row r="75" spans="1:24" ht="101.5" x14ac:dyDescent="0.35">
      <c r="A75" s="189"/>
      <c r="B75" s="189"/>
      <c r="C75" s="184"/>
      <c r="D75" s="184"/>
      <c r="E75" s="185"/>
      <c r="F75" s="145" t="s">
        <v>8827</v>
      </c>
      <c r="G75" s="159" t="s">
        <v>8636</v>
      </c>
      <c r="H75" s="145" t="s">
        <v>8827</v>
      </c>
      <c r="I75" s="149"/>
      <c r="J75" s="149">
        <f t="shared" si="8"/>
        <v>0</v>
      </c>
      <c r="K75" s="149" t="e">
        <f t="shared" si="9"/>
        <v>#DIV/0!</v>
      </c>
      <c r="N75" s="150" t="s">
        <v>8633</v>
      </c>
      <c r="O75" s="150" t="s">
        <v>8632</v>
      </c>
      <c r="P75" s="150">
        <v>6.6664000000000003E-4</v>
      </c>
      <c r="Q75" s="153">
        <f t="shared" si="11"/>
        <v>6.2829397470187476E-3</v>
      </c>
      <c r="T75" s="150" t="s">
        <v>8679</v>
      </c>
      <c r="U75" s="150" t="s">
        <v>8937</v>
      </c>
      <c r="V75" s="150">
        <v>8.2806000000000008E-3</v>
      </c>
      <c r="W75" s="150">
        <v>4.2731000000000003E-4</v>
      </c>
      <c r="X75" s="150">
        <f t="shared" si="10"/>
        <v>7.7050284799894302E-3</v>
      </c>
    </row>
    <row r="76" spans="1:24" ht="101.5" x14ac:dyDescent="0.35">
      <c r="A76" s="189"/>
      <c r="B76" s="189"/>
      <c r="C76" s="184"/>
      <c r="D76" s="184"/>
      <c r="E76" s="185"/>
      <c r="F76" s="145" t="s">
        <v>8828</v>
      </c>
      <c r="G76" s="159" t="s">
        <v>8637</v>
      </c>
      <c r="H76" s="145" t="s">
        <v>8828</v>
      </c>
      <c r="I76" s="149"/>
      <c r="J76" s="149">
        <f t="shared" si="8"/>
        <v>0</v>
      </c>
      <c r="K76" s="149" t="e">
        <f t="shared" si="9"/>
        <v>#DIV/0!</v>
      </c>
      <c r="N76" s="150" t="s">
        <v>8512</v>
      </c>
      <c r="O76" s="150" t="s">
        <v>8779</v>
      </c>
      <c r="P76" s="150">
        <v>6.2732E-4</v>
      </c>
      <c r="Q76" s="153">
        <f t="shared" si="11"/>
        <v>5.9123571374351978E-3</v>
      </c>
      <c r="T76" s="150" t="s">
        <v>8679</v>
      </c>
      <c r="U76" s="150" t="s">
        <v>8937</v>
      </c>
      <c r="V76" s="150">
        <v>8.2806000000000008E-3</v>
      </c>
      <c r="W76" s="150">
        <v>4.2731000000000003E-4</v>
      </c>
      <c r="X76" s="150">
        <f t="shared" si="10"/>
        <v>7.7050284799894302E-3</v>
      </c>
    </row>
    <row r="77" spans="1:24" ht="101.5" x14ac:dyDescent="0.35">
      <c r="A77" s="189"/>
      <c r="B77" s="189"/>
      <c r="C77" s="184"/>
      <c r="D77" s="184"/>
      <c r="E77" s="185"/>
      <c r="F77" s="145" t="s">
        <v>8829</v>
      </c>
      <c r="G77" s="159" t="s">
        <v>8638</v>
      </c>
      <c r="H77" s="145" t="s">
        <v>8829</v>
      </c>
      <c r="I77" s="149"/>
      <c r="J77" s="149">
        <f t="shared" si="8"/>
        <v>0</v>
      </c>
      <c r="K77" s="149" t="e">
        <f t="shared" si="9"/>
        <v>#DIV/0!</v>
      </c>
      <c r="N77" s="150" t="s">
        <v>8533</v>
      </c>
      <c r="O77" s="150" t="s">
        <v>8794</v>
      </c>
      <c r="P77" s="150">
        <v>6.0594000000000002E-4</v>
      </c>
      <c r="Q77" s="153">
        <f t="shared" si="11"/>
        <v>5.7108551996707963E-3</v>
      </c>
      <c r="T77" s="150" t="s">
        <v>8692</v>
      </c>
      <c r="U77" s="150" t="s">
        <v>8938</v>
      </c>
      <c r="V77" s="150">
        <v>8.2435000000000008E-3</v>
      </c>
      <c r="W77" s="150">
        <v>4.2539999999999999E-4</v>
      </c>
      <c r="X77" s="150">
        <f t="shared" si="10"/>
        <v>7.6705883676663391E-3</v>
      </c>
    </row>
    <row r="78" spans="1:24" ht="101.5" x14ac:dyDescent="0.35">
      <c r="A78" s="189"/>
      <c r="B78" s="189"/>
      <c r="C78" s="184"/>
      <c r="D78" s="184"/>
      <c r="E78" s="185"/>
      <c r="F78" s="145" t="s">
        <v>8830</v>
      </c>
      <c r="G78" s="159" t="s">
        <v>8639</v>
      </c>
      <c r="H78" s="145" t="s">
        <v>8830</v>
      </c>
      <c r="I78" s="149"/>
      <c r="J78" s="149">
        <f t="shared" si="8"/>
        <v>0</v>
      </c>
      <c r="K78" s="149" t="e">
        <f t="shared" si="9"/>
        <v>#DIV/0!</v>
      </c>
      <c r="N78" s="150" t="s">
        <v>8537</v>
      </c>
      <c r="O78" s="150" t="s">
        <v>8787</v>
      </c>
      <c r="P78" s="150">
        <v>5.976E-4</v>
      </c>
      <c r="Q78" s="153">
        <f t="shared" si="11"/>
        <v>5.6322524793267778E-3</v>
      </c>
      <c r="T78" s="150" t="s">
        <v>8939</v>
      </c>
      <c r="U78" s="150" t="s">
        <v>8940</v>
      </c>
      <c r="V78" s="150">
        <v>7.9565E-3</v>
      </c>
      <c r="W78" s="150">
        <v>4.1059000000000001E-4</v>
      </c>
      <c r="X78" s="150">
        <f t="shared" si="10"/>
        <v>7.4035422611192347E-3</v>
      </c>
    </row>
    <row r="79" spans="1:24" ht="101.5" x14ac:dyDescent="0.35">
      <c r="A79" s="189"/>
      <c r="B79" s="189"/>
      <c r="C79" s="184"/>
      <c r="D79" s="184"/>
      <c r="E79" s="185"/>
      <c r="F79" s="145" t="s">
        <v>8831</v>
      </c>
      <c r="G79" s="159" t="s">
        <v>8640</v>
      </c>
      <c r="H79" s="145" t="s">
        <v>8831</v>
      </c>
      <c r="I79" s="149"/>
      <c r="J79" s="149">
        <f t="shared" si="8"/>
        <v>0</v>
      </c>
      <c r="K79" s="149" t="e">
        <f t="shared" si="9"/>
        <v>#DIV/0!</v>
      </c>
      <c r="N79" s="150" t="s">
        <v>8772</v>
      </c>
      <c r="O79" s="150" t="s">
        <v>8550</v>
      </c>
      <c r="P79" s="150">
        <v>5.9206000000000005E-4</v>
      </c>
      <c r="Q79" s="153">
        <f t="shared" si="11"/>
        <v>5.5800391614963391E-3</v>
      </c>
      <c r="T79" s="150" t="s">
        <v>8939</v>
      </c>
      <c r="U79" s="150" t="s">
        <v>8940</v>
      </c>
      <c r="V79" s="150">
        <v>7.9565E-3</v>
      </c>
      <c r="W79" s="150">
        <v>4.1059000000000001E-4</v>
      </c>
      <c r="X79" s="150">
        <f t="shared" si="10"/>
        <v>7.4035422611192347E-3</v>
      </c>
    </row>
    <row r="80" spans="1:24" ht="101.5" x14ac:dyDescent="0.35">
      <c r="A80" s="189"/>
      <c r="B80" s="189"/>
      <c r="C80" s="184"/>
      <c r="D80" s="184"/>
      <c r="E80" s="185"/>
      <c r="F80" s="145" t="s">
        <v>8832</v>
      </c>
      <c r="G80" s="159" t="s">
        <v>8641</v>
      </c>
      <c r="H80" s="145" t="s">
        <v>8832</v>
      </c>
      <c r="I80" s="149"/>
      <c r="J80" s="149">
        <f>$B$56*$D$56*I80</f>
        <v>0</v>
      </c>
      <c r="K80" s="149" t="e">
        <f t="shared" si="9"/>
        <v>#DIV/0!</v>
      </c>
      <c r="N80" s="150" t="s">
        <v>8539</v>
      </c>
      <c r="O80" s="150" t="s">
        <v>8789</v>
      </c>
      <c r="P80" s="150">
        <v>5.9203999999999995E-4</v>
      </c>
      <c r="Q80" s="153">
        <f t="shared" si="11"/>
        <v>5.5798506657640983E-3</v>
      </c>
      <c r="T80" s="150" t="s">
        <v>8658</v>
      </c>
      <c r="U80" s="150" t="s">
        <v>8941</v>
      </c>
      <c r="V80" s="150">
        <v>7.9445999999999996E-3</v>
      </c>
      <c r="W80" s="150">
        <v>4.0997000000000001E-4</v>
      </c>
      <c r="X80" s="150">
        <f t="shared" si="10"/>
        <v>7.3923627482185448E-3</v>
      </c>
    </row>
    <row r="81" spans="1:24" ht="101.5" x14ac:dyDescent="0.35">
      <c r="A81" s="189"/>
      <c r="B81" s="189"/>
      <c r="C81" s="184" t="s">
        <v>8642</v>
      </c>
      <c r="D81" s="184">
        <v>0.31784299577489605</v>
      </c>
      <c r="E81" s="185" t="s">
        <v>8643</v>
      </c>
      <c r="F81" s="145" t="s">
        <v>8833</v>
      </c>
      <c r="G81" s="155" t="s">
        <v>8644</v>
      </c>
      <c r="H81" s="145" t="s">
        <v>8833</v>
      </c>
      <c r="I81" s="149"/>
      <c r="J81" s="149">
        <f>$B$56*$D$81*I81</f>
        <v>0</v>
      </c>
      <c r="K81" s="149" t="e">
        <f t="shared" si="9"/>
        <v>#DIV/0!</v>
      </c>
      <c r="N81" s="150" t="s">
        <v>8541</v>
      </c>
      <c r="O81" s="150" t="s">
        <v>8791</v>
      </c>
      <c r="P81" s="150">
        <v>5.9186999999999998E-4</v>
      </c>
      <c r="Q81" s="153">
        <f t="shared" si="11"/>
        <v>5.57824845204006E-3</v>
      </c>
      <c r="T81" s="150" t="s">
        <v>8686</v>
      </c>
      <c r="U81" s="150" t="s">
        <v>8942</v>
      </c>
      <c r="V81" s="150">
        <v>7.3220999999999998E-3</v>
      </c>
      <c r="W81" s="150">
        <v>3.7785E-4</v>
      </c>
      <c r="X81" s="150">
        <f t="shared" si="10"/>
        <v>6.8131918540731695E-3</v>
      </c>
    </row>
    <row r="82" spans="1:24" ht="101.5" x14ac:dyDescent="0.35">
      <c r="A82" s="189"/>
      <c r="B82" s="189"/>
      <c r="C82" s="184"/>
      <c r="D82" s="184"/>
      <c r="E82" s="185"/>
      <c r="F82" s="145" t="s">
        <v>8834</v>
      </c>
      <c r="G82" s="159" t="s">
        <v>8645</v>
      </c>
      <c r="H82" s="145" t="s">
        <v>8834</v>
      </c>
      <c r="I82" s="149"/>
      <c r="J82" s="149">
        <f t="shared" ref="J82:J90" si="12">$B$56*$D$81*I82</f>
        <v>0</v>
      </c>
      <c r="K82" s="149" t="e">
        <f t="shared" si="9"/>
        <v>#DIV/0!</v>
      </c>
      <c r="N82" s="150" t="s">
        <v>8546</v>
      </c>
      <c r="O82" s="150" t="s">
        <v>8796</v>
      </c>
      <c r="P82" s="150">
        <v>5.9073999999999997E-4</v>
      </c>
      <c r="Q82" s="153">
        <f t="shared" si="11"/>
        <v>5.5675984431685088E-3</v>
      </c>
      <c r="T82" s="150" t="s">
        <v>8683</v>
      </c>
      <c r="U82" s="150" t="s">
        <v>8943</v>
      </c>
      <c r="V82" s="150">
        <v>7.2230000000000003E-3</v>
      </c>
      <c r="W82" s="150">
        <v>3.7273999999999999E-4</v>
      </c>
      <c r="X82" s="150">
        <f t="shared" si="10"/>
        <v>6.7210510300045869E-3</v>
      </c>
    </row>
    <row r="83" spans="1:24" ht="101.5" x14ac:dyDescent="0.35">
      <c r="A83" s="189"/>
      <c r="B83" s="189"/>
      <c r="C83" s="184"/>
      <c r="D83" s="184"/>
      <c r="E83" s="185"/>
      <c r="F83" s="145" t="s">
        <v>8835</v>
      </c>
      <c r="G83" s="159" t="s">
        <v>8646</v>
      </c>
      <c r="H83" s="145" t="s">
        <v>8835</v>
      </c>
      <c r="I83" s="149"/>
      <c r="J83" s="149">
        <f t="shared" si="12"/>
        <v>0</v>
      </c>
      <c r="K83" s="149" t="e">
        <f t="shared" si="9"/>
        <v>#DIV/0!</v>
      </c>
      <c r="N83" s="150" t="s">
        <v>8600</v>
      </c>
      <c r="O83" s="150" t="s">
        <v>8814</v>
      </c>
      <c r="P83" s="150">
        <v>5.8609000000000005E-4</v>
      </c>
      <c r="Q83" s="153">
        <f t="shared" si="11"/>
        <v>5.5237731854227432E-3</v>
      </c>
      <c r="T83" s="150" t="s">
        <v>8683</v>
      </c>
      <c r="U83" s="150" t="s">
        <v>8943</v>
      </c>
      <c r="V83" s="150">
        <v>7.2230000000000003E-3</v>
      </c>
      <c r="W83" s="150">
        <v>3.7273999999999999E-4</v>
      </c>
      <c r="X83" s="150">
        <f t="shared" si="10"/>
        <v>6.7210510300045869E-3</v>
      </c>
    </row>
    <row r="84" spans="1:24" ht="116" x14ac:dyDescent="0.35">
      <c r="A84" s="189"/>
      <c r="B84" s="189"/>
      <c r="C84" s="184"/>
      <c r="D84" s="184"/>
      <c r="E84" s="185"/>
      <c r="F84" s="145" t="s">
        <v>8836</v>
      </c>
      <c r="G84" s="159" t="s">
        <v>8647</v>
      </c>
      <c r="H84" s="145" t="s">
        <v>8836</v>
      </c>
      <c r="I84" s="149"/>
      <c r="J84" s="149">
        <f t="shared" si="12"/>
        <v>0</v>
      </c>
      <c r="K84" s="149" t="e">
        <f t="shared" si="9"/>
        <v>#DIV/0!</v>
      </c>
      <c r="N84" s="150" t="s">
        <v>8561</v>
      </c>
      <c r="O84" s="150" t="s">
        <v>8560</v>
      </c>
      <c r="P84" s="150">
        <v>5.8305E-4</v>
      </c>
      <c r="Q84" s="153">
        <f t="shared" si="11"/>
        <v>5.4951218341222855E-3</v>
      </c>
      <c r="T84" s="150" t="s">
        <v>8544</v>
      </c>
      <c r="U84" s="150" t="s">
        <v>8944</v>
      </c>
      <c r="V84" s="150">
        <v>5.9394000000000001E-3</v>
      </c>
      <c r="W84" s="150">
        <v>3.4296000000000001E-4</v>
      </c>
      <c r="X84" s="150">
        <f t="shared" si="10"/>
        <v>6.1840737813231026E-3</v>
      </c>
    </row>
    <row r="85" spans="1:24" ht="87" x14ac:dyDescent="0.35">
      <c r="A85" s="189"/>
      <c r="B85" s="189"/>
      <c r="C85" s="184"/>
      <c r="D85" s="184"/>
      <c r="E85" s="185" t="s">
        <v>8648</v>
      </c>
      <c r="F85" s="145" t="s">
        <v>8837</v>
      </c>
      <c r="G85" s="159" t="s">
        <v>8649</v>
      </c>
      <c r="H85" s="145" t="s">
        <v>8837</v>
      </c>
      <c r="I85" s="149"/>
      <c r="J85" s="149">
        <f t="shared" si="12"/>
        <v>0</v>
      </c>
      <c r="K85" s="149" t="e">
        <f t="shared" si="9"/>
        <v>#DIV/0!</v>
      </c>
      <c r="N85" s="150" t="s">
        <v>8554</v>
      </c>
      <c r="O85" s="150" t="s">
        <v>8800</v>
      </c>
      <c r="P85" s="150">
        <v>5.8290999999999996E-4</v>
      </c>
      <c r="Q85" s="153">
        <f t="shared" si="11"/>
        <v>5.4938023639966062E-3</v>
      </c>
      <c r="T85" s="150" t="s">
        <v>8544</v>
      </c>
      <c r="U85" s="150" t="s">
        <v>8944</v>
      </c>
      <c r="V85" s="150">
        <v>5.9394000000000001E-3</v>
      </c>
      <c r="W85" s="150">
        <v>3.4296000000000001E-4</v>
      </c>
      <c r="X85" s="150">
        <f t="shared" si="10"/>
        <v>6.1840737813231026E-3</v>
      </c>
    </row>
    <row r="86" spans="1:24" ht="72.5" x14ac:dyDescent="0.35">
      <c r="A86" s="189"/>
      <c r="B86" s="189"/>
      <c r="C86" s="184"/>
      <c r="D86" s="184"/>
      <c r="E86" s="185"/>
      <c r="F86" s="145" t="s">
        <v>8838</v>
      </c>
      <c r="G86" s="159" t="s">
        <v>8650</v>
      </c>
      <c r="H86" s="145" t="s">
        <v>8838</v>
      </c>
      <c r="I86" s="149"/>
      <c r="J86" s="149">
        <f t="shared" si="12"/>
        <v>0</v>
      </c>
      <c r="K86" s="149" t="e">
        <f t="shared" si="9"/>
        <v>#DIV/0!</v>
      </c>
      <c r="N86" s="150" t="s">
        <v>8534</v>
      </c>
      <c r="O86" s="150" t="s">
        <v>8784</v>
      </c>
      <c r="P86" s="150">
        <v>5.8109000000000004E-4</v>
      </c>
      <c r="Q86" s="153">
        <f t="shared" si="11"/>
        <v>5.4766492523627801E-3</v>
      </c>
      <c r="T86" s="150" t="s">
        <v>8594</v>
      </c>
      <c r="U86" s="150" t="s">
        <v>8945</v>
      </c>
      <c r="V86" s="150">
        <v>5.7305000000000004E-3</v>
      </c>
      <c r="W86" s="150">
        <v>3.344E-4</v>
      </c>
      <c r="X86" s="150">
        <f t="shared" si="10"/>
        <v>6.0297243774039113E-3</v>
      </c>
    </row>
    <row r="87" spans="1:24" ht="101.5" x14ac:dyDescent="0.35">
      <c r="A87" s="189"/>
      <c r="B87" s="189"/>
      <c r="C87" s="184"/>
      <c r="D87" s="184"/>
      <c r="E87" s="185"/>
      <c r="F87" s="145" t="s">
        <v>8839</v>
      </c>
      <c r="G87" s="159" t="s">
        <v>8651</v>
      </c>
      <c r="H87" s="145" t="s">
        <v>8839</v>
      </c>
      <c r="I87" s="149"/>
      <c r="J87" s="149">
        <f t="shared" si="12"/>
        <v>0</v>
      </c>
      <c r="K87" s="149" t="e">
        <f t="shared" si="9"/>
        <v>#DIV/0!</v>
      </c>
      <c r="N87" s="150" t="s">
        <v>8542</v>
      </c>
      <c r="O87" s="150" t="s">
        <v>8792</v>
      </c>
      <c r="P87" s="150">
        <v>5.8034999999999998E-4</v>
      </c>
      <c r="Q87" s="153">
        <f t="shared" si="11"/>
        <v>5.4696749102699053E-3</v>
      </c>
      <c r="T87" s="150" t="s">
        <v>8946</v>
      </c>
      <c r="U87" s="150" t="s">
        <v>8947</v>
      </c>
      <c r="V87" s="150">
        <v>6.2287000000000002E-3</v>
      </c>
      <c r="W87" s="150">
        <v>3.2142999999999999E-4</v>
      </c>
      <c r="X87" s="150">
        <f t="shared" si="10"/>
        <v>5.7958561801104641E-3</v>
      </c>
    </row>
    <row r="88" spans="1:24" ht="87" x14ac:dyDescent="0.35">
      <c r="A88" s="189"/>
      <c r="B88" s="189"/>
      <c r="C88" s="184"/>
      <c r="D88" s="184"/>
      <c r="E88" s="185"/>
      <c r="F88" s="145" t="s">
        <v>8840</v>
      </c>
      <c r="G88" s="159" t="s">
        <v>8652</v>
      </c>
      <c r="H88" s="145" t="s">
        <v>8840</v>
      </c>
      <c r="I88" s="149"/>
      <c r="J88" s="149">
        <f t="shared" si="12"/>
        <v>0</v>
      </c>
      <c r="K88" s="149" t="e">
        <f t="shared" si="9"/>
        <v>#DIV/0!</v>
      </c>
      <c r="N88" s="150" t="s">
        <v>8645</v>
      </c>
      <c r="O88" s="150" t="s">
        <v>8834</v>
      </c>
      <c r="P88" s="150">
        <v>5.7735999999999996E-4</v>
      </c>
      <c r="Q88" s="153">
        <f t="shared" si="11"/>
        <v>5.4414947983000474E-3</v>
      </c>
      <c r="T88" s="150" t="s">
        <v>8946</v>
      </c>
      <c r="U88" s="150" t="s">
        <v>8947</v>
      </c>
      <c r="V88" s="150">
        <v>6.2287000000000002E-3</v>
      </c>
      <c r="W88" s="150">
        <v>3.2142999999999999E-4</v>
      </c>
      <c r="X88" s="150">
        <f t="shared" si="10"/>
        <v>5.7958561801104641E-3</v>
      </c>
    </row>
    <row r="89" spans="1:24" ht="87" x14ac:dyDescent="0.35">
      <c r="A89" s="189"/>
      <c r="B89" s="189"/>
      <c r="C89" s="184"/>
      <c r="D89" s="184"/>
      <c r="E89" s="185" t="s">
        <v>8653</v>
      </c>
      <c r="F89" s="145" t="s">
        <v>8841</v>
      </c>
      <c r="G89" s="159" t="s">
        <v>8654</v>
      </c>
      <c r="H89" s="145" t="s">
        <v>8841</v>
      </c>
      <c r="I89" s="149"/>
      <c r="J89" s="149">
        <f t="shared" si="12"/>
        <v>0</v>
      </c>
      <c r="K89" s="149" t="e">
        <f t="shared" si="9"/>
        <v>#DIV/0!</v>
      </c>
      <c r="N89" s="150" t="s">
        <v>8540</v>
      </c>
      <c r="O89" s="150" t="s">
        <v>8790</v>
      </c>
      <c r="P89" s="150">
        <v>5.7448999999999998E-4</v>
      </c>
      <c r="Q89" s="153">
        <f t="shared" si="11"/>
        <v>5.414445660723629E-3</v>
      </c>
      <c r="T89" s="150" t="s">
        <v>8661</v>
      </c>
      <c r="U89" s="150" t="s">
        <v>8948</v>
      </c>
      <c r="V89" s="150">
        <v>5.1694999999999996E-3</v>
      </c>
      <c r="W89" s="150">
        <v>2.6676E-4</v>
      </c>
      <c r="X89" s="150">
        <f t="shared" si="10"/>
        <v>4.8100755828835743E-3</v>
      </c>
    </row>
    <row r="90" spans="1:24" ht="87" x14ac:dyDescent="0.35">
      <c r="A90" s="189"/>
      <c r="B90" s="189"/>
      <c r="C90" s="184"/>
      <c r="D90" s="184"/>
      <c r="E90" s="185"/>
      <c r="F90" s="145" t="s">
        <v>8842</v>
      </c>
      <c r="G90" s="159" t="s">
        <v>8655</v>
      </c>
      <c r="H90" s="145" t="s">
        <v>8842</v>
      </c>
      <c r="I90" s="149"/>
      <c r="J90" s="149">
        <f t="shared" si="12"/>
        <v>0</v>
      </c>
      <c r="K90" s="149" t="e">
        <f t="shared" si="9"/>
        <v>#DIV/0!</v>
      </c>
      <c r="N90" s="150" t="s">
        <v>8646</v>
      </c>
      <c r="O90" s="150" t="s">
        <v>8835</v>
      </c>
      <c r="P90" s="150">
        <v>5.7388000000000003E-4</v>
      </c>
      <c r="Q90" s="153">
        <f t="shared" si="11"/>
        <v>5.4086965408903136E-3</v>
      </c>
      <c r="T90" s="150" t="s">
        <v>8661</v>
      </c>
      <c r="U90" s="150" t="s">
        <v>8948</v>
      </c>
      <c r="V90" s="150">
        <v>5.1694999999999996E-3</v>
      </c>
      <c r="W90" s="150">
        <v>2.6676E-4</v>
      </c>
      <c r="X90" s="150">
        <f t="shared" si="10"/>
        <v>4.8100755828835743E-3</v>
      </c>
    </row>
    <row r="91" spans="1:24" ht="87" x14ac:dyDescent="0.35">
      <c r="A91" s="189"/>
      <c r="B91" s="189"/>
      <c r="C91" s="184"/>
      <c r="D91" s="184"/>
      <c r="E91" s="185"/>
      <c r="F91" s="145" t="s">
        <v>8843</v>
      </c>
      <c r="G91" s="159" t="s">
        <v>8656</v>
      </c>
      <c r="H91" s="145" t="s">
        <v>8843</v>
      </c>
      <c r="I91" s="149"/>
      <c r="J91" s="149">
        <f>$B$56*$D$81*I91</f>
        <v>0</v>
      </c>
      <c r="K91" s="149" t="e">
        <f t="shared" si="9"/>
        <v>#DIV/0!</v>
      </c>
      <c r="N91" s="150" t="s">
        <v>8765</v>
      </c>
      <c r="O91" s="150" t="s">
        <v>8826</v>
      </c>
      <c r="P91" s="150">
        <v>5.7284999999999997E-4</v>
      </c>
      <c r="Q91" s="153">
        <f t="shared" si="11"/>
        <v>5.3989890106799611E-3</v>
      </c>
      <c r="T91" s="150" t="s">
        <v>8949</v>
      </c>
      <c r="U91" s="150" t="s">
        <v>8950</v>
      </c>
      <c r="V91" s="150">
        <v>3.7854999999999998E-3</v>
      </c>
      <c r="W91" s="150">
        <v>1.9535E-4</v>
      </c>
      <c r="X91" s="150">
        <f t="shared" si="10"/>
        <v>3.5224481373380802E-3</v>
      </c>
    </row>
    <row r="92" spans="1:24" ht="43.5" x14ac:dyDescent="0.35">
      <c r="A92" s="189"/>
      <c r="B92" s="189"/>
      <c r="C92" s="184" t="s">
        <v>8657</v>
      </c>
      <c r="D92" s="184">
        <v>0.26503067415620829</v>
      </c>
      <c r="E92" s="145" t="s">
        <v>8658</v>
      </c>
      <c r="F92" s="145" t="s">
        <v>8659</v>
      </c>
      <c r="G92" s="159" t="s">
        <v>8660</v>
      </c>
      <c r="H92" s="145" t="s">
        <v>8659</v>
      </c>
      <c r="I92" s="149"/>
      <c r="J92" s="149">
        <f>$B$56*$D$92*I92</f>
        <v>0</v>
      </c>
      <c r="K92" s="149" t="e">
        <f t="shared" si="9"/>
        <v>#DIV/0!</v>
      </c>
      <c r="N92" s="150" t="s">
        <v>8649</v>
      </c>
      <c r="O92" s="150" t="s">
        <v>8837</v>
      </c>
      <c r="P92" s="150">
        <v>5.7162999999999995E-4</v>
      </c>
      <c r="Q92" s="153">
        <f t="shared" si="11"/>
        <v>5.3874907710133296E-3</v>
      </c>
      <c r="T92" s="150" t="s">
        <v>8949</v>
      </c>
      <c r="U92" s="150" t="s">
        <v>8950</v>
      </c>
      <c r="V92" s="150">
        <v>3.7854999999999998E-3</v>
      </c>
      <c r="W92" s="150">
        <v>1.9535E-4</v>
      </c>
      <c r="X92" s="150">
        <f t="shared" si="10"/>
        <v>3.5224481373380802E-3</v>
      </c>
    </row>
    <row r="93" spans="1:24" ht="333.5" x14ac:dyDescent="0.35">
      <c r="A93" s="189"/>
      <c r="B93" s="189"/>
      <c r="C93" s="184"/>
      <c r="D93" s="184"/>
      <c r="E93" s="185" t="s">
        <v>8661</v>
      </c>
      <c r="F93" s="145" t="s">
        <v>8844</v>
      </c>
      <c r="G93" s="155" t="s">
        <v>8662</v>
      </c>
      <c r="H93" s="145" t="s">
        <v>8844</v>
      </c>
      <c r="I93" s="149"/>
      <c r="J93" s="149">
        <f t="shared" ref="J93:J109" si="13">$B$56*$D$92*I93</f>
        <v>0</v>
      </c>
      <c r="K93" s="149" t="e">
        <f t="shared" si="9"/>
        <v>#DIV/0!</v>
      </c>
      <c r="N93" s="150" t="s">
        <v>8547</v>
      </c>
      <c r="O93" s="150" t="s">
        <v>8797</v>
      </c>
      <c r="P93" s="150">
        <v>5.7072999999999998E-4</v>
      </c>
      <c r="Q93" s="153">
        <f t="shared" si="11"/>
        <v>5.3790084630625365E-3</v>
      </c>
      <c r="T93" s="150" t="s">
        <v>8556</v>
      </c>
      <c r="U93" s="150" t="s">
        <v>8951</v>
      </c>
      <c r="V93" s="150">
        <v>3.1427E-3</v>
      </c>
      <c r="W93" s="150">
        <v>1.8147000000000001E-4</v>
      </c>
      <c r="X93" s="150">
        <f t="shared" si="10"/>
        <v>3.2721713001420093E-3</v>
      </c>
    </row>
    <row r="94" spans="1:24" ht="87" x14ac:dyDescent="0.35">
      <c r="A94" s="189"/>
      <c r="B94" s="189"/>
      <c r="C94" s="184"/>
      <c r="D94" s="184"/>
      <c r="E94" s="185"/>
      <c r="F94" s="145" t="s">
        <v>8845</v>
      </c>
      <c r="G94" s="159" t="s">
        <v>8663</v>
      </c>
      <c r="H94" s="145" t="s">
        <v>8845</v>
      </c>
      <c r="I94" s="149"/>
      <c r="J94" s="149">
        <f t="shared" si="13"/>
        <v>0</v>
      </c>
      <c r="K94" s="149" t="e">
        <f t="shared" si="9"/>
        <v>#DIV/0!</v>
      </c>
      <c r="N94" s="150" t="s">
        <v>8535</v>
      </c>
      <c r="O94" s="150" t="s">
        <v>8785</v>
      </c>
      <c r="P94" s="150">
        <v>5.6862999999999998E-4</v>
      </c>
      <c r="Q94" s="153">
        <f t="shared" si="11"/>
        <v>5.3592164111773517E-3</v>
      </c>
      <c r="T94" s="150" t="s">
        <v>8742</v>
      </c>
      <c r="U94" s="150" t="s">
        <v>8952</v>
      </c>
      <c r="V94" s="150">
        <v>0</v>
      </c>
      <c r="W94" s="150">
        <v>0</v>
      </c>
      <c r="X94" s="150">
        <f t="shared" si="10"/>
        <v>0</v>
      </c>
    </row>
    <row r="95" spans="1:24" ht="145" x14ac:dyDescent="0.35">
      <c r="A95" s="189"/>
      <c r="B95" s="189"/>
      <c r="C95" s="184"/>
      <c r="D95" s="184"/>
      <c r="E95" s="185" t="s">
        <v>8664</v>
      </c>
      <c r="F95" s="145" t="s">
        <v>8846</v>
      </c>
      <c r="G95" s="159" t="s">
        <v>8665</v>
      </c>
      <c r="H95" s="145" t="s">
        <v>8846</v>
      </c>
      <c r="I95" s="149"/>
      <c r="J95" s="149">
        <f t="shared" si="13"/>
        <v>0</v>
      </c>
      <c r="K95" s="149" t="e">
        <f t="shared" si="9"/>
        <v>#DIV/0!</v>
      </c>
      <c r="N95" s="150" t="s">
        <v>8543</v>
      </c>
      <c r="O95" s="150" t="s">
        <v>8793</v>
      </c>
      <c r="P95" s="150">
        <v>5.6804000000000002E-4</v>
      </c>
      <c r="Q95" s="153">
        <f t="shared" si="11"/>
        <v>5.3536557870762771E-3</v>
      </c>
      <c r="T95" s="150" t="s">
        <v>8953</v>
      </c>
      <c r="U95" s="150" t="s">
        <v>8954</v>
      </c>
      <c r="V95" s="150">
        <v>0</v>
      </c>
      <c r="W95" s="150">
        <v>0</v>
      </c>
      <c r="X95" s="150">
        <f t="shared" si="10"/>
        <v>0</v>
      </c>
    </row>
    <row r="96" spans="1:24" ht="101.5" x14ac:dyDescent="0.35">
      <c r="A96" s="189"/>
      <c r="B96" s="189"/>
      <c r="C96" s="184"/>
      <c r="D96" s="184"/>
      <c r="E96" s="185"/>
      <c r="F96" s="145" t="s">
        <v>8847</v>
      </c>
      <c r="G96" s="159" t="s">
        <v>8666</v>
      </c>
      <c r="H96" s="145" t="s">
        <v>8847</v>
      </c>
      <c r="I96" s="149"/>
      <c r="J96" s="149">
        <f t="shared" si="13"/>
        <v>0</v>
      </c>
      <c r="K96" s="149" t="e">
        <f t="shared" si="9"/>
        <v>#DIV/0!</v>
      </c>
      <c r="N96" s="150" t="s">
        <v>8650</v>
      </c>
      <c r="O96" s="150" t="s">
        <v>8838</v>
      </c>
      <c r="P96" s="150">
        <v>5.6623999999999997E-4</v>
      </c>
      <c r="Q96" s="153">
        <f t="shared" si="11"/>
        <v>5.3366911711746901E-3</v>
      </c>
      <c r="T96" s="150" t="s">
        <v>8955</v>
      </c>
      <c r="U96" s="150" t="s">
        <v>8956</v>
      </c>
      <c r="V96" s="150">
        <v>0</v>
      </c>
      <c r="W96" s="150">
        <v>0</v>
      </c>
      <c r="X96" s="150">
        <f t="shared" si="10"/>
        <v>0</v>
      </c>
    </row>
    <row r="97" spans="1:24" ht="87" x14ac:dyDescent="0.35">
      <c r="A97" s="189"/>
      <c r="B97" s="189"/>
      <c r="C97" s="184"/>
      <c r="D97" s="184"/>
      <c r="E97" s="145" t="s">
        <v>8667</v>
      </c>
      <c r="F97" s="145" t="s">
        <v>8668</v>
      </c>
      <c r="G97" s="159" t="s">
        <v>8669</v>
      </c>
      <c r="H97" s="145" t="s">
        <v>8668</v>
      </c>
      <c r="I97" s="149"/>
      <c r="J97" s="149">
        <f t="shared" si="13"/>
        <v>0</v>
      </c>
      <c r="K97" s="149" t="e">
        <f t="shared" si="9"/>
        <v>#DIV/0!</v>
      </c>
      <c r="N97" s="150" t="s">
        <v>8651</v>
      </c>
      <c r="O97" s="150" t="s">
        <v>8839</v>
      </c>
      <c r="P97" s="150">
        <v>5.6236000000000003E-4</v>
      </c>
      <c r="Q97" s="153">
        <f t="shared" si="11"/>
        <v>5.300122999120159E-3</v>
      </c>
      <c r="T97" s="150" t="s">
        <v>8957</v>
      </c>
      <c r="U97" s="150" t="s">
        <v>8958</v>
      </c>
      <c r="V97" s="150">
        <v>0</v>
      </c>
      <c r="W97" s="150">
        <v>0</v>
      </c>
      <c r="X97" s="150">
        <f t="shared" si="10"/>
        <v>0</v>
      </c>
    </row>
    <row r="98" spans="1:24" ht="145" x14ac:dyDescent="0.35">
      <c r="A98" s="189"/>
      <c r="B98" s="189"/>
      <c r="C98" s="184"/>
      <c r="D98" s="184"/>
      <c r="E98" s="185" t="s">
        <v>8670</v>
      </c>
      <c r="F98" s="145" t="s">
        <v>8848</v>
      </c>
      <c r="G98" s="155" t="s">
        <v>8671</v>
      </c>
      <c r="H98" s="145" t="s">
        <v>8848</v>
      </c>
      <c r="I98" s="149"/>
      <c r="J98" s="149">
        <f t="shared" si="13"/>
        <v>0</v>
      </c>
      <c r="K98" s="149" t="e">
        <f t="shared" ref="K98:K129" si="14">J98/SUM($J$2:$J$144)</f>
        <v>#DIV/0!</v>
      </c>
      <c r="N98" s="150" t="s">
        <v>8536</v>
      </c>
      <c r="O98" s="150" t="s">
        <v>8786</v>
      </c>
      <c r="P98" s="150">
        <v>5.6225999999999997E-4</v>
      </c>
      <c r="Q98" s="153">
        <f t="shared" si="11"/>
        <v>5.2991805204589595E-3</v>
      </c>
      <c r="T98" s="150" t="s">
        <v>8754</v>
      </c>
      <c r="U98" s="150" t="s">
        <v>8959</v>
      </c>
      <c r="V98" s="150">
        <v>0</v>
      </c>
      <c r="W98" s="150">
        <v>0</v>
      </c>
      <c r="X98" s="150">
        <f t="shared" ref="X98:X99" si="15">W98/SUM($W$2:$W$144)</f>
        <v>0</v>
      </c>
    </row>
    <row r="99" spans="1:24" ht="87" x14ac:dyDescent="0.35">
      <c r="A99" s="189"/>
      <c r="B99" s="189"/>
      <c r="C99" s="184"/>
      <c r="D99" s="184"/>
      <c r="E99" s="185"/>
      <c r="F99" s="145" t="s">
        <v>8849</v>
      </c>
      <c r="G99" s="159" t="s">
        <v>8672</v>
      </c>
      <c r="H99" s="145" t="s">
        <v>8849</v>
      </c>
      <c r="I99" s="149"/>
      <c r="J99" s="149">
        <f t="shared" si="13"/>
        <v>0</v>
      </c>
      <c r="K99" s="149" t="e">
        <f t="shared" si="14"/>
        <v>#DIV/0!</v>
      </c>
      <c r="N99" s="150" t="s">
        <v>8555</v>
      </c>
      <c r="O99" s="150" t="s">
        <v>8801</v>
      </c>
      <c r="P99" s="150">
        <v>5.6136000000000001E-4</v>
      </c>
      <c r="Q99" s="153">
        <f t="shared" si="11"/>
        <v>5.2906982125081664E-3</v>
      </c>
      <c r="T99" s="150" t="s">
        <v>8757</v>
      </c>
      <c r="U99" s="150" t="s">
        <v>8960</v>
      </c>
      <c r="V99" s="150">
        <v>0</v>
      </c>
      <c r="W99" s="150">
        <v>0</v>
      </c>
      <c r="X99" s="150">
        <f t="shared" si="15"/>
        <v>0</v>
      </c>
    </row>
    <row r="100" spans="1:24" ht="72.5" x14ac:dyDescent="0.35">
      <c r="A100" s="189"/>
      <c r="B100" s="189"/>
      <c r="C100" s="184"/>
      <c r="D100" s="184"/>
      <c r="E100" s="185" t="s">
        <v>8673</v>
      </c>
      <c r="F100" s="145" t="s">
        <v>8850</v>
      </c>
      <c r="G100" s="159" t="s">
        <v>8674</v>
      </c>
      <c r="H100" s="145" t="s">
        <v>8850</v>
      </c>
      <c r="I100" s="149"/>
      <c r="J100" s="149">
        <f t="shared" si="13"/>
        <v>0</v>
      </c>
      <c r="K100" s="149" t="e">
        <f t="shared" si="14"/>
        <v>#DIV/0!</v>
      </c>
      <c r="N100" s="150" t="s">
        <v>8654</v>
      </c>
      <c r="O100" s="150" t="s">
        <v>8841</v>
      </c>
      <c r="P100" s="150">
        <v>5.6037000000000003E-4</v>
      </c>
      <c r="Q100" s="153">
        <f t="shared" si="11"/>
        <v>5.2813676737622937E-3</v>
      </c>
    </row>
    <row r="101" spans="1:24" ht="72.5" x14ac:dyDescent="0.35">
      <c r="A101" s="189"/>
      <c r="B101" s="189"/>
      <c r="C101" s="184"/>
      <c r="D101" s="184"/>
      <c r="E101" s="185"/>
      <c r="F101" s="145" t="s">
        <v>8851</v>
      </c>
      <c r="G101" s="159" t="s">
        <v>8675</v>
      </c>
      <c r="H101" s="145" t="s">
        <v>8851</v>
      </c>
      <c r="I101" s="149"/>
      <c r="J101" s="149">
        <f t="shared" si="13"/>
        <v>0</v>
      </c>
      <c r="K101" s="149" t="e">
        <f t="shared" si="14"/>
        <v>#DIV/0!</v>
      </c>
      <c r="N101" s="150" t="s">
        <v>8655</v>
      </c>
      <c r="O101" s="150" t="s">
        <v>8842</v>
      </c>
      <c r="P101" s="150">
        <v>5.5966999999999996E-4</v>
      </c>
      <c r="Q101" s="153">
        <f t="shared" si="11"/>
        <v>5.2747703231338979E-3</v>
      </c>
    </row>
    <row r="102" spans="1:24" ht="72.5" x14ac:dyDescent="0.35">
      <c r="A102" s="189"/>
      <c r="B102" s="189"/>
      <c r="C102" s="184"/>
      <c r="D102" s="184"/>
      <c r="E102" s="145" t="s">
        <v>8676</v>
      </c>
      <c r="F102" s="145" t="s">
        <v>8677</v>
      </c>
      <c r="G102" s="159" t="s">
        <v>8678</v>
      </c>
      <c r="H102" s="145" t="s">
        <v>8677</v>
      </c>
      <c r="I102" s="149"/>
      <c r="J102" s="149">
        <f t="shared" si="13"/>
        <v>0</v>
      </c>
      <c r="K102" s="149" t="e">
        <f t="shared" si="14"/>
        <v>#DIV/0!</v>
      </c>
      <c r="N102" s="150" t="s">
        <v>8656</v>
      </c>
      <c r="O102" s="150" t="s">
        <v>8843</v>
      </c>
      <c r="P102" s="150">
        <v>5.5924000000000002E-4</v>
      </c>
      <c r="Q102" s="153">
        <f t="shared" si="11"/>
        <v>5.2707176648907417E-3</v>
      </c>
    </row>
    <row r="103" spans="1:24" ht="58" x14ac:dyDescent="0.35">
      <c r="A103" s="189"/>
      <c r="B103" s="189"/>
      <c r="C103" s="184"/>
      <c r="D103" s="184"/>
      <c r="E103" s="185" t="s">
        <v>8679</v>
      </c>
      <c r="F103" s="145" t="s">
        <v>8852</v>
      </c>
      <c r="G103" s="159" t="s">
        <v>8680</v>
      </c>
      <c r="H103" s="145" t="s">
        <v>8852</v>
      </c>
      <c r="I103" s="149"/>
      <c r="J103" s="149">
        <f t="shared" si="13"/>
        <v>0</v>
      </c>
      <c r="K103" s="149" t="e">
        <f t="shared" si="14"/>
        <v>#DIV/0!</v>
      </c>
      <c r="N103" s="150" t="s">
        <v>8652</v>
      </c>
      <c r="O103" s="150" t="s">
        <v>8840</v>
      </c>
      <c r="P103" s="150">
        <v>5.5572E-4</v>
      </c>
      <c r="Q103" s="153">
        <f t="shared" si="11"/>
        <v>5.2375424160165281E-3</v>
      </c>
    </row>
    <row r="104" spans="1:24" ht="87" x14ac:dyDescent="0.35">
      <c r="A104" s="189"/>
      <c r="B104" s="189"/>
      <c r="C104" s="184"/>
      <c r="D104" s="184"/>
      <c r="E104" s="185"/>
      <c r="F104" s="145" t="s">
        <v>8853</v>
      </c>
      <c r="G104" s="159" t="s">
        <v>8681</v>
      </c>
      <c r="H104" s="145" t="s">
        <v>8853</v>
      </c>
      <c r="I104" s="149"/>
      <c r="J104" s="149">
        <f t="shared" si="13"/>
        <v>0</v>
      </c>
      <c r="K104" s="149" t="e">
        <f t="shared" si="14"/>
        <v>#DIV/0!</v>
      </c>
      <c r="N104" s="150" t="s">
        <v>8647</v>
      </c>
      <c r="O104" s="150" t="s">
        <v>8836</v>
      </c>
      <c r="P104" s="150">
        <v>5.5101E-4</v>
      </c>
      <c r="Q104" s="153">
        <f t="shared" si="11"/>
        <v>5.1931516710740427E-3</v>
      </c>
    </row>
    <row r="105" spans="1:24" ht="72.5" x14ac:dyDescent="0.35">
      <c r="A105" s="189"/>
      <c r="B105" s="189"/>
      <c r="C105" s="184"/>
      <c r="D105" s="184"/>
      <c r="E105" s="185"/>
      <c r="F105" s="145" t="s">
        <v>8854</v>
      </c>
      <c r="G105" s="159" t="s">
        <v>8682</v>
      </c>
      <c r="H105" s="145" t="s">
        <v>8854</v>
      </c>
      <c r="I105" s="149"/>
      <c r="J105" s="149">
        <f t="shared" si="13"/>
        <v>0</v>
      </c>
      <c r="K105" s="149" t="e">
        <f t="shared" si="14"/>
        <v>#DIV/0!</v>
      </c>
      <c r="N105" s="150" t="s">
        <v>8532</v>
      </c>
      <c r="O105" s="150" t="s">
        <v>8783</v>
      </c>
      <c r="P105" s="150">
        <v>5.2424999999999998E-4</v>
      </c>
      <c r="Q105" s="153">
        <f t="shared" si="11"/>
        <v>4.9409443813371208E-3</v>
      </c>
    </row>
    <row r="106" spans="1:24" ht="116" x14ac:dyDescent="0.35">
      <c r="A106" s="189"/>
      <c r="B106" s="189"/>
      <c r="C106" s="184"/>
      <c r="D106" s="184"/>
      <c r="E106" s="185" t="s">
        <v>8683</v>
      </c>
      <c r="F106" s="145" t="s">
        <v>8855</v>
      </c>
      <c r="G106" s="155" t="s">
        <v>8684</v>
      </c>
      <c r="H106" s="145" t="s">
        <v>8855</v>
      </c>
      <c r="I106" s="149"/>
      <c r="J106" s="149">
        <f t="shared" si="13"/>
        <v>0</v>
      </c>
      <c r="K106" s="149" t="e">
        <f t="shared" si="14"/>
        <v>#DIV/0!</v>
      </c>
      <c r="N106" s="150" t="s">
        <v>8522</v>
      </c>
      <c r="O106" s="150" t="s">
        <v>8521</v>
      </c>
      <c r="P106" s="150">
        <v>4.9297000000000002E-4</v>
      </c>
      <c r="Q106" s="153">
        <f t="shared" si="11"/>
        <v>4.6461370561139926E-3</v>
      </c>
    </row>
    <row r="107" spans="1:24" ht="58" x14ac:dyDescent="0.35">
      <c r="A107" s="189"/>
      <c r="B107" s="189"/>
      <c r="C107" s="184"/>
      <c r="D107" s="184"/>
      <c r="E107" s="185"/>
      <c r="F107" s="145" t="s">
        <v>8856</v>
      </c>
      <c r="G107" s="159" t="s">
        <v>8685</v>
      </c>
      <c r="H107" s="145" t="s">
        <v>8856</v>
      </c>
      <c r="I107" s="149"/>
      <c r="J107" s="149">
        <f t="shared" si="13"/>
        <v>0</v>
      </c>
      <c r="K107" s="149" t="e">
        <f t="shared" si="14"/>
        <v>#DIV/0!</v>
      </c>
      <c r="N107" s="150" t="s">
        <v>8666</v>
      </c>
      <c r="O107" s="150" t="s">
        <v>8847</v>
      </c>
      <c r="P107" s="150">
        <v>4.8628000000000001E-4</v>
      </c>
      <c r="Q107" s="153">
        <f t="shared" si="11"/>
        <v>4.5830852336797619E-3</v>
      </c>
    </row>
    <row r="108" spans="1:24" ht="58" x14ac:dyDescent="0.35">
      <c r="A108" s="189"/>
      <c r="B108" s="189"/>
      <c r="C108" s="184"/>
      <c r="D108" s="184"/>
      <c r="E108" s="145" t="s">
        <v>8686</v>
      </c>
      <c r="F108" s="145" t="s">
        <v>8687</v>
      </c>
      <c r="G108" s="159" t="s">
        <v>8688</v>
      </c>
      <c r="H108" s="145" t="s">
        <v>8687</v>
      </c>
      <c r="I108" s="149"/>
      <c r="J108" s="149">
        <f t="shared" si="13"/>
        <v>0</v>
      </c>
      <c r="K108" s="149" t="e">
        <f t="shared" si="14"/>
        <v>#DIV/0!</v>
      </c>
      <c r="N108" s="150" t="s">
        <v>8672</v>
      </c>
      <c r="O108" s="150" t="s">
        <v>8849</v>
      </c>
      <c r="P108" s="150">
        <v>4.7982999999999999E-4</v>
      </c>
      <c r="Q108" s="153">
        <f t="shared" si="11"/>
        <v>4.5222953600324092E-3</v>
      </c>
    </row>
    <row r="109" spans="1:24" ht="87" x14ac:dyDescent="0.35">
      <c r="A109" s="189"/>
      <c r="B109" s="189"/>
      <c r="C109" s="184"/>
      <c r="D109" s="184"/>
      <c r="E109" s="145" t="s">
        <v>8689</v>
      </c>
      <c r="F109" s="145" t="s">
        <v>8690</v>
      </c>
      <c r="G109" s="159" t="s">
        <v>8691</v>
      </c>
      <c r="H109" s="145" t="s">
        <v>8690</v>
      </c>
      <c r="I109" s="149"/>
      <c r="J109" s="149">
        <f t="shared" si="13"/>
        <v>0</v>
      </c>
      <c r="K109" s="149" t="e">
        <f t="shared" si="14"/>
        <v>#DIV/0!</v>
      </c>
      <c r="N109" s="150" t="s">
        <v>8691</v>
      </c>
      <c r="O109" s="150" t="s">
        <v>8690</v>
      </c>
      <c r="P109" s="150">
        <v>4.7504999999999997E-4</v>
      </c>
      <c r="Q109" s="153">
        <f t="shared" si="11"/>
        <v>4.4772448800270842E-3</v>
      </c>
    </row>
    <row r="110" spans="1:24" ht="58" x14ac:dyDescent="0.35">
      <c r="A110" s="189"/>
      <c r="B110" s="189"/>
      <c r="C110" s="184"/>
      <c r="D110" s="184"/>
      <c r="E110" s="145" t="s">
        <v>8692</v>
      </c>
      <c r="F110" s="145" t="s">
        <v>8693</v>
      </c>
      <c r="G110" s="159" t="s">
        <v>8694</v>
      </c>
      <c r="H110" s="145" t="s">
        <v>8693</v>
      </c>
      <c r="I110" s="149"/>
      <c r="J110" s="149">
        <f>$B$56*$D$92*I110</f>
        <v>0</v>
      </c>
      <c r="K110" s="149" t="e">
        <f t="shared" si="14"/>
        <v>#DIV/0!</v>
      </c>
      <c r="N110" s="150" t="s">
        <v>8669</v>
      </c>
      <c r="O110" s="150" t="s">
        <v>8668</v>
      </c>
      <c r="P110" s="150">
        <v>4.7381000000000002E-4</v>
      </c>
      <c r="Q110" s="153">
        <f t="shared" si="11"/>
        <v>4.4655581446282145E-3</v>
      </c>
    </row>
    <row r="111" spans="1:24" ht="116" x14ac:dyDescent="0.35">
      <c r="A111" s="186" t="s">
        <v>8695</v>
      </c>
      <c r="B111" s="186">
        <v>0.39025740055913632</v>
      </c>
      <c r="C111" s="187" t="s">
        <v>8696</v>
      </c>
      <c r="D111" s="187">
        <v>0.4426352486717442</v>
      </c>
      <c r="E111" s="160" t="s">
        <v>8697</v>
      </c>
      <c r="F111" s="160" t="s">
        <v>8698</v>
      </c>
      <c r="G111" s="156" t="s">
        <v>8699</v>
      </c>
      <c r="H111" s="160" t="s">
        <v>8698</v>
      </c>
      <c r="I111" s="149"/>
      <c r="J111" s="149">
        <f>$B$111*$D$111*I111</f>
        <v>0</v>
      </c>
      <c r="K111" s="149" t="e">
        <f t="shared" si="14"/>
        <v>#DIV/0!</v>
      </c>
      <c r="N111" s="150" t="s">
        <v>8663</v>
      </c>
      <c r="O111" s="150" t="s">
        <v>8845</v>
      </c>
      <c r="P111" s="150">
        <v>4.6750999999999997E-4</v>
      </c>
      <c r="Q111" s="153">
        <f t="shared" si="11"/>
        <v>4.4061819889726602E-3</v>
      </c>
    </row>
    <row r="112" spans="1:24" ht="43.5" x14ac:dyDescent="0.35">
      <c r="A112" s="186"/>
      <c r="B112" s="186"/>
      <c r="C112" s="187"/>
      <c r="D112" s="187"/>
      <c r="E112" s="188" t="s">
        <v>8700</v>
      </c>
      <c r="F112" s="146" t="s">
        <v>8857</v>
      </c>
      <c r="G112" s="156" t="s">
        <v>8701</v>
      </c>
      <c r="H112" s="146" t="s">
        <v>8857</v>
      </c>
      <c r="I112" s="149"/>
      <c r="J112" s="149">
        <f t="shared" ref="J112:J133" si="16">$B$111*$D$111*I112</f>
        <v>0</v>
      </c>
      <c r="K112" s="149" t="e">
        <f t="shared" si="14"/>
        <v>#DIV/0!</v>
      </c>
      <c r="N112" s="150" t="s">
        <v>8675</v>
      </c>
      <c r="O112" s="150" t="s">
        <v>8851</v>
      </c>
      <c r="P112" s="150">
        <v>4.6632999999999999E-4</v>
      </c>
      <c r="Q112" s="153">
        <f t="shared" si="11"/>
        <v>4.3950607407705093E-3</v>
      </c>
    </row>
    <row r="113" spans="1:17" ht="87" x14ac:dyDescent="0.35">
      <c r="A113" s="186"/>
      <c r="B113" s="186"/>
      <c r="C113" s="187"/>
      <c r="D113" s="187"/>
      <c r="E113" s="188"/>
      <c r="F113" s="146" t="s">
        <v>8858</v>
      </c>
      <c r="G113" s="155" t="s">
        <v>8702</v>
      </c>
      <c r="H113" s="146" t="s">
        <v>8858</v>
      </c>
      <c r="I113" s="149"/>
      <c r="J113" s="149">
        <f t="shared" si="16"/>
        <v>0</v>
      </c>
      <c r="K113" s="149" t="e">
        <f t="shared" si="14"/>
        <v>#DIV/0!</v>
      </c>
      <c r="N113" s="150" t="s">
        <v>8685</v>
      </c>
      <c r="O113" s="150" t="s">
        <v>8856</v>
      </c>
      <c r="P113" s="150">
        <v>4.6521000000000003E-4</v>
      </c>
      <c r="Q113" s="153">
        <f t="shared" si="11"/>
        <v>4.3845049797650781E-3</v>
      </c>
    </row>
    <row r="114" spans="1:17" ht="72.5" x14ac:dyDescent="0.35">
      <c r="A114" s="186"/>
      <c r="B114" s="186"/>
      <c r="C114" s="187"/>
      <c r="D114" s="187"/>
      <c r="E114" s="188"/>
      <c r="F114" s="146" t="s">
        <v>8859</v>
      </c>
      <c r="G114" s="159" t="s">
        <v>8703</v>
      </c>
      <c r="H114" s="146" t="s">
        <v>8859</v>
      </c>
      <c r="I114" s="149"/>
      <c r="J114" s="149">
        <f t="shared" si="16"/>
        <v>0</v>
      </c>
      <c r="K114" s="149" t="e">
        <f t="shared" si="14"/>
        <v>#DIV/0!</v>
      </c>
      <c r="N114" s="150" t="s">
        <v>8681</v>
      </c>
      <c r="O114" s="150" t="s">
        <v>8853</v>
      </c>
      <c r="P114" s="150">
        <v>4.6466999999999998E-4</v>
      </c>
      <c r="Q114" s="153">
        <f t="shared" si="11"/>
        <v>4.3794155949946015E-3</v>
      </c>
    </row>
    <row r="115" spans="1:17" ht="72.5" x14ac:dyDescent="0.35">
      <c r="A115" s="186"/>
      <c r="B115" s="186"/>
      <c r="C115" s="187"/>
      <c r="D115" s="187"/>
      <c r="E115" s="188"/>
      <c r="F115" s="146" t="s">
        <v>8860</v>
      </c>
      <c r="G115" s="159" t="s">
        <v>8704</v>
      </c>
      <c r="H115" s="146" t="s">
        <v>8860</v>
      </c>
      <c r="I115" s="149"/>
      <c r="J115" s="149">
        <f t="shared" si="16"/>
        <v>0</v>
      </c>
      <c r="K115" s="149" t="e">
        <f t="shared" si="14"/>
        <v>#DIV/0!</v>
      </c>
      <c r="N115" s="150" t="s">
        <v>8682</v>
      </c>
      <c r="O115" s="150" t="s">
        <v>8854</v>
      </c>
      <c r="P115" s="150">
        <v>4.6115000000000001E-4</v>
      </c>
      <c r="Q115" s="153">
        <f t="shared" si="11"/>
        <v>4.3462403461203879E-3</v>
      </c>
    </row>
    <row r="116" spans="1:17" ht="72.5" x14ac:dyDescent="0.35">
      <c r="A116" s="186"/>
      <c r="B116" s="186"/>
      <c r="C116" s="187"/>
      <c r="D116" s="187"/>
      <c r="E116" s="188"/>
      <c r="F116" s="146" t="s">
        <v>8861</v>
      </c>
      <c r="G116" s="159" t="s">
        <v>8705</v>
      </c>
      <c r="H116" s="146" t="s">
        <v>8861</v>
      </c>
      <c r="I116" s="149"/>
      <c r="J116" s="149">
        <f t="shared" si="16"/>
        <v>0</v>
      </c>
      <c r="K116" s="149" t="e">
        <f t="shared" si="14"/>
        <v>#DIV/0!</v>
      </c>
      <c r="N116" s="150" t="s">
        <v>8665</v>
      </c>
      <c r="O116" s="150" t="s">
        <v>8846</v>
      </c>
      <c r="P116" s="150">
        <v>4.6094000000000002E-4</v>
      </c>
      <c r="Q116" s="153">
        <f t="shared" si="11"/>
        <v>4.3442611409318689E-3</v>
      </c>
    </row>
    <row r="117" spans="1:17" ht="43.5" x14ac:dyDescent="0.35">
      <c r="A117" s="186"/>
      <c r="B117" s="186"/>
      <c r="C117" s="187"/>
      <c r="D117" s="187"/>
      <c r="E117" s="188" t="s">
        <v>8706</v>
      </c>
      <c r="F117" s="146" t="s">
        <v>8862</v>
      </c>
      <c r="G117" s="156" t="s">
        <v>8707</v>
      </c>
      <c r="H117" s="146" t="s">
        <v>8862</v>
      </c>
      <c r="I117" s="149"/>
      <c r="J117" s="149">
        <f t="shared" si="16"/>
        <v>0</v>
      </c>
      <c r="K117" s="149" t="e">
        <f t="shared" si="14"/>
        <v>#DIV/0!</v>
      </c>
      <c r="N117" s="150" t="s">
        <v>8660</v>
      </c>
      <c r="O117" s="150" t="s">
        <v>8659</v>
      </c>
      <c r="P117" s="150">
        <v>4.6083000000000002E-4</v>
      </c>
      <c r="Q117" s="153">
        <f t="shared" si="11"/>
        <v>4.3432244144045503E-3</v>
      </c>
    </row>
    <row r="118" spans="1:17" ht="101.5" x14ac:dyDescent="0.35">
      <c r="A118" s="186"/>
      <c r="B118" s="186"/>
      <c r="C118" s="187"/>
      <c r="D118" s="187"/>
      <c r="E118" s="188"/>
      <c r="F118" s="146" t="s">
        <v>8863</v>
      </c>
      <c r="G118" s="155" t="s">
        <v>8708</v>
      </c>
      <c r="H118" s="146" t="s">
        <v>8863</v>
      </c>
      <c r="I118" s="149"/>
      <c r="J118" s="149">
        <f t="shared" si="16"/>
        <v>0</v>
      </c>
      <c r="K118" s="149" t="e">
        <f t="shared" si="14"/>
        <v>#DIV/0!</v>
      </c>
      <c r="N118" s="150" t="s">
        <v>8680</v>
      </c>
      <c r="O118" s="150" t="s">
        <v>8852</v>
      </c>
      <c r="P118" s="150">
        <v>4.5994999999999999E-4</v>
      </c>
      <c r="Q118" s="153">
        <f t="shared" si="11"/>
        <v>4.3349306021859962E-3</v>
      </c>
    </row>
    <row r="119" spans="1:17" ht="87" x14ac:dyDescent="0.35">
      <c r="A119" s="186"/>
      <c r="B119" s="186"/>
      <c r="C119" s="187"/>
      <c r="D119" s="187"/>
      <c r="E119" s="188"/>
      <c r="F119" s="146" t="s">
        <v>8864</v>
      </c>
      <c r="G119" s="159" t="s">
        <v>8709</v>
      </c>
      <c r="H119" s="146" t="s">
        <v>8864</v>
      </c>
      <c r="I119" s="149"/>
      <c r="J119" s="149">
        <f t="shared" si="16"/>
        <v>0</v>
      </c>
      <c r="K119" s="149" t="e">
        <f t="shared" si="14"/>
        <v>#DIV/0!</v>
      </c>
      <c r="N119" s="150" t="s">
        <v>8688</v>
      </c>
      <c r="O119" s="150" t="s">
        <v>8687</v>
      </c>
      <c r="P119" s="150">
        <v>4.5825999999999999E-4</v>
      </c>
      <c r="Q119" s="153">
        <f t="shared" si="11"/>
        <v>4.3190027128117287E-3</v>
      </c>
    </row>
    <row r="120" spans="1:17" ht="87" x14ac:dyDescent="0.35">
      <c r="A120" s="186"/>
      <c r="B120" s="186"/>
      <c r="C120" s="187"/>
      <c r="D120" s="187"/>
      <c r="E120" s="188"/>
      <c r="F120" s="146" t="s">
        <v>8865</v>
      </c>
      <c r="G120" s="159" t="s">
        <v>8710</v>
      </c>
      <c r="H120" s="146" t="s">
        <v>8865</v>
      </c>
      <c r="I120" s="149"/>
      <c r="J120" s="149">
        <f t="shared" si="16"/>
        <v>0</v>
      </c>
      <c r="K120" s="149" t="e">
        <f t="shared" si="14"/>
        <v>#DIV/0!</v>
      </c>
      <c r="N120" s="150" t="s">
        <v>8674</v>
      </c>
      <c r="O120" s="150" t="s">
        <v>8850</v>
      </c>
      <c r="P120" s="150">
        <v>4.5719000000000001E-4</v>
      </c>
      <c r="Q120" s="153">
        <f t="shared" si="11"/>
        <v>4.3089181911368972E-3</v>
      </c>
    </row>
    <row r="121" spans="1:17" ht="72.5" x14ac:dyDescent="0.35">
      <c r="A121" s="186"/>
      <c r="B121" s="186"/>
      <c r="C121" s="187"/>
      <c r="D121" s="187"/>
      <c r="E121" s="188"/>
      <c r="F121" s="146" t="s">
        <v>8866</v>
      </c>
      <c r="G121" s="159" t="s">
        <v>8711</v>
      </c>
      <c r="H121" s="146" t="s">
        <v>8866</v>
      </c>
      <c r="I121" s="149"/>
      <c r="J121" s="149">
        <f t="shared" si="16"/>
        <v>0</v>
      </c>
      <c r="K121" s="149" t="e">
        <f t="shared" si="14"/>
        <v>#DIV/0!</v>
      </c>
      <c r="N121" s="150" t="s">
        <v>8644</v>
      </c>
      <c r="O121" s="150" t="s">
        <v>8833</v>
      </c>
      <c r="P121" s="150">
        <v>4.5445000000000001E-4</v>
      </c>
      <c r="Q121" s="153">
        <f t="shared" si="11"/>
        <v>4.2830942758200373E-3</v>
      </c>
    </row>
    <row r="122" spans="1:17" ht="58" x14ac:dyDescent="0.35">
      <c r="A122" s="186"/>
      <c r="B122" s="186"/>
      <c r="C122" s="187"/>
      <c r="D122" s="187"/>
      <c r="E122" s="188" t="s">
        <v>8712</v>
      </c>
      <c r="F122" s="146" t="s">
        <v>8867</v>
      </c>
      <c r="G122" s="156" t="s">
        <v>8713</v>
      </c>
      <c r="H122" s="146" t="s">
        <v>8867</v>
      </c>
      <c r="I122" s="149"/>
      <c r="J122" s="149">
        <f t="shared" si="16"/>
        <v>0</v>
      </c>
      <c r="K122" s="149" t="e">
        <f t="shared" si="14"/>
        <v>#DIV/0!</v>
      </c>
      <c r="N122" s="150" t="s">
        <v>8531</v>
      </c>
      <c r="O122" s="150" t="s">
        <v>8782</v>
      </c>
      <c r="P122" s="150">
        <v>4.4279999999999998E-4</v>
      </c>
      <c r="Q122" s="153">
        <f t="shared" si="11"/>
        <v>4.1732955117903233E-3</v>
      </c>
    </row>
    <row r="123" spans="1:17" ht="87" x14ac:dyDescent="0.35">
      <c r="A123" s="186"/>
      <c r="B123" s="186"/>
      <c r="C123" s="187"/>
      <c r="D123" s="187"/>
      <c r="E123" s="188"/>
      <c r="F123" s="146" t="s">
        <v>8868</v>
      </c>
      <c r="G123" s="155" t="s">
        <v>8714</v>
      </c>
      <c r="H123" s="146" t="s">
        <v>8868</v>
      </c>
      <c r="I123" s="149"/>
      <c r="J123" s="149">
        <f t="shared" si="16"/>
        <v>0</v>
      </c>
      <c r="K123" s="149" t="e">
        <f t="shared" si="14"/>
        <v>#DIV/0!</v>
      </c>
      <c r="N123" s="150" t="s">
        <v>8548</v>
      </c>
      <c r="O123" s="150" t="s">
        <v>8798</v>
      </c>
      <c r="P123" s="150">
        <v>4.4278999999999998E-4</v>
      </c>
      <c r="Q123" s="153">
        <f t="shared" si="11"/>
        <v>4.1732012639242033E-3</v>
      </c>
    </row>
    <row r="124" spans="1:17" ht="87" x14ac:dyDescent="0.35">
      <c r="A124" s="186"/>
      <c r="B124" s="186"/>
      <c r="C124" s="187"/>
      <c r="D124" s="187"/>
      <c r="E124" s="188"/>
      <c r="F124" s="146" t="s">
        <v>8869</v>
      </c>
      <c r="G124" s="159" t="s">
        <v>8715</v>
      </c>
      <c r="H124" s="146" t="s">
        <v>8869</v>
      </c>
      <c r="I124" s="149"/>
      <c r="J124" s="149">
        <f t="shared" si="16"/>
        <v>0</v>
      </c>
      <c r="K124" s="149" t="e">
        <f t="shared" si="14"/>
        <v>#DIV/0!</v>
      </c>
      <c r="N124" s="150" t="s">
        <v>8694</v>
      </c>
      <c r="O124" s="150" t="s">
        <v>8693</v>
      </c>
      <c r="P124" s="150">
        <v>4.1768000000000003E-4</v>
      </c>
      <c r="Q124" s="153">
        <f t="shared" si="11"/>
        <v>3.9365448720970692E-3</v>
      </c>
    </row>
    <row r="125" spans="1:17" ht="72.5" x14ac:dyDescent="0.35">
      <c r="A125" s="186"/>
      <c r="B125" s="186"/>
      <c r="C125" s="187"/>
      <c r="D125" s="187"/>
      <c r="E125" s="188"/>
      <c r="F125" s="146" t="s">
        <v>8870</v>
      </c>
      <c r="G125" s="159" t="s">
        <v>8716</v>
      </c>
      <c r="H125" s="146" t="s">
        <v>8870</v>
      </c>
      <c r="I125" s="149"/>
      <c r="J125" s="149">
        <f t="shared" si="16"/>
        <v>0</v>
      </c>
      <c r="K125" s="149" t="e">
        <f t="shared" si="14"/>
        <v>#DIV/0!</v>
      </c>
      <c r="N125" s="150" t="s">
        <v>8678</v>
      </c>
      <c r="O125" s="150" t="s">
        <v>8677</v>
      </c>
      <c r="P125" s="150">
        <v>4.1627E-4</v>
      </c>
      <c r="Q125" s="153">
        <f t="shared" si="11"/>
        <v>3.9232559229741594E-3</v>
      </c>
    </row>
    <row r="126" spans="1:17" ht="72.5" x14ac:dyDescent="0.35">
      <c r="A126" s="186"/>
      <c r="B126" s="186"/>
      <c r="C126" s="187"/>
      <c r="D126" s="187"/>
      <c r="E126" s="188"/>
      <c r="F126" s="146" t="s">
        <v>8871</v>
      </c>
      <c r="G126" s="159" t="s">
        <v>8717</v>
      </c>
      <c r="H126" s="146" t="s">
        <v>8871</v>
      </c>
      <c r="I126" s="149"/>
      <c r="J126" s="149">
        <f t="shared" si="16"/>
        <v>0</v>
      </c>
      <c r="K126" s="149" t="e">
        <f t="shared" si="14"/>
        <v>#DIV/0!</v>
      </c>
      <c r="N126" s="150" t="s">
        <v>8714</v>
      </c>
      <c r="O126" s="150" t="s">
        <v>8868</v>
      </c>
      <c r="P126" s="150">
        <v>4.0834999999999998E-4</v>
      </c>
      <c r="Q126" s="153">
        <f t="shared" si="11"/>
        <v>3.8486116130071781E-3</v>
      </c>
    </row>
    <row r="127" spans="1:17" ht="72.5" x14ac:dyDescent="0.35">
      <c r="A127" s="186"/>
      <c r="B127" s="186"/>
      <c r="C127" s="187"/>
      <c r="D127" s="187"/>
      <c r="E127" s="188"/>
      <c r="F127" s="146" t="s">
        <v>8872</v>
      </c>
      <c r="G127" s="159" t="s">
        <v>8718</v>
      </c>
      <c r="H127" s="146" t="s">
        <v>8872</v>
      </c>
      <c r="I127" s="149"/>
      <c r="J127" s="149">
        <f t="shared" si="16"/>
        <v>0</v>
      </c>
      <c r="K127" s="149" t="e">
        <f t="shared" si="14"/>
        <v>#DIV/0!</v>
      </c>
      <c r="N127" s="150" t="s">
        <v>8771</v>
      </c>
      <c r="O127" s="150" t="s">
        <v>8575</v>
      </c>
      <c r="P127" s="150">
        <v>3.8393999999999999E-4</v>
      </c>
      <c r="Q127" s="153">
        <f t="shared" si="11"/>
        <v>3.6185525718084388E-3</v>
      </c>
    </row>
    <row r="128" spans="1:17" ht="58" x14ac:dyDescent="0.35">
      <c r="A128" s="186"/>
      <c r="B128" s="186"/>
      <c r="C128" s="187"/>
      <c r="D128" s="187"/>
      <c r="E128" s="188" t="s">
        <v>8719</v>
      </c>
      <c r="F128" s="146" t="s">
        <v>8873</v>
      </c>
      <c r="G128" s="155" t="s">
        <v>8720</v>
      </c>
      <c r="H128" s="146" t="s">
        <v>8873</v>
      </c>
      <c r="I128" s="149"/>
      <c r="J128" s="149">
        <f t="shared" si="16"/>
        <v>0</v>
      </c>
      <c r="K128" s="149" t="e">
        <f t="shared" si="14"/>
        <v>#DIV/0!</v>
      </c>
      <c r="N128" s="150" t="s">
        <v>8630</v>
      </c>
      <c r="O128" s="150" t="s">
        <v>8629</v>
      </c>
      <c r="P128" s="150">
        <v>3.7609999999999998E-4</v>
      </c>
      <c r="Q128" s="153">
        <f t="shared" si="11"/>
        <v>3.5446622447704167E-3</v>
      </c>
    </row>
    <row r="129" spans="1:17" ht="101.5" x14ac:dyDescent="0.35">
      <c r="A129" s="186"/>
      <c r="B129" s="186"/>
      <c r="C129" s="187"/>
      <c r="D129" s="187"/>
      <c r="E129" s="188"/>
      <c r="F129" s="146" t="s">
        <v>8874</v>
      </c>
      <c r="G129" s="159" t="s">
        <v>8721</v>
      </c>
      <c r="H129" s="146" t="s">
        <v>8874</v>
      </c>
      <c r="I129" s="149"/>
      <c r="J129" s="149">
        <f t="shared" si="16"/>
        <v>0</v>
      </c>
      <c r="K129" s="149" t="e">
        <f t="shared" si="14"/>
        <v>#DIV/0!</v>
      </c>
      <c r="N129" s="150" t="s">
        <v>8684</v>
      </c>
      <c r="O129" s="150" t="s">
        <v>8855</v>
      </c>
      <c r="P129" s="150">
        <v>3.5124E-4</v>
      </c>
      <c r="Q129" s="153">
        <f t="shared" si="11"/>
        <v>3.3103620495962809E-3</v>
      </c>
    </row>
    <row r="130" spans="1:17" ht="87" x14ac:dyDescent="0.35">
      <c r="A130" s="186"/>
      <c r="B130" s="186"/>
      <c r="C130" s="187"/>
      <c r="D130" s="187"/>
      <c r="E130" s="188"/>
      <c r="F130" s="146" t="s">
        <v>8962</v>
      </c>
      <c r="G130" s="159" t="s">
        <v>8722</v>
      </c>
      <c r="H130" s="146" t="s">
        <v>8962</v>
      </c>
      <c r="I130" s="149"/>
      <c r="J130" s="149">
        <f t="shared" si="16"/>
        <v>0</v>
      </c>
      <c r="K130" s="149" t="e">
        <f t="shared" ref="K130:K144" si="17">J130/SUM($J$2:$J$144)</f>
        <v>#DIV/0!</v>
      </c>
      <c r="N130" s="150" t="s">
        <v>8662</v>
      </c>
      <c r="O130" s="150" t="s">
        <v>8844</v>
      </c>
      <c r="P130" s="150">
        <v>3.4933000000000002E-4</v>
      </c>
      <c r="Q130" s="153">
        <f t="shared" si="11"/>
        <v>3.2923607071673753E-3</v>
      </c>
    </row>
    <row r="131" spans="1:17" ht="116" x14ac:dyDescent="0.35">
      <c r="A131" s="186"/>
      <c r="B131" s="186"/>
      <c r="C131" s="187"/>
      <c r="D131" s="187"/>
      <c r="E131" s="188" t="s">
        <v>8723</v>
      </c>
      <c r="F131" s="146" t="s">
        <v>8875</v>
      </c>
      <c r="G131" s="155" t="s">
        <v>8724</v>
      </c>
      <c r="H131" s="146" t="s">
        <v>8875</v>
      </c>
      <c r="I131" s="149"/>
      <c r="J131" s="149">
        <f t="shared" si="16"/>
        <v>0</v>
      </c>
      <c r="K131" s="149" t="e">
        <f t="shared" si="17"/>
        <v>#DIV/0!</v>
      </c>
      <c r="N131" s="150" t="s">
        <v>8671</v>
      </c>
      <c r="O131" s="150" t="s">
        <v>8848</v>
      </c>
      <c r="P131" s="150">
        <v>3.3934999999999998E-4</v>
      </c>
      <c r="Q131" s="153">
        <f t="shared" ref="Q131:Q144" si="18" xml:space="preserve"> P131/SUM($P$2:$P$144)</f>
        <v>3.1983013367796885E-3</v>
      </c>
    </row>
    <row r="132" spans="1:17" ht="87" x14ac:dyDescent="0.35">
      <c r="A132" s="186"/>
      <c r="B132" s="186"/>
      <c r="C132" s="187"/>
      <c r="D132" s="187"/>
      <c r="E132" s="188"/>
      <c r="F132" s="146" t="s">
        <v>8876</v>
      </c>
      <c r="G132" s="159" t="s">
        <v>8725</v>
      </c>
      <c r="H132" s="146" t="s">
        <v>8876</v>
      </c>
      <c r="I132" s="149"/>
      <c r="J132" s="149">
        <f t="shared" si="16"/>
        <v>0</v>
      </c>
      <c r="K132" s="149" t="e">
        <f t="shared" si="17"/>
        <v>#DIV/0!</v>
      </c>
      <c r="N132" s="150" t="s">
        <v>8538</v>
      </c>
      <c r="O132" s="150" t="s">
        <v>8788</v>
      </c>
      <c r="P132" s="150">
        <v>3.0805999999999997E-4</v>
      </c>
      <c r="Q132" s="153">
        <f t="shared" si="18"/>
        <v>2.9033997636904404E-3</v>
      </c>
    </row>
    <row r="133" spans="1:17" ht="116" x14ac:dyDescent="0.35">
      <c r="A133" s="186"/>
      <c r="B133" s="186"/>
      <c r="C133" s="187"/>
      <c r="D133" s="187"/>
      <c r="E133" s="146" t="s">
        <v>8726</v>
      </c>
      <c r="F133" s="146" t="s">
        <v>8727</v>
      </c>
      <c r="G133" s="159" t="s">
        <v>8728</v>
      </c>
      <c r="H133" s="146" t="s">
        <v>8727</v>
      </c>
      <c r="I133" s="149"/>
      <c r="J133" s="149">
        <f t="shared" si="16"/>
        <v>0</v>
      </c>
      <c r="K133" s="149" t="e">
        <f t="shared" si="17"/>
        <v>#DIV/0!</v>
      </c>
      <c r="N133" s="150" t="s">
        <v>8545</v>
      </c>
      <c r="O133" s="150" t="s">
        <v>8795</v>
      </c>
      <c r="P133" s="150">
        <v>2.8744000000000003E-4</v>
      </c>
      <c r="Q133" s="153">
        <f t="shared" si="18"/>
        <v>2.7090606637511531E-3</v>
      </c>
    </row>
    <row r="134" spans="1:17" ht="101.5" x14ac:dyDescent="0.35">
      <c r="A134" s="186"/>
      <c r="B134" s="186"/>
      <c r="C134" s="187"/>
      <c r="D134" s="187"/>
      <c r="E134" s="146" t="s">
        <v>8729</v>
      </c>
      <c r="F134" s="146" t="s">
        <v>8730</v>
      </c>
      <c r="G134" s="159" t="s">
        <v>8731</v>
      </c>
      <c r="H134" s="146" t="s">
        <v>8730</v>
      </c>
      <c r="I134" s="149"/>
      <c r="J134" s="149">
        <f>$B$111*$D$111*I134</f>
        <v>0</v>
      </c>
      <c r="K134" s="149" t="e">
        <f t="shared" si="17"/>
        <v>#DIV/0!</v>
      </c>
      <c r="N134" s="150" t="s">
        <v>8565</v>
      </c>
      <c r="O134" s="150" t="s">
        <v>8564</v>
      </c>
      <c r="P134" s="150">
        <v>2.1881E-4</v>
      </c>
      <c r="Q134" s="153">
        <f t="shared" si="18"/>
        <v>2.0622375585701009E-3</v>
      </c>
    </row>
    <row r="135" spans="1:17" ht="72.5" x14ac:dyDescent="0.35">
      <c r="A135" s="186"/>
      <c r="B135" s="186"/>
      <c r="C135" s="187" t="s">
        <v>8732</v>
      </c>
      <c r="D135" s="187">
        <v>0.5573647513282558</v>
      </c>
      <c r="E135" s="146" t="s">
        <v>8733</v>
      </c>
      <c r="F135" s="146" t="s">
        <v>8734</v>
      </c>
      <c r="G135" s="155" t="s">
        <v>8735</v>
      </c>
      <c r="H135" s="146" t="s">
        <v>8734</v>
      </c>
      <c r="I135" s="149"/>
      <c r="J135" s="149">
        <f>$B$111*$D$135*I135</f>
        <v>0</v>
      </c>
      <c r="K135" s="149" t="e">
        <f t="shared" si="17"/>
        <v>#DIV/0!</v>
      </c>
      <c r="N135" s="150" t="s">
        <v>8553</v>
      </c>
      <c r="O135" s="150" t="s">
        <v>8799</v>
      </c>
      <c r="P135" s="150">
        <v>2.0913999999999999E-4</v>
      </c>
      <c r="Q135" s="153">
        <f t="shared" si="18"/>
        <v>1.9710998720321323E-3</v>
      </c>
    </row>
    <row r="136" spans="1:17" ht="116" x14ac:dyDescent="0.35">
      <c r="A136" s="186"/>
      <c r="B136" s="186"/>
      <c r="C136" s="187"/>
      <c r="D136" s="187"/>
      <c r="E136" s="188" t="s">
        <v>8736</v>
      </c>
      <c r="F136" s="146" t="s">
        <v>8877</v>
      </c>
      <c r="G136" s="155" t="s">
        <v>8737</v>
      </c>
      <c r="H136" s="146" t="s">
        <v>8877</v>
      </c>
      <c r="I136" s="149"/>
      <c r="J136" s="149">
        <f t="shared" ref="J136:J144" si="19">$B$111*$D$135*I136</f>
        <v>0</v>
      </c>
      <c r="K136" s="149" t="e">
        <f t="shared" si="17"/>
        <v>#DIV/0!</v>
      </c>
      <c r="N136" s="150" t="s">
        <v>8558</v>
      </c>
      <c r="O136" s="150" t="s">
        <v>8557</v>
      </c>
      <c r="P136" s="150">
        <v>1.3595E-4</v>
      </c>
      <c r="Q136" s="153">
        <f t="shared" si="18"/>
        <v>1.2812997399003941E-3</v>
      </c>
    </row>
    <row r="137" spans="1:17" ht="58" x14ac:dyDescent="0.35">
      <c r="A137" s="186"/>
      <c r="B137" s="186"/>
      <c r="C137" s="187"/>
      <c r="D137" s="187"/>
      <c r="E137" s="188"/>
      <c r="F137" s="146" t="s">
        <v>8878</v>
      </c>
      <c r="G137" s="159" t="s">
        <v>8738</v>
      </c>
      <c r="H137" s="146" t="s">
        <v>8878</v>
      </c>
      <c r="I137" s="149"/>
      <c r="J137" s="149">
        <f t="shared" si="19"/>
        <v>0</v>
      </c>
      <c r="K137" s="149" t="e">
        <f t="shared" si="17"/>
        <v>#DIV/0!</v>
      </c>
      <c r="N137" s="150" t="s">
        <v>8596</v>
      </c>
      <c r="O137" s="150" t="s">
        <v>8595</v>
      </c>
      <c r="P137" s="150">
        <v>5.0708000000000003E-5</v>
      </c>
      <c r="Q137" s="153">
        <f t="shared" si="18"/>
        <v>4.7791207952092081E-4</v>
      </c>
    </row>
    <row r="138" spans="1:17" ht="58" x14ac:dyDescent="0.35">
      <c r="A138" s="186"/>
      <c r="B138" s="186"/>
      <c r="C138" s="187"/>
      <c r="D138" s="187"/>
      <c r="E138" s="146" t="s">
        <v>8739</v>
      </c>
      <c r="F138" s="146" t="s">
        <v>8740</v>
      </c>
      <c r="G138" s="159" t="s">
        <v>8741</v>
      </c>
      <c r="H138" s="146" t="s">
        <v>8740</v>
      </c>
      <c r="I138" s="149"/>
      <c r="J138" s="149">
        <f t="shared" si="19"/>
        <v>0</v>
      </c>
      <c r="K138" s="149" t="e">
        <f t="shared" si="17"/>
        <v>#DIV/0!</v>
      </c>
      <c r="N138" s="150" t="s">
        <v>8593</v>
      </c>
      <c r="O138" s="150" t="s">
        <v>8592</v>
      </c>
      <c r="P138" s="150">
        <v>4.295E-5</v>
      </c>
      <c r="Q138" s="153">
        <f t="shared" si="18"/>
        <v>4.0479458498508217E-4</v>
      </c>
    </row>
    <row r="139" spans="1:17" ht="58" x14ac:dyDescent="0.35">
      <c r="A139" s="186"/>
      <c r="B139" s="186"/>
      <c r="C139" s="187"/>
      <c r="D139" s="187"/>
      <c r="E139" s="146" t="s">
        <v>8742</v>
      </c>
      <c r="F139" s="146" t="s">
        <v>8743</v>
      </c>
      <c r="G139" s="155" t="s">
        <v>8744</v>
      </c>
      <c r="H139" s="146" t="s">
        <v>8743</v>
      </c>
      <c r="I139" s="149"/>
      <c r="J139" s="149">
        <f t="shared" si="19"/>
        <v>0</v>
      </c>
      <c r="K139" s="149" t="e">
        <f t="shared" si="17"/>
        <v>#DIV/0!</v>
      </c>
      <c r="N139" s="150" t="s">
        <v>8744</v>
      </c>
      <c r="O139" s="150" t="s">
        <v>8743</v>
      </c>
      <c r="P139" s="150">
        <v>0</v>
      </c>
      <c r="Q139" s="153">
        <f t="shared" si="18"/>
        <v>0</v>
      </c>
    </row>
    <row r="140" spans="1:17" ht="159.5" x14ac:dyDescent="0.35">
      <c r="A140" s="186"/>
      <c r="B140" s="186"/>
      <c r="C140" s="187"/>
      <c r="D140" s="187"/>
      <c r="E140" s="146" t="s">
        <v>8745</v>
      </c>
      <c r="F140" s="146" t="s">
        <v>8746</v>
      </c>
      <c r="G140" s="155" t="s">
        <v>8747</v>
      </c>
      <c r="H140" s="146" t="s">
        <v>8746</v>
      </c>
      <c r="I140" s="149"/>
      <c r="J140" s="149">
        <f t="shared" si="19"/>
        <v>0</v>
      </c>
      <c r="K140" s="149" t="e">
        <f t="shared" si="17"/>
        <v>#DIV/0!</v>
      </c>
      <c r="N140" s="150" t="s">
        <v>8747</v>
      </c>
      <c r="O140" s="150" t="s">
        <v>8746</v>
      </c>
      <c r="P140" s="150">
        <v>0</v>
      </c>
      <c r="Q140" s="153">
        <f t="shared" si="18"/>
        <v>0</v>
      </c>
    </row>
    <row r="141" spans="1:17" ht="101.5" x14ac:dyDescent="0.35">
      <c r="A141" s="186"/>
      <c r="B141" s="186"/>
      <c r="C141" s="187"/>
      <c r="D141" s="187"/>
      <c r="E141" s="146" t="s">
        <v>8748</v>
      </c>
      <c r="F141" s="146" t="s">
        <v>8749</v>
      </c>
      <c r="G141" s="155" t="s">
        <v>8750</v>
      </c>
      <c r="H141" s="146" t="s">
        <v>8749</v>
      </c>
      <c r="I141" s="149"/>
      <c r="J141" s="149">
        <f t="shared" si="19"/>
        <v>0</v>
      </c>
      <c r="K141" s="149" t="e">
        <f t="shared" si="17"/>
        <v>#DIV/0!</v>
      </c>
      <c r="N141" s="150" t="s">
        <v>8750</v>
      </c>
      <c r="O141" s="150" t="s">
        <v>8749</v>
      </c>
      <c r="P141" s="150">
        <v>0</v>
      </c>
      <c r="Q141" s="153">
        <f t="shared" si="18"/>
        <v>0</v>
      </c>
    </row>
    <row r="142" spans="1:17" ht="72.5" x14ac:dyDescent="0.35">
      <c r="A142" s="186"/>
      <c r="B142" s="186"/>
      <c r="C142" s="187"/>
      <c r="D142" s="187"/>
      <c r="E142" s="146" t="s">
        <v>8751</v>
      </c>
      <c r="F142" s="146" t="s">
        <v>8752</v>
      </c>
      <c r="G142" s="155" t="s">
        <v>8753</v>
      </c>
      <c r="H142" s="146" t="s">
        <v>8752</v>
      </c>
      <c r="I142" s="149"/>
      <c r="J142" s="149">
        <f t="shared" si="19"/>
        <v>0</v>
      </c>
      <c r="K142" s="149" t="e">
        <f t="shared" si="17"/>
        <v>#DIV/0!</v>
      </c>
      <c r="N142" s="150" t="s">
        <v>8753</v>
      </c>
      <c r="O142" s="150" t="s">
        <v>8752</v>
      </c>
      <c r="P142" s="150">
        <v>0</v>
      </c>
      <c r="Q142" s="153">
        <f t="shared" si="18"/>
        <v>0</v>
      </c>
    </row>
    <row r="143" spans="1:17" ht="159.5" x14ac:dyDescent="0.35">
      <c r="A143" s="186"/>
      <c r="B143" s="186"/>
      <c r="C143" s="187"/>
      <c r="D143" s="187"/>
      <c r="E143" s="146" t="s">
        <v>8754</v>
      </c>
      <c r="F143" s="146" t="s">
        <v>8755</v>
      </c>
      <c r="G143" s="155" t="s">
        <v>8756</v>
      </c>
      <c r="H143" s="146" t="s">
        <v>8755</v>
      </c>
      <c r="I143" s="149"/>
      <c r="J143" s="149">
        <f t="shared" si="19"/>
        <v>0</v>
      </c>
      <c r="K143" s="149" t="e">
        <f t="shared" si="17"/>
        <v>#DIV/0!</v>
      </c>
      <c r="N143" s="150" t="s">
        <v>8756</v>
      </c>
      <c r="O143" s="150" t="s">
        <v>8755</v>
      </c>
      <c r="P143" s="150">
        <v>0</v>
      </c>
      <c r="Q143" s="153">
        <f t="shared" si="18"/>
        <v>0</v>
      </c>
    </row>
    <row r="144" spans="1:17" ht="101.5" x14ac:dyDescent="0.35">
      <c r="A144" s="186"/>
      <c r="B144" s="186"/>
      <c r="C144" s="187"/>
      <c r="D144" s="187"/>
      <c r="E144" s="146" t="s">
        <v>8757</v>
      </c>
      <c r="F144" s="146" t="s">
        <v>8758</v>
      </c>
      <c r="G144" s="155" t="s">
        <v>8759</v>
      </c>
      <c r="H144" s="146" t="s">
        <v>8758</v>
      </c>
      <c r="I144" s="149"/>
      <c r="J144" s="149">
        <f t="shared" si="19"/>
        <v>0</v>
      </c>
      <c r="K144" s="149" t="e">
        <f t="shared" si="17"/>
        <v>#DIV/0!</v>
      </c>
      <c r="N144" s="150" t="s">
        <v>8759</v>
      </c>
      <c r="O144" s="150" t="s">
        <v>8758</v>
      </c>
      <c r="P144" s="150">
        <v>0</v>
      </c>
      <c r="Q144" s="153">
        <f t="shared" si="18"/>
        <v>0</v>
      </c>
    </row>
  </sheetData>
  <mergeCells count="54">
    <mergeCell ref="E98:E99"/>
    <mergeCell ref="A2:A55"/>
    <mergeCell ref="C2:C14"/>
    <mergeCell ref="E3:E4"/>
    <mergeCell ref="E5:E7"/>
    <mergeCell ref="E10:E11"/>
    <mergeCell ref="C15:C37"/>
    <mergeCell ref="E15:E27"/>
    <mergeCell ref="E28:E31"/>
    <mergeCell ref="E33:E35"/>
    <mergeCell ref="E40:E43"/>
    <mergeCell ref="E46:E47"/>
    <mergeCell ref="E48:E53"/>
    <mergeCell ref="B2:B55"/>
    <mergeCell ref="D2:D14"/>
    <mergeCell ref="D15:D37"/>
    <mergeCell ref="B111:B144"/>
    <mergeCell ref="A56:A110"/>
    <mergeCell ref="C56:C80"/>
    <mergeCell ref="E56:E58"/>
    <mergeCell ref="E59:E60"/>
    <mergeCell ref="E62:E63"/>
    <mergeCell ref="E106:E107"/>
    <mergeCell ref="E64:E65"/>
    <mergeCell ref="E68:E70"/>
    <mergeCell ref="E74:E80"/>
    <mergeCell ref="C81:C91"/>
    <mergeCell ref="E81:E84"/>
    <mergeCell ref="E85:E88"/>
    <mergeCell ref="E89:E91"/>
    <mergeCell ref="E93:E94"/>
    <mergeCell ref="E95:E96"/>
    <mergeCell ref="D92:D110"/>
    <mergeCell ref="C92:C110"/>
    <mergeCell ref="E100:E101"/>
    <mergeCell ref="E103:E105"/>
    <mergeCell ref="A111:A144"/>
    <mergeCell ref="C111:C134"/>
    <mergeCell ref="E112:E116"/>
    <mergeCell ref="E117:E121"/>
    <mergeCell ref="E122:E127"/>
    <mergeCell ref="E128:E130"/>
    <mergeCell ref="E131:E132"/>
    <mergeCell ref="C135:C144"/>
    <mergeCell ref="E136:E137"/>
    <mergeCell ref="D111:D134"/>
    <mergeCell ref="D135:D144"/>
    <mergeCell ref="B56:B110"/>
    <mergeCell ref="C38:C53"/>
    <mergeCell ref="C54:C55"/>
    <mergeCell ref="D54:D55"/>
    <mergeCell ref="D56:D80"/>
    <mergeCell ref="D81:D91"/>
    <mergeCell ref="D38:D53"/>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J41"/>
  <sheetViews>
    <sheetView workbookViewId="0">
      <selection activeCell="N12" sqref="N12"/>
    </sheetView>
  </sheetViews>
  <sheetFormatPr baseColWidth="10" defaultColWidth="11.453125" defaultRowHeight="14.5" x14ac:dyDescent="0.35"/>
  <sheetData>
    <row r="1" spans="1:10" ht="30" x14ac:dyDescent="0.25">
      <c r="A1" s="25" t="s">
        <v>348</v>
      </c>
      <c r="B1" s="26"/>
      <c r="C1" s="26" t="s">
        <v>349</v>
      </c>
      <c r="D1" s="26" t="s">
        <v>350</v>
      </c>
      <c r="E1" s="26" t="s">
        <v>351</v>
      </c>
      <c r="F1" s="26" t="s">
        <v>352</v>
      </c>
      <c r="G1" s="26" t="s">
        <v>353</v>
      </c>
      <c r="H1" s="26" t="s">
        <v>354</v>
      </c>
      <c r="I1" s="27" t="s">
        <v>355</v>
      </c>
      <c r="J1" s="28" t="s">
        <v>356</v>
      </c>
    </row>
    <row r="2" spans="1:10" ht="16" x14ac:dyDescent="0.35">
      <c r="A2" s="200" t="s">
        <v>357</v>
      </c>
      <c r="B2" s="29" t="s">
        <v>358</v>
      </c>
      <c r="C2" s="29">
        <v>0.25</v>
      </c>
      <c r="D2" s="29">
        <v>0.26</v>
      </c>
      <c r="E2" s="29">
        <v>0.3</v>
      </c>
      <c r="F2" s="29">
        <v>0.33</v>
      </c>
      <c r="G2" s="29">
        <v>0.3</v>
      </c>
      <c r="H2" s="29">
        <v>0.23</v>
      </c>
      <c r="I2" s="30">
        <v>0.25</v>
      </c>
      <c r="J2" s="29">
        <v>0.26</v>
      </c>
    </row>
    <row r="3" spans="1:10" ht="16" x14ac:dyDescent="0.35">
      <c r="A3" s="201"/>
      <c r="B3" s="29" t="s">
        <v>359</v>
      </c>
      <c r="C3" s="29">
        <v>0.56000000000000005</v>
      </c>
      <c r="D3" s="29">
        <v>0.56999999999999995</v>
      </c>
      <c r="E3" s="29">
        <v>0.5</v>
      </c>
      <c r="F3" s="29">
        <v>0.53</v>
      </c>
      <c r="G3" s="29">
        <v>0.52</v>
      </c>
      <c r="H3" s="31">
        <v>0.54</v>
      </c>
      <c r="I3" s="29">
        <v>0.55000000000000004</v>
      </c>
      <c r="J3" s="29">
        <v>0.53</v>
      </c>
    </row>
    <row r="4" spans="1:10" ht="16" x14ac:dyDescent="0.35">
      <c r="A4" s="201"/>
      <c r="B4" s="29" t="s">
        <v>360</v>
      </c>
      <c r="C4" s="29">
        <v>0.22</v>
      </c>
      <c r="D4" s="29">
        <v>0.19</v>
      </c>
      <c r="E4" s="29">
        <v>0.22</v>
      </c>
      <c r="F4" s="29">
        <v>0.15</v>
      </c>
      <c r="G4" s="29">
        <v>0.21</v>
      </c>
      <c r="H4" s="31">
        <v>0.26</v>
      </c>
      <c r="I4" s="29">
        <v>0.22</v>
      </c>
      <c r="J4" s="29">
        <v>0.22</v>
      </c>
    </row>
    <row r="5" spans="1:10" ht="16" x14ac:dyDescent="0.35">
      <c r="A5" s="202"/>
      <c r="B5" s="29" t="s">
        <v>361</v>
      </c>
      <c r="C5" s="29">
        <v>1</v>
      </c>
      <c r="D5" s="29">
        <v>1</v>
      </c>
      <c r="E5" s="29">
        <v>1</v>
      </c>
      <c r="F5" s="29">
        <v>1</v>
      </c>
      <c r="G5" s="29">
        <v>1</v>
      </c>
      <c r="H5" s="29">
        <v>1</v>
      </c>
      <c r="I5" s="29">
        <v>1</v>
      </c>
      <c r="J5" s="29">
        <v>1</v>
      </c>
    </row>
    <row r="6" spans="1:10" ht="16" x14ac:dyDescent="0.35">
      <c r="A6" s="200" t="s">
        <v>362</v>
      </c>
      <c r="B6" s="29" t="s">
        <v>363</v>
      </c>
      <c r="C6" s="29">
        <v>0.49</v>
      </c>
      <c r="D6" s="29">
        <v>0.48</v>
      </c>
      <c r="E6" s="29">
        <v>0.48</v>
      </c>
      <c r="F6" s="29">
        <v>0.5</v>
      </c>
      <c r="G6" s="29">
        <v>0.49</v>
      </c>
      <c r="H6" s="31">
        <v>0.49</v>
      </c>
      <c r="I6" s="29">
        <v>0.49</v>
      </c>
      <c r="J6" s="29">
        <v>0.49</v>
      </c>
    </row>
    <row r="7" spans="1:10" ht="16" x14ac:dyDescent="0.35">
      <c r="A7" s="201"/>
      <c r="B7" s="29" t="s">
        <v>364</v>
      </c>
      <c r="C7" s="29">
        <v>0.51</v>
      </c>
      <c r="D7" s="29">
        <v>0.52</v>
      </c>
      <c r="E7" s="29">
        <v>0.52</v>
      </c>
      <c r="F7" s="29">
        <v>0.5</v>
      </c>
      <c r="G7" s="29">
        <v>0.51</v>
      </c>
      <c r="H7" s="31">
        <v>0.51</v>
      </c>
      <c r="I7" s="29">
        <v>0.51</v>
      </c>
      <c r="J7" s="29">
        <v>0.51</v>
      </c>
    </row>
    <row r="8" spans="1:10" ht="16" x14ac:dyDescent="0.35">
      <c r="A8" s="202"/>
      <c r="B8" s="29" t="s">
        <v>365</v>
      </c>
      <c r="C8" s="29">
        <v>1</v>
      </c>
      <c r="D8" s="29">
        <v>1</v>
      </c>
      <c r="E8" s="29">
        <v>1</v>
      </c>
      <c r="F8" s="29">
        <v>1</v>
      </c>
      <c r="G8" s="29">
        <v>1</v>
      </c>
      <c r="H8" s="29">
        <v>1</v>
      </c>
      <c r="I8" s="29">
        <v>1</v>
      </c>
      <c r="J8" s="29">
        <v>1</v>
      </c>
    </row>
    <row r="9" spans="1:10" ht="32" x14ac:dyDescent="0.35">
      <c r="A9" s="200" t="s">
        <v>366</v>
      </c>
      <c r="B9" s="29" t="s">
        <v>367</v>
      </c>
      <c r="C9" s="29">
        <v>0.43</v>
      </c>
      <c r="D9" s="29">
        <v>0.16</v>
      </c>
      <c r="E9" s="29">
        <v>0.254</v>
      </c>
      <c r="F9" s="29">
        <v>0.24</v>
      </c>
      <c r="G9" s="29">
        <v>0.2</v>
      </c>
      <c r="H9" s="31">
        <v>0.42</v>
      </c>
      <c r="I9" s="29">
        <v>0.24</v>
      </c>
      <c r="J9" s="29">
        <v>0.27</v>
      </c>
    </row>
    <row r="10" spans="1:10" ht="32" x14ac:dyDescent="0.35">
      <c r="A10" s="201"/>
      <c r="B10" s="29" t="s">
        <v>368</v>
      </c>
      <c r="C10" s="29">
        <v>0.25</v>
      </c>
      <c r="D10" s="29">
        <v>0.57999999999999996</v>
      </c>
      <c r="E10" s="29">
        <v>0.42199999999999999</v>
      </c>
      <c r="F10" s="29">
        <v>0.37</v>
      </c>
      <c r="G10" s="29">
        <v>0.42</v>
      </c>
      <c r="H10" s="31">
        <v>0.42</v>
      </c>
      <c r="I10" s="29">
        <v>0.56000000000000005</v>
      </c>
      <c r="J10" s="29">
        <v>0.45</v>
      </c>
    </row>
    <row r="11" spans="1:10" ht="32" x14ac:dyDescent="0.35">
      <c r="A11" s="201"/>
      <c r="B11" s="29" t="s">
        <v>369</v>
      </c>
      <c r="C11" s="29">
        <v>0.32</v>
      </c>
      <c r="D11" s="29">
        <v>0.26</v>
      </c>
      <c r="E11" s="29">
        <v>0.32400000000000001</v>
      </c>
      <c r="F11" s="29">
        <v>0.39</v>
      </c>
      <c r="G11" s="29">
        <v>0.38</v>
      </c>
      <c r="H11" s="31">
        <v>0.16</v>
      </c>
      <c r="I11" s="29">
        <v>0.2</v>
      </c>
      <c r="J11" s="29">
        <v>0.28000000000000003</v>
      </c>
    </row>
    <row r="12" spans="1:10" ht="32" x14ac:dyDescent="0.35">
      <c r="A12" s="202"/>
      <c r="B12" s="29" t="s">
        <v>370</v>
      </c>
      <c r="C12" s="29">
        <v>1</v>
      </c>
      <c r="D12" s="29">
        <v>1</v>
      </c>
      <c r="E12" s="29">
        <v>1</v>
      </c>
      <c r="F12" s="29">
        <v>1</v>
      </c>
      <c r="G12" s="29">
        <v>1</v>
      </c>
      <c r="H12" s="29">
        <v>1</v>
      </c>
      <c r="I12" s="29">
        <v>1</v>
      </c>
      <c r="J12" s="29">
        <v>1</v>
      </c>
    </row>
    <row r="13" spans="1:10" ht="16" x14ac:dyDescent="0.35">
      <c r="A13" s="200" t="s">
        <v>371</v>
      </c>
      <c r="B13" s="32" t="s">
        <v>372</v>
      </c>
      <c r="C13" s="32">
        <v>0.16700000000000001</v>
      </c>
      <c r="D13" s="32">
        <v>0.17699999999999999</v>
      </c>
      <c r="E13" s="32">
        <v>0.13600000000000001</v>
      </c>
      <c r="F13" s="33">
        <v>5.2999999999999999E-2</v>
      </c>
      <c r="G13" s="32">
        <v>0.19700000000000001</v>
      </c>
      <c r="H13" s="34">
        <v>0.14499999999999999</v>
      </c>
      <c r="I13" s="32" t="s">
        <v>373</v>
      </c>
      <c r="J13" s="29">
        <v>0.17599999999999999</v>
      </c>
    </row>
    <row r="14" spans="1:10" ht="32" x14ac:dyDescent="0.35">
      <c r="A14" s="201"/>
      <c r="B14" s="32" t="s">
        <v>374</v>
      </c>
      <c r="C14" s="32">
        <f>1-C13</f>
        <v>0.83299999999999996</v>
      </c>
      <c r="D14" s="32">
        <f t="shared" ref="D14:J14" si="0">1-D13</f>
        <v>0.82299999999999995</v>
      </c>
      <c r="E14" s="32">
        <f t="shared" si="0"/>
        <v>0.86399999999999999</v>
      </c>
      <c r="F14" s="32">
        <f t="shared" si="0"/>
        <v>0.94699999999999995</v>
      </c>
      <c r="G14" s="32">
        <f t="shared" si="0"/>
        <v>0.80299999999999994</v>
      </c>
      <c r="H14" s="32">
        <f t="shared" si="0"/>
        <v>0.85499999999999998</v>
      </c>
      <c r="I14" s="32" t="s">
        <v>373</v>
      </c>
      <c r="J14" s="32">
        <f t="shared" si="0"/>
        <v>0.82400000000000007</v>
      </c>
    </row>
    <row r="15" spans="1:10" ht="48" x14ac:dyDescent="0.35">
      <c r="A15" s="202"/>
      <c r="B15" s="32" t="s">
        <v>375</v>
      </c>
      <c r="C15" s="32">
        <v>1</v>
      </c>
      <c r="D15" s="32">
        <v>1</v>
      </c>
      <c r="E15" s="32">
        <v>1</v>
      </c>
      <c r="F15" s="32">
        <v>1</v>
      </c>
      <c r="G15" s="32">
        <v>1</v>
      </c>
      <c r="H15" s="32">
        <v>1</v>
      </c>
      <c r="I15" s="32">
        <v>1</v>
      </c>
      <c r="J15" s="32">
        <v>1</v>
      </c>
    </row>
    <row r="16" spans="1:10" ht="16" x14ac:dyDescent="0.35">
      <c r="A16" s="192" t="s">
        <v>376</v>
      </c>
      <c r="B16" s="35" t="s">
        <v>377</v>
      </c>
      <c r="C16" s="32">
        <v>1</v>
      </c>
      <c r="D16" s="32">
        <v>1</v>
      </c>
      <c r="E16" s="32">
        <v>1</v>
      </c>
      <c r="F16" s="32">
        <v>1</v>
      </c>
      <c r="G16" s="32">
        <v>1</v>
      </c>
      <c r="H16" s="32">
        <v>1</v>
      </c>
      <c r="I16" s="32">
        <v>1</v>
      </c>
      <c r="J16" s="32">
        <v>1</v>
      </c>
    </row>
    <row r="17" spans="1:10" ht="16" x14ac:dyDescent="0.35">
      <c r="A17" s="193"/>
      <c r="B17" s="35" t="s">
        <v>378</v>
      </c>
      <c r="C17" s="29">
        <v>0.255</v>
      </c>
      <c r="D17" s="29">
        <v>0.24099999999999999</v>
      </c>
      <c r="E17" s="29">
        <v>0.36</v>
      </c>
      <c r="F17" s="29">
        <v>0.26</v>
      </c>
      <c r="G17" s="29">
        <v>0.31</v>
      </c>
      <c r="H17" s="31">
        <v>0.33</v>
      </c>
      <c r="I17" s="29">
        <v>0.22</v>
      </c>
      <c r="J17" s="29">
        <v>0.33</v>
      </c>
    </row>
    <row r="18" spans="1:10" ht="16" x14ac:dyDescent="0.35">
      <c r="A18" s="193"/>
      <c r="B18" s="29" t="s">
        <v>379</v>
      </c>
      <c r="C18" s="29">
        <v>0.30399999999999999</v>
      </c>
      <c r="D18" s="29">
        <v>0.26100000000000001</v>
      </c>
      <c r="E18" s="29">
        <v>0.33</v>
      </c>
      <c r="F18" s="29">
        <v>0.28999999999999998</v>
      </c>
      <c r="G18" s="29">
        <v>0.34</v>
      </c>
      <c r="H18" s="31">
        <v>0.28000000000000003</v>
      </c>
      <c r="I18" s="29">
        <v>0.26</v>
      </c>
      <c r="J18" s="29">
        <v>0.31</v>
      </c>
    </row>
    <row r="19" spans="1:10" ht="16" x14ac:dyDescent="0.35">
      <c r="A19" s="193"/>
      <c r="B19" s="29" t="s">
        <v>380</v>
      </c>
      <c r="C19" s="29">
        <v>0.441</v>
      </c>
      <c r="D19" s="29">
        <v>0.498</v>
      </c>
      <c r="E19" s="29">
        <v>0.31</v>
      </c>
      <c r="F19" s="29">
        <v>0.45</v>
      </c>
      <c r="G19" s="29">
        <v>0.35</v>
      </c>
      <c r="H19" s="31">
        <v>0.4</v>
      </c>
      <c r="I19" s="29">
        <v>0.52</v>
      </c>
      <c r="J19" s="29">
        <v>0.36</v>
      </c>
    </row>
    <row r="20" spans="1:10" ht="16" x14ac:dyDescent="0.35">
      <c r="A20" s="193"/>
      <c r="B20" s="35" t="s">
        <v>381</v>
      </c>
      <c r="C20" s="29">
        <v>0.16</v>
      </c>
      <c r="D20" s="29">
        <v>0.22</v>
      </c>
      <c r="E20" s="29">
        <v>0.14000000000000001</v>
      </c>
      <c r="F20" s="29">
        <v>0.18</v>
      </c>
      <c r="G20" s="29">
        <v>0.18</v>
      </c>
      <c r="H20" s="31">
        <v>0.16</v>
      </c>
      <c r="I20" s="199" t="s">
        <v>373</v>
      </c>
      <c r="J20" s="195" t="s">
        <v>373</v>
      </c>
    </row>
    <row r="21" spans="1:10" ht="96" x14ac:dyDescent="0.35">
      <c r="A21" s="193"/>
      <c r="B21" s="36" t="s">
        <v>382</v>
      </c>
      <c r="C21" s="29" t="s">
        <v>383</v>
      </c>
      <c r="D21" s="29" t="s">
        <v>384</v>
      </c>
      <c r="E21" s="29" t="s">
        <v>385</v>
      </c>
      <c r="F21" s="29" t="s">
        <v>386</v>
      </c>
      <c r="G21" s="29" t="s">
        <v>387</v>
      </c>
      <c r="H21" s="31" t="s">
        <v>388</v>
      </c>
      <c r="I21" s="199"/>
      <c r="J21" s="196"/>
    </row>
    <row r="22" spans="1:10" ht="96" x14ac:dyDescent="0.35">
      <c r="A22" s="193"/>
      <c r="B22" s="36" t="s">
        <v>389</v>
      </c>
      <c r="C22" s="29" t="s">
        <v>390</v>
      </c>
      <c r="D22" s="29" t="s">
        <v>391</v>
      </c>
      <c r="E22" s="29" t="s">
        <v>392</v>
      </c>
      <c r="F22" s="29" t="s">
        <v>393</v>
      </c>
      <c r="G22" s="29" t="s">
        <v>394</v>
      </c>
      <c r="H22" s="31" t="s">
        <v>395</v>
      </c>
      <c r="I22" s="199"/>
      <c r="J22" s="197"/>
    </row>
    <row r="23" spans="1:10" ht="17" x14ac:dyDescent="0.35">
      <c r="A23" s="193"/>
      <c r="B23" s="37" t="s">
        <v>396</v>
      </c>
      <c r="C23" s="32">
        <v>0.72</v>
      </c>
      <c r="D23" s="32">
        <v>0.75</v>
      </c>
      <c r="E23" s="32">
        <v>0.65</v>
      </c>
      <c r="F23" s="32">
        <v>0.7</v>
      </c>
      <c r="G23" s="32">
        <v>0.77</v>
      </c>
      <c r="H23" s="32">
        <v>0.65</v>
      </c>
      <c r="I23" s="198" t="s">
        <v>373</v>
      </c>
      <c r="J23" s="199" t="s">
        <v>373</v>
      </c>
    </row>
    <row r="24" spans="1:10" ht="48" x14ac:dyDescent="0.35">
      <c r="A24" s="193"/>
      <c r="B24" s="38" t="s">
        <v>397</v>
      </c>
      <c r="C24" s="32">
        <v>0.51</v>
      </c>
      <c r="D24" s="32">
        <v>0.53</v>
      </c>
      <c r="E24" s="32">
        <v>0.45</v>
      </c>
      <c r="F24" s="32">
        <v>0.6</v>
      </c>
      <c r="G24" s="32">
        <v>0.45</v>
      </c>
      <c r="H24" s="32">
        <v>0.49</v>
      </c>
      <c r="I24" s="198"/>
      <c r="J24" s="199"/>
    </row>
    <row r="25" spans="1:10" ht="44.5" x14ac:dyDescent="0.35">
      <c r="A25" s="193"/>
      <c r="B25" s="38" t="s">
        <v>398</v>
      </c>
      <c r="C25" s="32">
        <v>0.31</v>
      </c>
      <c r="D25" s="32">
        <v>0.34</v>
      </c>
      <c r="E25" s="32">
        <v>0.5</v>
      </c>
      <c r="F25" s="32">
        <v>0.32</v>
      </c>
      <c r="G25" s="32">
        <v>0.49</v>
      </c>
      <c r="H25" s="32">
        <v>0.36</v>
      </c>
      <c r="I25" s="198"/>
      <c r="J25" s="199"/>
    </row>
    <row r="26" spans="1:10" ht="17" x14ac:dyDescent="0.35">
      <c r="A26" s="193"/>
      <c r="B26" s="39" t="s">
        <v>399</v>
      </c>
      <c r="C26" s="32">
        <v>0.12</v>
      </c>
      <c r="D26" s="32">
        <v>2.8000000000000001E-2</v>
      </c>
      <c r="E26" s="32">
        <v>0.21</v>
      </c>
      <c r="F26" s="32">
        <v>0.12</v>
      </c>
      <c r="G26" s="32">
        <v>0.17</v>
      </c>
      <c r="H26" s="32">
        <v>7.0000000000000007E-2</v>
      </c>
      <c r="I26" s="198" t="s">
        <v>373</v>
      </c>
      <c r="J26" s="199" t="s">
        <v>373</v>
      </c>
    </row>
    <row r="27" spans="1:10" ht="48" x14ac:dyDescent="0.35">
      <c r="A27" s="193"/>
      <c r="B27" s="38" t="s">
        <v>397</v>
      </c>
      <c r="C27" s="32">
        <v>0.42</v>
      </c>
      <c r="D27" s="32">
        <v>0.5</v>
      </c>
      <c r="E27" s="32">
        <v>0.53</v>
      </c>
      <c r="F27" s="32">
        <v>0.41</v>
      </c>
      <c r="G27" s="32">
        <v>0.41</v>
      </c>
      <c r="H27" s="32">
        <v>0.51</v>
      </c>
      <c r="I27" s="198"/>
      <c r="J27" s="199"/>
    </row>
    <row r="28" spans="1:10" ht="44.5" x14ac:dyDescent="0.35">
      <c r="A28" s="194"/>
      <c r="B28" s="38" t="s">
        <v>398</v>
      </c>
      <c r="C28" s="32">
        <v>0.55000000000000004</v>
      </c>
      <c r="D28" s="32">
        <v>0.46</v>
      </c>
      <c r="E28" s="32">
        <v>0.46</v>
      </c>
      <c r="F28" s="32">
        <v>0.57999999999999996</v>
      </c>
      <c r="G28" s="32">
        <v>0.56999999999999995</v>
      </c>
      <c r="H28" s="32">
        <v>0.46</v>
      </c>
      <c r="I28" s="198"/>
      <c r="J28" s="199"/>
    </row>
    <row r="29" spans="1:10" ht="16" x14ac:dyDescent="0.35">
      <c r="A29" s="192" t="s">
        <v>400</v>
      </c>
      <c r="B29" s="29" t="s">
        <v>304</v>
      </c>
      <c r="C29" s="29">
        <v>0.93</v>
      </c>
      <c r="D29" s="29">
        <v>0.95</v>
      </c>
      <c r="E29" s="29">
        <v>0.94599999999999995</v>
      </c>
      <c r="F29" s="29" t="s">
        <v>373</v>
      </c>
      <c r="G29" s="29">
        <v>0.93500000000000005</v>
      </c>
      <c r="H29" s="29">
        <v>0.95199999999999996</v>
      </c>
      <c r="I29" s="29" t="s">
        <v>373</v>
      </c>
      <c r="J29" s="4">
        <v>0.94</v>
      </c>
    </row>
    <row r="30" spans="1:10" ht="16" x14ac:dyDescent="0.35">
      <c r="A30" s="193"/>
      <c r="B30" s="35" t="s">
        <v>401</v>
      </c>
      <c r="C30" s="29">
        <v>7.0000000000000007E-2</v>
      </c>
      <c r="D30" s="29">
        <v>0.05</v>
      </c>
      <c r="E30" s="29">
        <v>5.3999999999999999E-2</v>
      </c>
      <c r="F30" s="29" t="s">
        <v>373</v>
      </c>
      <c r="G30" s="29">
        <v>6.5000000000000002E-2</v>
      </c>
      <c r="H30" s="29">
        <v>4.8000000000000001E-2</v>
      </c>
      <c r="I30" s="29" t="s">
        <v>373</v>
      </c>
      <c r="J30" s="4">
        <v>0.06</v>
      </c>
    </row>
    <row r="31" spans="1:10" ht="16" x14ac:dyDescent="0.35">
      <c r="A31" s="194"/>
      <c r="B31" s="35" t="s">
        <v>402</v>
      </c>
      <c r="C31" s="29"/>
      <c r="D31" s="29"/>
      <c r="E31" s="29"/>
      <c r="F31" s="29"/>
      <c r="G31" s="29"/>
      <c r="H31" s="29"/>
      <c r="I31" s="29"/>
      <c r="J31" s="4">
        <v>1</v>
      </c>
    </row>
    <row r="32" spans="1:10" ht="16" x14ac:dyDescent="0.35">
      <c r="A32" s="40" t="s">
        <v>403</v>
      </c>
      <c r="B32" s="29" t="s">
        <v>373</v>
      </c>
      <c r="C32" s="29" t="s">
        <v>373</v>
      </c>
      <c r="D32" s="29" t="s">
        <v>373</v>
      </c>
      <c r="E32" s="29" t="s">
        <v>373</v>
      </c>
      <c r="F32" s="29" t="s">
        <v>373</v>
      </c>
      <c r="G32" s="29" t="s">
        <v>373</v>
      </c>
      <c r="H32" s="29" t="s">
        <v>373</v>
      </c>
      <c r="I32" s="29" t="s">
        <v>373</v>
      </c>
      <c r="J32" s="29" t="s">
        <v>373</v>
      </c>
    </row>
    <row r="33" spans="1:10" ht="16" x14ac:dyDescent="0.35">
      <c r="A33" s="192" t="s">
        <v>404</v>
      </c>
      <c r="B33" s="29" t="s">
        <v>405</v>
      </c>
      <c r="C33" s="33">
        <v>0.69</v>
      </c>
      <c r="D33" s="33">
        <v>0.89</v>
      </c>
      <c r="E33" s="29" t="s">
        <v>373</v>
      </c>
      <c r="F33" s="33">
        <v>0.9</v>
      </c>
      <c r="G33" s="33">
        <v>0.54</v>
      </c>
      <c r="H33" s="29" t="s">
        <v>373</v>
      </c>
      <c r="I33" s="29">
        <v>0.89</v>
      </c>
      <c r="J33" s="29" t="s">
        <v>373</v>
      </c>
    </row>
    <row r="34" spans="1:10" ht="32" x14ac:dyDescent="0.35">
      <c r="A34" s="193"/>
      <c r="B34" s="29" t="s">
        <v>406</v>
      </c>
      <c r="C34" s="29">
        <v>2.8000000000000001E-2</v>
      </c>
      <c r="D34" s="29">
        <v>0.38</v>
      </c>
      <c r="E34" s="29" t="s">
        <v>373</v>
      </c>
      <c r="F34" s="29">
        <v>0.03</v>
      </c>
      <c r="G34" s="29" t="s">
        <v>373</v>
      </c>
      <c r="H34" s="29" t="s">
        <v>373</v>
      </c>
      <c r="I34" s="29">
        <v>0.06</v>
      </c>
      <c r="J34" s="29" t="s">
        <v>373</v>
      </c>
    </row>
    <row r="35" spans="1:10" ht="16" x14ac:dyDescent="0.35">
      <c r="A35" s="193"/>
      <c r="B35" s="29" t="s">
        <v>407</v>
      </c>
      <c r="C35" s="29">
        <v>0.158</v>
      </c>
      <c r="D35" s="29" t="s">
        <v>373</v>
      </c>
      <c r="E35" s="29" t="s">
        <v>373</v>
      </c>
      <c r="F35" s="29">
        <v>7.0000000000000007E-2</v>
      </c>
      <c r="G35" s="29" t="s">
        <v>373</v>
      </c>
      <c r="H35" s="29" t="s">
        <v>373</v>
      </c>
      <c r="I35" s="29">
        <v>0.01</v>
      </c>
      <c r="J35" s="29" t="s">
        <v>373</v>
      </c>
    </row>
    <row r="36" spans="1:10" ht="16" x14ac:dyDescent="0.35">
      <c r="A36" s="193"/>
      <c r="B36" s="29" t="s">
        <v>408</v>
      </c>
      <c r="C36" s="29">
        <v>0.113</v>
      </c>
      <c r="D36" s="29" t="s">
        <v>373</v>
      </c>
      <c r="E36" s="29" t="s">
        <v>373</v>
      </c>
      <c r="F36" s="29" t="s">
        <v>373</v>
      </c>
      <c r="G36" s="29" t="s">
        <v>373</v>
      </c>
      <c r="H36" s="29" t="s">
        <v>373</v>
      </c>
      <c r="I36" s="29">
        <v>0.03</v>
      </c>
      <c r="J36" s="29" t="s">
        <v>373</v>
      </c>
    </row>
    <row r="37" spans="1:10" ht="16" x14ac:dyDescent="0.35">
      <c r="A37" s="194"/>
      <c r="B37" s="29" t="s">
        <v>409</v>
      </c>
      <c r="C37" s="29">
        <v>1</v>
      </c>
      <c r="D37" s="29">
        <v>1</v>
      </c>
      <c r="E37" s="29">
        <v>1</v>
      </c>
      <c r="F37" s="29">
        <v>1</v>
      </c>
      <c r="G37" s="29">
        <v>1</v>
      </c>
      <c r="H37" s="29">
        <v>1</v>
      </c>
      <c r="I37" s="29">
        <v>1</v>
      </c>
      <c r="J37" s="29">
        <v>1</v>
      </c>
    </row>
    <row r="38" spans="1:10" ht="16" x14ac:dyDescent="0.35">
      <c r="A38" s="192" t="s">
        <v>410</v>
      </c>
      <c r="B38" s="35" t="s">
        <v>411</v>
      </c>
      <c r="C38" s="41">
        <v>28070</v>
      </c>
      <c r="D38" s="41">
        <v>11068</v>
      </c>
      <c r="E38" s="41">
        <v>35580</v>
      </c>
      <c r="F38" s="41">
        <v>43778</v>
      </c>
      <c r="G38" s="29">
        <v>44360</v>
      </c>
      <c r="H38" s="29">
        <v>30688</v>
      </c>
      <c r="I38" s="29">
        <v>6492</v>
      </c>
      <c r="J38" s="42">
        <v>31833</v>
      </c>
    </row>
    <row r="39" spans="1:10" ht="16" x14ac:dyDescent="0.35">
      <c r="A39" s="193"/>
      <c r="B39" s="35" t="s">
        <v>412</v>
      </c>
      <c r="C39" s="29">
        <f>14.59/100</f>
        <v>0.1459</v>
      </c>
      <c r="D39" s="29">
        <f>23.56/100</f>
        <v>0.23559999999999998</v>
      </c>
      <c r="E39" s="29">
        <f>8.81/100</f>
        <v>8.8100000000000012E-2</v>
      </c>
      <c r="F39" s="29">
        <f>21.56/100</f>
        <v>0.21559999999999999</v>
      </c>
      <c r="G39" s="29">
        <f>21.26/100</f>
        <v>0.21260000000000001</v>
      </c>
      <c r="H39" s="29">
        <f>9.44/100</f>
        <v>9.4399999999999998E-2</v>
      </c>
      <c r="I39" s="29">
        <f>22.91/100</f>
        <v>0.2291</v>
      </c>
      <c r="J39" s="33">
        <f>17.19/100</f>
        <v>0.17190000000000003</v>
      </c>
    </row>
    <row r="40" spans="1:10" ht="16" x14ac:dyDescent="0.35">
      <c r="A40" s="193"/>
      <c r="B40" s="35" t="s">
        <v>413</v>
      </c>
      <c r="C40" s="29">
        <f>1-C39</f>
        <v>0.85409999999999997</v>
      </c>
      <c r="D40" s="29">
        <f t="shared" ref="D40:J40" si="1">1-D39</f>
        <v>0.76439999999999997</v>
      </c>
      <c r="E40" s="29">
        <f t="shared" si="1"/>
        <v>0.91189999999999993</v>
      </c>
      <c r="F40" s="29">
        <f t="shared" si="1"/>
        <v>0.78439999999999999</v>
      </c>
      <c r="G40" s="29">
        <f t="shared" si="1"/>
        <v>0.78739999999999999</v>
      </c>
      <c r="H40" s="29">
        <f t="shared" si="1"/>
        <v>0.90559999999999996</v>
      </c>
      <c r="I40" s="29">
        <f t="shared" si="1"/>
        <v>0.77090000000000003</v>
      </c>
      <c r="J40" s="29">
        <f t="shared" si="1"/>
        <v>0.82809999999999995</v>
      </c>
    </row>
    <row r="41" spans="1:10" ht="32" x14ac:dyDescent="0.35">
      <c r="A41" s="194"/>
      <c r="B41" s="32" t="s">
        <v>414</v>
      </c>
      <c r="C41" s="32">
        <v>1</v>
      </c>
      <c r="D41" s="32">
        <v>1</v>
      </c>
      <c r="E41" s="32">
        <v>1</v>
      </c>
      <c r="F41" s="32">
        <v>1</v>
      </c>
      <c r="G41" s="32">
        <v>1</v>
      </c>
      <c r="H41" s="32">
        <v>1</v>
      </c>
      <c r="I41" s="32">
        <v>1</v>
      </c>
      <c r="J41" s="32">
        <v>1</v>
      </c>
    </row>
  </sheetData>
  <mergeCells count="14">
    <mergeCell ref="A2:A5"/>
    <mergeCell ref="A6:A8"/>
    <mergeCell ref="A9:A12"/>
    <mergeCell ref="A13:A15"/>
    <mergeCell ref="A16:A28"/>
    <mergeCell ref="A33:A37"/>
    <mergeCell ref="A38:A41"/>
    <mergeCell ref="J20:J22"/>
    <mergeCell ref="I23:I25"/>
    <mergeCell ref="J23:J25"/>
    <mergeCell ref="I26:I28"/>
    <mergeCell ref="J26:J28"/>
    <mergeCell ref="A29:A31"/>
    <mergeCell ref="I20:I2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F54"/>
  <sheetViews>
    <sheetView topLeftCell="A39" workbookViewId="0">
      <selection activeCell="C61" sqref="C61"/>
    </sheetView>
  </sheetViews>
  <sheetFormatPr baseColWidth="10" defaultColWidth="8.7265625" defaultRowHeight="14.5" x14ac:dyDescent="0.35"/>
  <sheetData>
    <row r="1" spans="1:27" x14ac:dyDescent="0.35">
      <c r="A1" s="171" t="s">
        <v>418</v>
      </c>
      <c r="B1" s="1"/>
      <c r="C1" s="1"/>
      <c r="D1" s="1"/>
      <c r="E1" s="1"/>
      <c r="F1" s="1"/>
      <c r="G1" s="1"/>
      <c r="H1" s="1"/>
      <c r="I1" s="1"/>
      <c r="J1" s="1"/>
      <c r="K1" s="1"/>
      <c r="L1" s="1"/>
      <c r="M1" s="1"/>
      <c r="N1" s="1"/>
      <c r="O1" s="1"/>
      <c r="P1" s="1"/>
      <c r="Q1" s="1"/>
      <c r="R1" s="1"/>
      <c r="S1" s="1"/>
      <c r="T1" s="1"/>
      <c r="U1" s="1"/>
      <c r="V1" s="1"/>
      <c r="W1" s="1"/>
      <c r="X1" s="1"/>
      <c r="Y1" s="1"/>
      <c r="Z1" s="1"/>
      <c r="AA1" s="1"/>
    </row>
    <row r="2" spans="1:27" x14ac:dyDescent="0.35">
      <c r="A2" s="171"/>
      <c r="B2" s="2" t="s">
        <v>0</v>
      </c>
      <c r="C2" s="2" t="s">
        <v>1</v>
      </c>
      <c r="D2" s="2" t="s">
        <v>2</v>
      </c>
      <c r="E2" s="2" t="s">
        <v>3</v>
      </c>
      <c r="F2" s="2" t="s">
        <v>4</v>
      </c>
      <c r="G2" s="2" t="s">
        <v>5</v>
      </c>
      <c r="H2" s="2" t="s">
        <v>6</v>
      </c>
      <c r="I2" s="2" t="s">
        <v>7</v>
      </c>
      <c r="J2" s="2" t="s">
        <v>8</v>
      </c>
      <c r="K2" s="2" t="s">
        <v>9</v>
      </c>
      <c r="L2" s="2" t="s">
        <v>10</v>
      </c>
      <c r="M2" s="2" t="s">
        <v>11</v>
      </c>
      <c r="N2" s="2" t="s">
        <v>12</v>
      </c>
      <c r="O2" s="2" t="s">
        <v>13</v>
      </c>
      <c r="P2" s="2" t="s">
        <v>14</v>
      </c>
      <c r="Q2" s="2" t="s">
        <v>15</v>
      </c>
      <c r="R2" s="2" t="s">
        <v>16</v>
      </c>
      <c r="S2" s="2" t="s">
        <v>17</v>
      </c>
      <c r="T2" s="2" t="s">
        <v>18</v>
      </c>
      <c r="U2" s="2" t="s">
        <v>19</v>
      </c>
      <c r="V2" s="2" t="s">
        <v>20</v>
      </c>
      <c r="W2" s="2" t="s">
        <v>21</v>
      </c>
      <c r="X2" s="2" t="s">
        <v>22</v>
      </c>
      <c r="Y2" s="2" t="s">
        <v>23</v>
      </c>
      <c r="Z2" s="2" t="s">
        <v>24</v>
      </c>
      <c r="AA2" s="2" t="s">
        <v>25</v>
      </c>
    </row>
    <row r="3" spans="1:27" ht="15" x14ac:dyDescent="0.25">
      <c r="A3" s="3">
        <v>1</v>
      </c>
      <c r="B3" s="4">
        <v>35</v>
      </c>
      <c r="C3" s="49">
        <v>35</v>
      </c>
      <c r="D3" s="4">
        <v>38</v>
      </c>
      <c r="E3" s="49">
        <v>38</v>
      </c>
      <c r="F3" s="4">
        <v>27</v>
      </c>
      <c r="G3" s="49">
        <v>27</v>
      </c>
      <c r="H3" s="4">
        <v>41</v>
      </c>
      <c r="I3" s="49">
        <v>41</v>
      </c>
      <c r="J3" s="4">
        <v>33</v>
      </c>
      <c r="K3" s="49">
        <v>33</v>
      </c>
      <c r="L3" s="4">
        <v>32</v>
      </c>
      <c r="M3" s="49">
        <v>32</v>
      </c>
      <c r="N3" s="4">
        <v>141</v>
      </c>
      <c r="O3" s="49">
        <v>141</v>
      </c>
      <c r="P3" s="4">
        <v>155</v>
      </c>
      <c r="Q3" s="49">
        <v>155</v>
      </c>
      <c r="R3" s="4">
        <v>149</v>
      </c>
      <c r="S3" s="49">
        <v>149</v>
      </c>
      <c r="T3" s="4">
        <v>142</v>
      </c>
      <c r="U3" s="49">
        <v>142</v>
      </c>
      <c r="V3" s="4">
        <v>140</v>
      </c>
      <c r="W3" s="49">
        <v>140</v>
      </c>
      <c r="X3" s="4">
        <v>152</v>
      </c>
      <c r="Y3" s="49">
        <v>152</v>
      </c>
      <c r="Z3" s="4">
        <v>137</v>
      </c>
      <c r="AA3" s="49">
        <v>137</v>
      </c>
    </row>
    <row r="4" spans="1:27" ht="15" x14ac:dyDescent="0.25">
      <c r="A4" s="3">
        <v>2</v>
      </c>
      <c r="B4" s="4">
        <v>0</v>
      </c>
      <c r="C4" s="49">
        <v>0</v>
      </c>
      <c r="D4" s="4">
        <v>0</v>
      </c>
      <c r="E4" s="49">
        <v>0</v>
      </c>
      <c r="F4" s="4">
        <v>0</v>
      </c>
      <c r="G4" s="49">
        <v>0</v>
      </c>
      <c r="H4" s="4">
        <v>0</v>
      </c>
      <c r="I4" s="49">
        <v>0</v>
      </c>
      <c r="J4" s="4">
        <v>0</v>
      </c>
      <c r="K4" s="49">
        <v>0</v>
      </c>
      <c r="L4" s="4">
        <v>0</v>
      </c>
      <c r="M4" s="49">
        <v>0</v>
      </c>
      <c r="N4" s="4">
        <v>1</v>
      </c>
      <c r="O4" s="49">
        <v>0</v>
      </c>
      <c r="P4" s="4">
        <v>0</v>
      </c>
      <c r="Q4" s="49">
        <v>0</v>
      </c>
      <c r="R4" s="4">
        <v>0</v>
      </c>
      <c r="S4" s="49">
        <v>1</v>
      </c>
      <c r="T4" s="4">
        <v>3</v>
      </c>
      <c r="U4" s="49">
        <v>1</v>
      </c>
      <c r="V4" s="4">
        <v>0</v>
      </c>
      <c r="W4" s="49">
        <v>0</v>
      </c>
      <c r="X4" s="4">
        <v>0</v>
      </c>
      <c r="Y4" s="49">
        <v>1</v>
      </c>
      <c r="Z4" s="4">
        <v>1</v>
      </c>
      <c r="AA4" s="49">
        <v>2</v>
      </c>
    </row>
    <row r="5" spans="1:27" ht="15" x14ac:dyDescent="0.25">
      <c r="A5" s="3">
        <v>3</v>
      </c>
      <c r="B5" s="4">
        <v>0</v>
      </c>
      <c r="C5" s="49">
        <v>1</v>
      </c>
      <c r="D5" s="4">
        <v>0</v>
      </c>
      <c r="E5" s="49">
        <v>0</v>
      </c>
      <c r="F5" s="4">
        <v>3</v>
      </c>
      <c r="G5" s="49">
        <v>1</v>
      </c>
      <c r="H5" s="4">
        <v>1</v>
      </c>
      <c r="I5" s="49">
        <v>0</v>
      </c>
      <c r="J5" s="4">
        <v>0</v>
      </c>
      <c r="K5" s="49">
        <v>0</v>
      </c>
      <c r="L5" s="4">
        <v>1</v>
      </c>
      <c r="M5" s="49">
        <v>0</v>
      </c>
      <c r="N5" s="4">
        <v>1</v>
      </c>
      <c r="O5" s="49">
        <v>0</v>
      </c>
      <c r="P5" s="4">
        <v>3</v>
      </c>
      <c r="Q5" s="49">
        <v>1</v>
      </c>
      <c r="R5" s="4">
        <v>2</v>
      </c>
      <c r="S5" s="49">
        <v>1</v>
      </c>
      <c r="T5" s="4">
        <v>1</v>
      </c>
      <c r="U5" s="49">
        <v>3</v>
      </c>
      <c r="V5" s="4">
        <v>1</v>
      </c>
      <c r="W5" s="49">
        <v>1</v>
      </c>
      <c r="X5" s="4">
        <v>0</v>
      </c>
      <c r="Y5" s="49">
        <v>2</v>
      </c>
      <c r="Z5" s="4">
        <v>0</v>
      </c>
      <c r="AA5" s="49">
        <v>3</v>
      </c>
    </row>
    <row r="6" spans="1:27" ht="15" x14ac:dyDescent="0.25">
      <c r="A6" s="3">
        <v>4</v>
      </c>
      <c r="B6" s="4">
        <v>2</v>
      </c>
      <c r="C6" s="49">
        <v>0</v>
      </c>
      <c r="D6" s="4">
        <v>3</v>
      </c>
      <c r="E6" s="49">
        <v>0</v>
      </c>
      <c r="F6" s="4">
        <v>1</v>
      </c>
      <c r="G6" s="49">
        <v>1</v>
      </c>
      <c r="H6" s="4">
        <v>0</v>
      </c>
      <c r="I6" s="49">
        <v>1</v>
      </c>
      <c r="J6" s="4">
        <v>1</v>
      </c>
      <c r="K6" s="49">
        <v>2</v>
      </c>
      <c r="L6" s="4">
        <v>2</v>
      </c>
      <c r="M6" s="49">
        <v>1</v>
      </c>
      <c r="N6" s="4">
        <v>4</v>
      </c>
      <c r="O6" s="49">
        <v>3</v>
      </c>
      <c r="P6" s="4">
        <v>2</v>
      </c>
      <c r="Q6" s="49">
        <v>1</v>
      </c>
      <c r="R6" s="4">
        <v>1</v>
      </c>
      <c r="S6" s="49">
        <v>3</v>
      </c>
      <c r="T6" s="4">
        <v>2</v>
      </c>
      <c r="U6" s="49">
        <v>3</v>
      </c>
      <c r="V6" s="4">
        <v>7</v>
      </c>
      <c r="W6" s="49">
        <v>0</v>
      </c>
      <c r="X6" s="4">
        <v>2</v>
      </c>
      <c r="Y6" s="49">
        <v>5</v>
      </c>
      <c r="Z6" s="4">
        <v>1</v>
      </c>
      <c r="AA6" s="49">
        <v>4</v>
      </c>
    </row>
    <row r="7" spans="1:27" ht="15" x14ac:dyDescent="0.25">
      <c r="A7" s="3">
        <v>5</v>
      </c>
      <c r="B7" s="4">
        <v>3</v>
      </c>
      <c r="C7" s="49">
        <v>0</v>
      </c>
      <c r="D7" s="4">
        <v>7</v>
      </c>
      <c r="E7" s="49">
        <v>0</v>
      </c>
      <c r="F7" s="4">
        <v>4</v>
      </c>
      <c r="G7" s="49">
        <v>2</v>
      </c>
      <c r="H7" s="4">
        <v>0</v>
      </c>
      <c r="I7" s="49">
        <v>5</v>
      </c>
      <c r="J7" s="4">
        <v>5</v>
      </c>
      <c r="K7" s="49">
        <v>1</v>
      </c>
      <c r="L7" s="4">
        <v>5</v>
      </c>
      <c r="M7" s="49">
        <v>3</v>
      </c>
      <c r="N7" s="4">
        <v>8</v>
      </c>
      <c r="O7" s="49">
        <v>6</v>
      </c>
      <c r="P7" s="4">
        <v>5</v>
      </c>
      <c r="Q7" s="49">
        <v>3</v>
      </c>
      <c r="R7" s="4">
        <v>3</v>
      </c>
      <c r="S7" s="49">
        <v>2</v>
      </c>
      <c r="T7" s="4">
        <v>1</v>
      </c>
      <c r="U7" s="49">
        <v>4</v>
      </c>
      <c r="V7" s="4">
        <v>9</v>
      </c>
      <c r="W7" s="49">
        <v>1</v>
      </c>
      <c r="X7" s="4">
        <v>3</v>
      </c>
      <c r="Y7" s="49">
        <v>7</v>
      </c>
      <c r="Z7" s="4">
        <v>2</v>
      </c>
      <c r="AA7" s="49">
        <v>4</v>
      </c>
    </row>
    <row r="8" spans="1:27" ht="15" x14ac:dyDescent="0.25">
      <c r="A8" s="3">
        <v>6</v>
      </c>
      <c r="B8" s="4">
        <v>6</v>
      </c>
      <c r="C8" s="49">
        <v>2</v>
      </c>
      <c r="D8" s="4">
        <v>5</v>
      </c>
      <c r="E8" s="49">
        <v>0</v>
      </c>
      <c r="F8" s="4">
        <v>3</v>
      </c>
      <c r="G8" s="49">
        <v>1</v>
      </c>
      <c r="H8" s="4">
        <v>3</v>
      </c>
      <c r="I8" s="49">
        <v>10</v>
      </c>
      <c r="J8" s="4">
        <v>4</v>
      </c>
      <c r="K8" s="49">
        <v>3</v>
      </c>
      <c r="L8" s="4">
        <v>3</v>
      </c>
      <c r="M8" s="49">
        <v>2</v>
      </c>
      <c r="N8" s="4">
        <v>15</v>
      </c>
      <c r="O8" s="49">
        <v>3</v>
      </c>
      <c r="P8" s="4">
        <v>16</v>
      </c>
      <c r="Q8" s="49">
        <v>2</v>
      </c>
      <c r="R8" s="4">
        <v>9</v>
      </c>
      <c r="S8" s="49">
        <v>5</v>
      </c>
      <c r="T8" s="4">
        <v>5</v>
      </c>
      <c r="U8" s="49">
        <v>10</v>
      </c>
      <c r="V8" s="4">
        <v>14</v>
      </c>
      <c r="W8" s="49">
        <v>5</v>
      </c>
      <c r="X8" s="4">
        <v>13</v>
      </c>
      <c r="Y8" s="49">
        <v>5</v>
      </c>
      <c r="Z8" s="4">
        <v>12</v>
      </c>
      <c r="AA8" s="49">
        <v>16</v>
      </c>
    </row>
    <row r="9" spans="1:27" ht="15" x14ac:dyDescent="0.25">
      <c r="A9" s="3">
        <v>7</v>
      </c>
      <c r="B9" s="4">
        <v>19</v>
      </c>
      <c r="C9" s="49">
        <v>0</v>
      </c>
      <c r="D9" s="4">
        <v>15</v>
      </c>
      <c r="E9" s="49">
        <v>4</v>
      </c>
      <c r="F9" s="4">
        <v>16</v>
      </c>
      <c r="G9" s="49">
        <v>0</v>
      </c>
      <c r="H9" s="4">
        <v>5</v>
      </c>
      <c r="I9" s="49">
        <v>7</v>
      </c>
      <c r="J9" s="4">
        <v>12</v>
      </c>
      <c r="K9" s="49">
        <v>7</v>
      </c>
      <c r="L9" s="4">
        <v>9</v>
      </c>
      <c r="M9" s="49">
        <v>5</v>
      </c>
      <c r="N9" s="4">
        <v>12</v>
      </c>
      <c r="O9" s="49">
        <v>9</v>
      </c>
      <c r="P9" s="4">
        <v>20</v>
      </c>
      <c r="Q9" s="49">
        <v>6</v>
      </c>
      <c r="R9" s="4">
        <v>22</v>
      </c>
      <c r="S9" s="49">
        <v>9</v>
      </c>
      <c r="T9" s="4">
        <v>8</v>
      </c>
      <c r="U9" s="49">
        <v>19</v>
      </c>
      <c r="V9" s="4">
        <v>23</v>
      </c>
      <c r="W9" s="49">
        <v>1</v>
      </c>
      <c r="X9" s="4">
        <v>10</v>
      </c>
      <c r="Y9" s="49">
        <v>10</v>
      </c>
      <c r="Z9" s="4">
        <v>5</v>
      </c>
      <c r="AA9" s="49">
        <v>21</v>
      </c>
    </row>
    <row r="10" spans="1:27" ht="15" x14ac:dyDescent="0.25">
      <c r="A10" s="3">
        <v>8</v>
      </c>
      <c r="B10" s="4">
        <v>8</v>
      </c>
      <c r="C10" s="49">
        <v>0</v>
      </c>
      <c r="D10" s="4">
        <v>6</v>
      </c>
      <c r="E10" s="49">
        <v>1</v>
      </c>
      <c r="F10" s="4">
        <v>18</v>
      </c>
      <c r="G10" s="49">
        <v>0</v>
      </c>
      <c r="H10" s="4">
        <v>4</v>
      </c>
      <c r="I10" s="49">
        <v>3</v>
      </c>
      <c r="J10" s="4">
        <v>10</v>
      </c>
      <c r="K10" s="49">
        <v>3</v>
      </c>
      <c r="L10" s="4">
        <v>13</v>
      </c>
      <c r="M10" s="49">
        <v>0</v>
      </c>
      <c r="N10" s="4">
        <v>14</v>
      </c>
      <c r="O10" s="49">
        <v>7</v>
      </c>
      <c r="P10" s="4">
        <v>9</v>
      </c>
      <c r="Q10" s="49">
        <v>8</v>
      </c>
      <c r="R10" s="4">
        <v>13</v>
      </c>
      <c r="S10" s="49">
        <v>5</v>
      </c>
      <c r="T10" s="4">
        <v>10</v>
      </c>
      <c r="U10" s="49">
        <v>11</v>
      </c>
      <c r="V10" s="4">
        <v>20</v>
      </c>
      <c r="W10" s="49">
        <v>5</v>
      </c>
      <c r="X10" s="4">
        <v>7</v>
      </c>
      <c r="Y10" s="49">
        <v>10</v>
      </c>
      <c r="Z10" s="4">
        <v>1</v>
      </c>
      <c r="AA10" s="49">
        <v>17</v>
      </c>
    </row>
    <row r="11" spans="1:27" ht="15" x14ac:dyDescent="0.25">
      <c r="A11" s="3">
        <v>9</v>
      </c>
      <c r="B11" s="4">
        <v>6</v>
      </c>
      <c r="C11" s="49">
        <v>0</v>
      </c>
      <c r="D11" s="4">
        <v>2</v>
      </c>
      <c r="E11" s="49">
        <v>1</v>
      </c>
      <c r="F11" s="4">
        <v>5</v>
      </c>
      <c r="G11" s="49">
        <v>0</v>
      </c>
      <c r="H11" s="4">
        <v>0</v>
      </c>
      <c r="I11" s="49">
        <v>2</v>
      </c>
      <c r="J11" s="4">
        <v>0</v>
      </c>
      <c r="K11" s="49">
        <v>1</v>
      </c>
      <c r="L11" s="4">
        <v>5</v>
      </c>
      <c r="M11" s="49">
        <v>1</v>
      </c>
      <c r="N11" s="4">
        <v>16</v>
      </c>
      <c r="O11" s="49">
        <v>7</v>
      </c>
      <c r="P11" s="4">
        <v>13</v>
      </c>
      <c r="Q11" s="49">
        <v>3</v>
      </c>
      <c r="R11" s="4">
        <v>18</v>
      </c>
      <c r="S11" s="49">
        <v>4</v>
      </c>
      <c r="T11" s="4">
        <v>11</v>
      </c>
      <c r="U11" s="49">
        <v>13</v>
      </c>
      <c r="V11" s="4">
        <v>14</v>
      </c>
      <c r="W11" s="49">
        <v>1</v>
      </c>
      <c r="X11" s="4">
        <v>2</v>
      </c>
      <c r="Y11" s="49">
        <v>13</v>
      </c>
      <c r="Z11" s="4">
        <v>2</v>
      </c>
      <c r="AA11" s="49">
        <v>14</v>
      </c>
    </row>
    <row r="12" spans="1:27" ht="15" x14ac:dyDescent="0.25">
      <c r="A12" s="5">
        <v>0.5</v>
      </c>
      <c r="B12" s="4">
        <v>0</v>
      </c>
      <c r="C12" s="49">
        <v>0</v>
      </c>
      <c r="D12" s="4">
        <v>0</v>
      </c>
      <c r="E12" s="49">
        <v>0</v>
      </c>
      <c r="F12" s="4">
        <v>0</v>
      </c>
      <c r="G12" s="49">
        <v>0</v>
      </c>
      <c r="H12" s="4">
        <v>0</v>
      </c>
      <c r="I12" s="49">
        <v>0</v>
      </c>
      <c r="J12" s="4">
        <v>0</v>
      </c>
      <c r="K12" s="49">
        <v>0</v>
      </c>
      <c r="L12" s="4">
        <v>0</v>
      </c>
      <c r="M12" s="49">
        <v>0</v>
      </c>
      <c r="N12" s="4">
        <v>0</v>
      </c>
      <c r="O12" s="49">
        <v>1</v>
      </c>
      <c r="P12" s="4">
        <v>0</v>
      </c>
      <c r="Q12" s="49">
        <v>0</v>
      </c>
      <c r="R12" s="4">
        <v>1</v>
      </c>
      <c r="S12" s="49">
        <v>0</v>
      </c>
      <c r="T12" s="4">
        <v>1</v>
      </c>
      <c r="U12" s="49">
        <v>3</v>
      </c>
      <c r="V12" s="4">
        <v>0</v>
      </c>
      <c r="W12" s="49">
        <v>0</v>
      </c>
      <c r="X12" s="4">
        <v>1</v>
      </c>
      <c r="Y12" s="49">
        <v>0</v>
      </c>
      <c r="Z12" s="4">
        <v>2</v>
      </c>
      <c r="AA12" s="49">
        <v>1</v>
      </c>
    </row>
    <row r="13" spans="1:27" ht="15" x14ac:dyDescent="0.25">
      <c r="A13" s="5">
        <v>0.33333333333333331</v>
      </c>
      <c r="B13" s="4">
        <v>1</v>
      </c>
      <c r="C13" s="49">
        <v>0</v>
      </c>
      <c r="D13" s="4">
        <v>0</v>
      </c>
      <c r="E13" s="49">
        <v>0</v>
      </c>
      <c r="F13" s="4">
        <v>1</v>
      </c>
      <c r="G13" s="49">
        <v>3</v>
      </c>
      <c r="H13" s="4">
        <v>0</v>
      </c>
      <c r="I13" s="49">
        <v>1</v>
      </c>
      <c r="J13" s="4">
        <v>0</v>
      </c>
      <c r="K13" s="49">
        <v>0</v>
      </c>
      <c r="L13" s="4">
        <v>0</v>
      </c>
      <c r="M13" s="49">
        <v>1</v>
      </c>
      <c r="N13" s="4">
        <v>0</v>
      </c>
      <c r="O13" s="49">
        <v>1</v>
      </c>
      <c r="P13" s="4">
        <v>1</v>
      </c>
      <c r="Q13" s="49">
        <v>3</v>
      </c>
      <c r="R13" s="4">
        <v>1</v>
      </c>
      <c r="S13" s="49">
        <v>2</v>
      </c>
      <c r="T13" s="4">
        <v>3</v>
      </c>
      <c r="U13" s="49">
        <v>1</v>
      </c>
      <c r="V13" s="4">
        <v>1</v>
      </c>
      <c r="W13" s="49">
        <v>1</v>
      </c>
      <c r="X13" s="4">
        <v>2</v>
      </c>
      <c r="Y13" s="49">
        <v>0</v>
      </c>
      <c r="Z13" s="4">
        <v>3</v>
      </c>
      <c r="AA13" s="49">
        <v>0</v>
      </c>
    </row>
    <row r="14" spans="1:27" ht="15" x14ac:dyDescent="0.25">
      <c r="A14" s="5">
        <v>0.25</v>
      </c>
      <c r="B14" s="4">
        <v>0</v>
      </c>
      <c r="C14" s="49">
        <v>2</v>
      </c>
      <c r="D14" s="4">
        <v>0</v>
      </c>
      <c r="E14" s="49">
        <v>3</v>
      </c>
      <c r="F14" s="4">
        <v>1</v>
      </c>
      <c r="G14" s="49">
        <v>1</v>
      </c>
      <c r="H14" s="4">
        <v>1</v>
      </c>
      <c r="I14" s="49">
        <v>0</v>
      </c>
      <c r="J14" s="4">
        <v>2</v>
      </c>
      <c r="K14" s="49">
        <v>1</v>
      </c>
      <c r="L14" s="4">
        <v>1</v>
      </c>
      <c r="M14" s="49">
        <v>2</v>
      </c>
      <c r="N14" s="4">
        <v>3</v>
      </c>
      <c r="O14" s="49">
        <v>4</v>
      </c>
      <c r="P14" s="4">
        <v>1</v>
      </c>
      <c r="Q14" s="49">
        <v>2</v>
      </c>
      <c r="R14" s="4">
        <v>3</v>
      </c>
      <c r="S14" s="49">
        <v>1</v>
      </c>
      <c r="T14" s="4">
        <v>3</v>
      </c>
      <c r="U14" s="49">
        <v>2</v>
      </c>
      <c r="V14" s="4">
        <v>0</v>
      </c>
      <c r="W14" s="49">
        <v>7</v>
      </c>
      <c r="X14" s="4">
        <v>5</v>
      </c>
      <c r="Y14" s="49">
        <v>2</v>
      </c>
      <c r="Z14" s="4">
        <v>4</v>
      </c>
      <c r="AA14" s="49">
        <v>1</v>
      </c>
    </row>
    <row r="15" spans="1:27" ht="15" x14ac:dyDescent="0.25">
      <c r="A15" s="5">
        <v>0.2</v>
      </c>
      <c r="B15" s="4">
        <v>0</v>
      </c>
      <c r="C15" s="49">
        <v>3</v>
      </c>
      <c r="D15" s="4">
        <v>0</v>
      </c>
      <c r="E15" s="49">
        <v>7</v>
      </c>
      <c r="F15" s="4">
        <v>2</v>
      </c>
      <c r="G15" s="49">
        <v>4</v>
      </c>
      <c r="H15" s="4">
        <v>5</v>
      </c>
      <c r="I15" s="49">
        <v>0</v>
      </c>
      <c r="J15" s="4">
        <v>1</v>
      </c>
      <c r="K15" s="49">
        <v>5</v>
      </c>
      <c r="L15" s="4">
        <v>3</v>
      </c>
      <c r="M15" s="49">
        <v>5</v>
      </c>
      <c r="N15" s="4">
        <v>6</v>
      </c>
      <c r="O15" s="49">
        <v>8</v>
      </c>
      <c r="P15" s="4">
        <v>3</v>
      </c>
      <c r="Q15" s="49">
        <v>5</v>
      </c>
      <c r="R15" s="4">
        <v>2</v>
      </c>
      <c r="S15" s="49">
        <v>3</v>
      </c>
      <c r="T15" s="4">
        <v>4</v>
      </c>
      <c r="U15" s="49">
        <v>1</v>
      </c>
      <c r="V15" s="4">
        <v>1</v>
      </c>
      <c r="W15" s="49">
        <v>9</v>
      </c>
      <c r="X15" s="4">
        <v>7</v>
      </c>
      <c r="Y15" s="49">
        <v>3</v>
      </c>
      <c r="Z15" s="4">
        <v>4</v>
      </c>
      <c r="AA15" s="49">
        <v>2</v>
      </c>
    </row>
    <row r="16" spans="1:27" ht="15" x14ac:dyDescent="0.25">
      <c r="A16" s="5">
        <v>0.16666666666666666</v>
      </c>
      <c r="B16" s="4">
        <v>2</v>
      </c>
      <c r="C16" s="49">
        <v>6</v>
      </c>
      <c r="D16" s="4">
        <v>0</v>
      </c>
      <c r="E16" s="49">
        <v>5</v>
      </c>
      <c r="F16" s="4">
        <v>1</v>
      </c>
      <c r="G16" s="49">
        <v>3</v>
      </c>
      <c r="H16" s="4">
        <v>10</v>
      </c>
      <c r="I16" s="49">
        <v>3</v>
      </c>
      <c r="J16" s="4">
        <v>3</v>
      </c>
      <c r="K16" s="49">
        <v>4</v>
      </c>
      <c r="L16" s="4">
        <v>2</v>
      </c>
      <c r="M16" s="49">
        <v>3</v>
      </c>
      <c r="N16" s="4">
        <v>3</v>
      </c>
      <c r="O16" s="49">
        <v>15</v>
      </c>
      <c r="P16" s="4">
        <v>2</v>
      </c>
      <c r="Q16" s="49">
        <v>16</v>
      </c>
      <c r="R16" s="4">
        <v>5</v>
      </c>
      <c r="S16" s="49">
        <v>9</v>
      </c>
      <c r="T16" s="4">
        <v>10</v>
      </c>
      <c r="U16" s="49">
        <v>5</v>
      </c>
      <c r="V16" s="4">
        <v>5</v>
      </c>
      <c r="W16" s="49">
        <v>14</v>
      </c>
      <c r="X16" s="4">
        <v>5</v>
      </c>
      <c r="Y16" s="49">
        <v>13</v>
      </c>
      <c r="Z16" s="4">
        <v>16</v>
      </c>
      <c r="AA16" s="49">
        <v>12</v>
      </c>
    </row>
    <row r="17" spans="1:32" ht="15" x14ac:dyDescent="0.25">
      <c r="A17" s="5">
        <v>0.14285714285714285</v>
      </c>
      <c r="B17" s="4">
        <v>0</v>
      </c>
      <c r="C17" s="49">
        <v>19</v>
      </c>
      <c r="D17" s="4">
        <v>4</v>
      </c>
      <c r="E17" s="49">
        <v>15</v>
      </c>
      <c r="F17" s="4">
        <v>0</v>
      </c>
      <c r="G17" s="49">
        <v>16</v>
      </c>
      <c r="H17" s="4">
        <v>7</v>
      </c>
      <c r="I17" s="49">
        <v>5</v>
      </c>
      <c r="J17" s="4">
        <v>7</v>
      </c>
      <c r="K17" s="49">
        <v>12</v>
      </c>
      <c r="L17" s="4">
        <v>5</v>
      </c>
      <c r="M17" s="49">
        <v>9</v>
      </c>
      <c r="N17" s="4">
        <v>9</v>
      </c>
      <c r="O17" s="49">
        <v>12</v>
      </c>
      <c r="P17" s="4">
        <v>6</v>
      </c>
      <c r="Q17" s="49">
        <v>20</v>
      </c>
      <c r="R17" s="4">
        <v>9</v>
      </c>
      <c r="S17" s="49">
        <v>22</v>
      </c>
      <c r="T17" s="4">
        <v>19</v>
      </c>
      <c r="U17" s="49">
        <v>8</v>
      </c>
      <c r="V17" s="4">
        <v>1</v>
      </c>
      <c r="W17" s="49">
        <v>23</v>
      </c>
      <c r="X17" s="4">
        <v>10</v>
      </c>
      <c r="Y17" s="49">
        <v>10</v>
      </c>
      <c r="Z17" s="4">
        <v>21</v>
      </c>
      <c r="AA17" s="49">
        <v>5</v>
      </c>
    </row>
    <row r="18" spans="1:32" ht="15" x14ac:dyDescent="0.25">
      <c r="A18" s="5">
        <v>0.125</v>
      </c>
      <c r="B18" s="4">
        <v>0</v>
      </c>
      <c r="C18" s="49">
        <v>8</v>
      </c>
      <c r="D18" s="4">
        <v>1</v>
      </c>
      <c r="E18" s="49">
        <v>6</v>
      </c>
      <c r="F18" s="4">
        <v>0</v>
      </c>
      <c r="G18" s="49">
        <v>18</v>
      </c>
      <c r="H18" s="4">
        <v>3</v>
      </c>
      <c r="I18" s="49">
        <v>4</v>
      </c>
      <c r="J18" s="4">
        <v>3</v>
      </c>
      <c r="K18" s="49">
        <v>10</v>
      </c>
      <c r="L18" s="4">
        <v>0</v>
      </c>
      <c r="M18" s="49">
        <v>13</v>
      </c>
      <c r="N18" s="4">
        <v>7</v>
      </c>
      <c r="O18" s="49">
        <v>14</v>
      </c>
      <c r="P18" s="4">
        <v>8</v>
      </c>
      <c r="Q18" s="49">
        <v>9</v>
      </c>
      <c r="R18" s="4">
        <v>5</v>
      </c>
      <c r="S18" s="49">
        <v>13</v>
      </c>
      <c r="T18" s="4">
        <v>11</v>
      </c>
      <c r="U18" s="49">
        <v>10</v>
      </c>
      <c r="V18" s="4">
        <v>5</v>
      </c>
      <c r="W18" s="49">
        <v>20</v>
      </c>
      <c r="X18" s="4">
        <v>10</v>
      </c>
      <c r="Y18" s="49">
        <v>7</v>
      </c>
      <c r="Z18" s="4">
        <v>17</v>
      </c>
      <c r="AA18" s="49">
        <v>1</v>
      </c>
    </row>
    <row r="19" spans="1:32" ht="15.75" thickBot="1" x14ac:dyDescent="0.3">
      <c r="A19" s="6">
        <v>0.1111111111111111</v>
      </c>
      <c r="B19" s="7">
        <v>0</v>
      </c>
      <c r="C19" s="50">
        <v>6</v>
      </c>
      <c r="D19" s="7">
        <v>1</v>
      </c>
      <c r="E19" s="50">
        <v>2</v>
      </c>
      <c r="F19" s="7">
        <v>0</v>
      </c>
      <c r="G19" s="50">
        <v>5</v>
      </c>
      <c r="H19" s="7">
        <v>2</v>
      </c>
      <c r="I19" s="50">
        <v>0</v>
      </c>
      <c r="J19" s="7">
        <v>1</v>
      </c>
      <c r="K19" s="50">
        <v>0</v>
      </c>
      <c r="L19" s="7">
        <v>1</v>
      </c>
      <c r="M19" s="50">
        <v>5</v>
      </c>
      <c r="N19" s="7">
        <v>7</v>
      </c>
      <c r="O19" s="50">
        <v>16</v>
      </c>
      <c r="P19" s="7">
        <v>3</v>
      </c>
      <c r="Q19" s="50">
        <v>13</v>
      </c>
      <c r="R19" s="7">
        <v>4</v>
      </c>
      <c r="S19" s="50">
        <v>18</v>
      </c>
      <c r="T19" s="7">
        <v>13</v>
      </c>
      <c r="U19" s="50">
        <v>11</v>
      </c>
      <c r="V19" s="7">
        <v>1</v>
      </c>
      <c r="W19" s="50">
        <v>14</v>
      </c>
      <c r="X19" s="7">
        <v>13</v>
      </c>
      <c r="Y19" s="50">
        <v>2</v>
      </c>
      <c r="Z19" s="7">
        <v>14</v>
      </c>
      <c r="AA19" s="50">
        <v>2</v>
      </c>
    </row>
    <row r="20" spans="1:32" ht="15" x14ac:dyDescent="0.25">
      <c r="A20" s="8" t="s">
        <v>58</v>
      </c>
      <c r="B20" s="9">
        <f>SUM(B3:B19)</f>
        <v>82</v>
      </c>
      <c r="C20" s="51">
        <f t="shared" ref="C20:AA20" si="0">SUM(C3:C19)</f>
        <v>82</v>
      </c>
      <c r="D20" s="9">
        <f t="shared" si="0"/>
        <v>82</v>
      </c>
      <c r="E20" s="51">
        <f t="shared" si="0"/>
        <v>82</v>
      </c>
      <c r="F20" s="9">
        <f t="shared" si="0"/>
        <v>82</v>
      </c>
      <c r="G20" s="51">
        <f t="shared" si="0"/>
        <v>82</v>
      </c>
      <c r="H20" s="9">
        <f t="shared" si="0"/>
        <v>82</v>
      </c>
      <c r="I20" s="51">
        <f t="shared" si="0"/>
        <v>82</v>
      </c>
      <c r="J20" s="9">
        <f t="shared" si="0"/>
        <v>82</v>
      </c>
      <c r="K20" s="51">
        <f t="shared" si="0"/>
        <v>82</v>
      </c>
      <c r="L20" s="9">
        <f t="shared" si="0"/>
        <v>82</v>
      </c>
      <c r="M20" s="51">
        <f t="shared" si="0"/>
        <v>82</v>
      </c>
      <c r="N20" s="9">
        <f t="shared" si="0"/>
        <v>247</v>
      </c>
      <c r="O20" s="51">
        <f t="shared" si="0"/>
        <v>247</v>
      </c>
      <c r="P20" s="9">
        <f t="shared" si="0"/>
        <v>247</v>
      </c>
      <c r="Q20" s="51">
        <f t="shared" si="0"/>
        <v>247</v>
      </c>
      <c r="R20" s="9">
        <f t="shared" si="0"/>
        <v>247</v>
      </c>
      <c r="S20" s="51">
        <f t="shared" si="0"/>
        <v>247</v>
      </c>
      <c r="T20" s="9">
        <f t="shared" si="0"/>
        <v>247</v>
      </c>
      <c r="U20" s="51">
        <f t="shared" si="0"/>
        <v>247</v>
      </c>
      <c r="V20" s="9">
        <f t="shared" si="0"/>
        <v>242</v>
      </c>
      <c r="W20" s="51">
        <f t="shared" si="0"/>
        <v>242</v>
      </c>
      <c r="X20" s="9">
        <f t="shared" si="0"/>
        <v>242</v>
      </c>
      <c r="Y20" s="51">
        <f t="shared" si="0"/>
        <v>242</v>
      </c>
      <c r="Z20" s="9">
        <f t="shared" si="0"/>
        <v>242</v>
      </c>
      <c r="AA20" s="51">
        <f t="shared" si="0"/>
        <v>242</v>
      </c>
      <c r="AB20" s="179" t="s">
        <v>347</v>
      </c>
      <c r="AC20" s="180"/>
    </row>
    <row r="21" spans="1:32" ht="15" x14ac:dyDescent="0.25">
      <c r="A21" s="10" t="s">
        <v>417</v>
      </c>
      <c r="B21" s="20">
        <v>2.6677238495120834</v>
      </c>
      <c r="C21" s="52">
        <v>0.37485139257682021</v>
      </c>
      <c r="D21" s="20">
        <v>2.0380431734552262</v>
      </c>
      <c r="E21" s="52">
        <v>0.49066674004978766</v>
      </c>
      <c r="F21" s="20">
        <v>2.9443295271272643</v>
      </c>
      <c r="G21" s="52">
        <v>0.33963589699678892</v>
      </c>
      <c r="H21" s="20">
        <v>0.71871320876959932</v>
      </c>
      <c r="I21" s="52">
        <v>1.3913755692788077</v>
      </c>
      <c r="J21" s="20">
        <v>1.4230817997005312</v>
      </c>
      <c r="K21" s="52">
        <v>0.70270029467767525</v>
      </c>
      <c r="L21" s="20">
        <v>1.8648502268961498</v>
      </c>
      <c r="M21" s="52">
        <v>0.53623609316035881</v>
      </c>
      <c r="N21" s="20">
        <v>1.31728715489035</v>
      </c>
      <c r="O21" s="52">
        <v>0.75913592286052411</v>
      </c>
      <c r="P21" s="20">
        <v>1.4004127734073448</v>
      </c>
      <c r="Q21" s="52">
        <v>0.71407517768271966</v>
      </c>
      <c r="R21" s="20">
        <v>1.3774782825395553</v>
      </c>
      <c r="S21" s="52">
        <v>0.72596425851184643</v>
      </c>
      <c r="T21" s="20">
        <v>0.83729069787539712</v>
      </c>
      <c r="U21" s="52">
        <v>1.1943283289035378</v>
      </c>
      <c r="V21" s="20">
        <v>1.7927743174500896</v>
      </c>
      <c r="W21" s="52">
        <v>0.55779469298864481</v>
      </c>
      <c r="X21" s="20">
        <v>0.88501404933603767</v>
      </c>
      <c r="Y21" s="52">
        <v>1.1299255653062545</v>
      </c>
      <c r="Z21" s="20">
        <v>0.63655903823592763</v>
      </c>
      <c r="AA21" s="52">
        <v>1.5709461965558811</v>
      </c>
    </row>
    <row r="22" spans="1:32" ht="15" x14ac:dyDescent="0.25">
      <c r="A22" s="59" t="s">
        <v>419</v>
      </c>
      <c r="B22" s="64">
        <v>0.90445304436861895</v>
      </c>
      <c r="C22" s="52">
        <v>0.90445304436861895</v>
      </c>
      <c r="D22" s="20">
        <v>0.4930901300713606</v>
      </c>
      <c r="E22" s="52">
        <v>0.4930901300713606</v>
      </c>
      <c r="F22" s="20">
        <v>0.99583668714665641</v>
      </c>
      <c r="G22" s="52">
        <v>0.99583668714665641</v>
      </c>
      <c r="H22" s="20">
        <v>1.2216081694424518E-2</v>
      </c>
      <c r="I22" s="52">
        <v>1.2216081694424518E-2</v>
      </c>
      <c r="J22" s="20">
        <v>8.8522202627243335E-2</v>
      </c>
      <c r="K22" s="52">
        <v>8.8522202627243335E-2</v>
      </c>
      <c r="L22" s="20">
        <v>0.4930901300713606</v>
      </c>
      <c r="M22" s="52">
        <v>0.4930901300713606</v>
      </c>
      <c r="N22" s="20">
        <v>65535</v>
      </c>
      <c r="O22" s="52">
        <v>65535</v>
      </c>
      <c r="P22" s="20">
        <v>65535</v>
      </c>
      <c r="Q22" s="52">
        <v>65535</v>
      </c>
      <c r="R22" s="20">
        <v>65535</v>
      </c>
      <c r="S22" s="52">
        <v>65535</v>
      </c>
      <c r="T22" s="20">
        <v>65535</v>
      </c>
      <c r="U22" s="52">
        <v>65535</v>
      </c>
      <c r="V22" s="20">
        <v>65535</v>
      </c>
      <c r="W22" s="52">
        <v>65535</v>
      </c>
      <c r="X22" s="20">
        <v>65535</v>
      </c>
      <c r="Y22" s="52">
        <v>65535</v>
      </c>
      <c r="Z22" s="20">
        <v>65535</v>
      </c>
      <c r="AA22" s="52">
        <v>65535</v>
      </c>
      <c r="AC22" s="58">
        <f>AVERAGEIF(B22:AA22,"&lt;65534")</f>
        <v>0.49786804599661066</v>
      </c>
      <c r="AE22" s="62" t="s">
        <v>425</v>
      </c>
      <c r="AF22" s="62"/>
    </row>
    <row r="23" spans="1:32" ht="15" x14ac:dyDescent="0.25">
      <c r="A23" s="59" t="s">
        <v>420</v>
      </c>
      <c r="B23" s="64">
        <v>0.86137360825916565</v>
      </c>
      <c r="C23" s="52">
        <v>0.86137360825916565</v>
      </c>
      <c r="D23" s="20">
        <v>0.40575576954644266</v>
      </c>
      <c r="E23" s="52">
        <v>0.40575576954644266</v>
      </c>
      <c r="F23" s="20">
        <v>0.99214497293986825</v>
      </c>
      <c r="G23" s="52">
        <v>0.99214497293986825</v>
      </c>
      <c r="H23" s="20">
        <v>6.6137174406584176E-3</v>
      </c>
      <c r="I23" s="52">
        <v>6.6137174406584176E-3</v>
      </c>
      <c r="J23" s="20">
        <v>5.776311304692705E-2</v>
      </c>
      <c r="K23" s="52">
        <v>5.776311304692705E-2</v>
      </c>
      <c r="L23" s="20">
        <v>0.40575576954644266</v>
      </c>
      <c r="M23" s="52">
        <v>0.40575576954644266</v>
      </c>
      <c r="N23" s="20">
        <v>65535</v>
      </c>
      <c r="O23" s="52">
        <v>65535</v>
      </c>
      <c r="P23" s="20">
        <v>65535</v>
      </c>
      <c r="Q23" s="52">
        <v>65535</v>
      </c>
      <c r="R23" s="20">
        <v>65535</v>
      </c>
      <c r="S23" s="52">
        <v>65535</v>
      </c>
      <c r="T23" s="20">
        <v>65535</v>
      </c>
      <c r="U23" s="52">
        <v>65535</v>
      </c>
      <c r="V23" s="20">
        <v>65535</v>
      </c>
      <c r="W23" s="52">
        <v>65535</v>
      </c>
      <c r="X23" s="20">
        <v>65535</v>
      </c>
      <c r="Y23" s="52">
        <v>65535</v>
      </c>
      <c r="Z23" s="20">
        <v>65535</v>
      </c>
      <c r="AA23" s="52">
        <v>65535</v>
      </c>
      <c r="AC23" s="58">
        <f>AVERAGEIF(B23:AA23,"&lt;65535")</f>
        <v>0.4549011584632508</v>
      </c>
    </row>
    <row r="24" spans="1:32" ht="15" x14ac:dyDescent="0.25">
      <c r="A24" s="60" t="s">
        <v>421</v>
      </c>
      <c r="B24" s="65">
        <v>0.88441144574799258</v>
      </c>
      <c r="C24" s="52">
        <v>0.88441144574799258</v>
      </c>
      <c r="D24" s="20">
        <v>0.44822593249324932</v>
      </c>
      <c r="E24" s="52">
        <v>0.44822593249324932</v>
      </c>
      <c r="F24" s="20">
        <v>0.99421194317267081</v>
      </c>
      <c r="G24" s="52">
        <v>0.99421194317267081</v>
      </c>
      <c r="H24" s="20">
        <v>9.5747857503830636E-3</v>
      </c>
      <c r="I24" s="52">
        <v>9.5747857503830636E-3</v>
      </c>
      <c r="J24" s="20">
        <v>7.2472411772960432E-2</v>
      </c>
      <c r="K24" s="52">
        <v>7.2472411772960432E-2</v>
      </c>
      <c r="L24" s="20">
        <v>0.44822593249324932</v>
      </c>
      <c r="M24" s="52">
        <v>0.44822593249324932</v>
      </c>
      <c r="N24" s="20">
        <v>4.046952661873604E-9</v>
      </c>
      <c r="O24" s="52">
        <v>4.046952661873604E-9</v>
      </c>
      <c r="P24" s="20">
        <v>3.9005165763938976E-10</v>
      </c>
      <c r="Q24" s="52">
        <v>3.9005165763938976E-10</v>
      </c>
      <c r="R24" s="20">
        <v>3.9005165763938976E-10</v>
      </c>
      <c r="S24" s="52">
        <v>3.9005165763938976E-10</v>
      </c>
      <c r="T24" s="20">
        <v>1.3800349751846852E-11</v>
      </c>
      <c r="U24" s="52">
        <v>1.3800349751846852E-11</v>
      </c>
      <c r="V24" s="20">
        <v>4.2906033319684012E-4</v>
      </c>
      <c r="W24" s="52">
        <v>4.2906033319684012E-4</v>
      </c>
      <c r="X24" s="20">
        <v>2.2204460492503131E-15</v>
      </c>
      <c r="Y24" s="52">
        <v>2.2204460492503131E-15</v>
      </c>
      <c r="Z24" s="20">
        <v>1.1435292923855922E-5</v>
      </c>
      <c r="AA24" s="52">
        <v>1.1435292923855922E-5</v>
      </c>
      <c r="AC24" s="58">
        <f t="shared" ref="AC24:AC27" si="1">AVERAGE(B24:AA24)</f>
        <v>0.21981253476134494</v>
      </c>
    </row>
    <row r="25" spans="1:32" ht="15" x14ac:dyDescent="0.25">
      <c r="A25" s="60" t="s">
        <v>422</v>
      </c>
      <c r="B25" s="65">
        <v>0.55177406750675062</v>
      </c>
      <c r="C25" s="52">
        <v>0.55177406750675062</v>
      </c>
      <c r="D25" s="20">
        <v>0.11558855425200748</v>
      </c>
      <c r="E25" s="52">
        <v>0.11558855425200748</v>
      </c>
      <c r="F25" s="20">
        <v>0.92752758822703951</v>
      </c>
      <c r="G25" s="52">
        <v>0.92752758822703951</v>
      </c>
      <c r="H25" s="20">
        <v>3.2506005998517162E-4</v>
      </c>
      <c r="I25" s="52">
        <v>3.2506005998517162E-4</v>
      </c>
      <c r="J25" s="20">
        <v>5.7880568273292465E-3</v>
      </c>
      <c r="K25" s="52">
        <v>5.7880568273292465E-3</v>
      </c>
      <c r="L25" s="20">
        <v>0.11558855425200748</v>
      </c>
      <c r="M25" s="52">
        <v>0.11558855425200748</v>
      </c>
      <c r="N25" s="20">
        <v>1.2823075934420558E-14</v>
      </c>
      <c r="O25" s="52">
        <v>1.2823075934420558E-14</v>
      </c>
      <c r="P25" s="20">
        <v>6.106226635438361E-16</v>
      </c>
      <c r="Q25" s="52">
        <v>6.106226635438361E-16</v>
      </c>
      <c r="R25" s="20">
        <v>6.106226635438361E-16</v>
      </c>
      <c r="S25" s="52">
        <v>6.106226635438361E-16</v>
      </c>
      <c r="T25" s="20">
        <v>0</v>
      </c>
      <c r="U25" s="52">
        <v>0</v>
      </c>
      <c r="V25" s="20">
        <v>1.1915285330621472E-7</v>
      </c>
      <c r="W25" s="52">
        <v>1.1915285330621472E-7</v>
      </c>
      <c r="X25" s="20">
        <v>0</v>
      </c>
      <c r="Y25" s="52">
        <v>0</v>
      </c>
      <c r="Z25" s="20">
        <v>6.4683203238047327E-10</v>
      </c>
      <c r="AA25" s="52">
        <v>6.4683203238047327E-10</v>
      </c>
      <c r="AC25" s="58">
        <f t="shared" si="1"/>
        <v>0.13204553853267836</v>
      </c>
    </row>
    <row r="26" spans="1:32" x14ac:dyDescent="0.35">
      <c r="A26" s="61" t="s">
        <v>423</v>
      </c>
      <c r="B26" s="66">
        <f>(B22-B24)*100/B22</f>
        <v>2.2158804976566833</v>
      </c>
      <c r="C26" s="66">
        <f t="shared" ref="C26:AA27" si="2">(C22-C24)*100/C22</f>
        <v>2.2158804976566833</v>
      </c>
      <c r="D26" s="66">
        <f t="shared" si="2"/>
        <v>9.0985795176266198</v>
      </c>
      <c r="E26" s="66">
        <f t="shared" si="2"/>
        <v>9.0985795176266198</v>
      </c>
      <c r="F26" s="66">
        <f t="shared" si="2"/>
        <v>0.16315365711630217</v>
      </c>
      <c r="G26" s="66">
        <f t="shared" si="2"/>
        <v>0.16315365711630217</v>
      </c>
      <c r="H26" s="66">
        <f t="shared" si="2"/>
        <v>21.621465950468846</v>
      </c>
      <c r="I26" s="66">
        <f t="shared" si="2"/>
        <v>21.621465950468846</v>
      </c>
      <c r="J26" s="66">
        <f t="shared" si="2"/>
        <v>18.130808292092212</v>
      </c>
      <c r="K26" s="66">
        <f t="shared" si="2"/>
        <v>18.130808292092212</v>
      </c>
      <c r="L26" s="66">
        <f t="shared" si="2"/>
        <v>9.0985795176266198</v>
      </c>
      <c r="M26" s="66">
        <f t="shared" si="2"/>
        <v>9.0985795176266198</v>
      </c>
      <c r="N26" s="66">
        <f>(N22-N24)*100/N22</f>
        <v>99.999999999993832</v>
      </c>
      <c r="O26" s="66">
        <f t="shared" si="2"/>
        <v>99.999999999993832</v>
      </c>
      <c r="P26" s="66">
        <f t="shared" si="2"/>
        <v>99.999999999999403</v>
      </c>
      <c r="Q26" s="66">
        <f t="shared" si="2"/>
        <v>99.999999999999403</v>
      </c>
      <c r="R26" s="66">
        <f t="shared" si="2"/>
        <v>99.999999999999403</v>
      </c>
      <c r="S26" s="66">
        <f t="shared" si="2"/>
        <v>99.999999999999403</v>
      </c>
      <c r="T26" s="66">
        <f t="shared" si="2"/>
        <v>99.999999999999972</v>
      </c>
      <c r="U26" s="66">
        <f t="shared" si="2"/>
        <v>99.999999999999972</v>
      </c>
      <c r="V26" s="66">
        <f t="shared" si="2"/>
        <v>99.999999345295905</v>
      </c>
      <c r="W26" s="66">
        <f t="shared" si="2"/>
        <v>99.999999345295905</v>
      </c>
      <c r="X26" s="66">
        <f t="shared" si="2"/>
        <v>100</v>
      </c>
      <c r="Y26" s="66">
        <f t="shared" si="2"/>
        <v>100</v>
      </c>
      <c r="Z26" s="66">
        <f t="shared" si="2"/>
        <v>99.999999982550861</v>
      </c>
      <c r="AA26" s="66">
        <f t="shared" si="2"/>
        <v>99.999999982550861</v>
      </c>
      <c r="AC26" s="58">
        <f t="shared" si="1"/>
        <v>58.486805135417441</v>
      </c>
    </row>
    <row r="27" spans="1:32" x14ac:dyDescent="0.35">
      <c r="A27" s="61" t="s">
        <v>424</v>
      </c>
      <c r="B27" s="66">
        <f>(B23-B25)*100/B23</f>
        <v>35.942538497100585</v>
      </c>
      <c r="C27" s="66">
        <f t="shared" si="2"/>
        <v>35.942538497100585</v>
      </c>
      <c r="D27" s="66">
        <f t="shared" si="2"/>
        <v>71.512776175379258</v>
      </c>
      <c r="E27" s="66">
        <f t="shared" si="2"/>
        <v>71.512776175379258</v>
      </c>
      <c r="F27" s="66">
        <f t="shared" si="2"/>
        <v>6.5128974570478482</v>
      </c>
      <c r="G27" s="66">
        <f t="shared" si="2"/>
        <v>6.5128974570478482</v>
      </c>
      <c r="H27" s="66">
        <f t="shared" si="2"/>
        <v>95.08506278198648</v>
      </c>
      <c r="I27" s="66">
        <f t="shared" si="2"/>
        <v>95.08506278198648</v>
      </c>
      <c r="J27" s="66">
        <f t="shared" si="2"/>
        <v>89.979666049807591</v>
      </c>
      <c r="K27" s="66">
        <f t="shared" si="2"/>
        <v>89.979666049807591</v>
      </c>
      <c r="L27" s="66">
        <f t="shared" si="2"/>
        <v>71.512776175379258</v>
      </c>
      <c r="M27" s="66">
        <f t="shared" si="2"/>
        <v>71.512776175379258</v>
      </c>
      <c r="N27" s="66">
        <f t="shared" si="2"/>
        <v>100</v>
      </c>
      <c r="O27" s="66">
        <f t="shared" si="2"/>
        <v>100</v>
      </c>
      <c r="P27" s="66">
        <f t="shared" si="2"/>
        <v>100</v>
      </c>
      <c r="Q27" s="66">
        <f t="shared" si="2"/>
        <v>100</v>
      </c>
      <c r="R27" s="66">
        <f t="shared" si="2"/>
        <v>100</v>
      </c>
      <c r="S27" s="66">
        <f t="shared" si="2"/>
        <v>100</v>
      </c>
      <c r="T27" s="66">
        <f t="shared" si="2"/>
        <v>100</v>
      </c>
      <c r="U27" s="66">
        <f t="shared" si="2"/>
        <v>100</v>
      </c>
      <c r="V27" s="66">
        <f t="shared" si="2"/>
        <v>99.999999999818186</v>
      </c>
      <c r="W27" s="66">
        <f t="shared" si="2"/>
        <v>99.999999999818186</v>
      </c>
      <c r="X27" s="66">
        <f t="shared" si="2"/>
        <v>100</v>
      </c>
      <c r="Y27" s="66">
        <f t="shared" si="2"/>
        <v>100</v>
      </c>
      <c r="Z27" s="66">
        <f t="shared" si="2"/>
        <v>99.999999999999005</v>
      </c>
      <c r="AA27" s="66">
        <f t="shared" si="2"/>
        <v>99.999999999999005</v>
      </c>
      <c r="AC27" s="58">
        <f t="shared" si="1"/>
        <v>82.349670548962933</v>
      </c>
    </row>
    <row r="28" spans="1:32" ht="15" x14ac:dyDescent="0.25">
      <c r="A28" s="43" t="s">
        <v>415</v>
      </c>
      <c r="B28" s="44"/>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7"/>
      <c r="AC28" s="47"/>
      <c r="AD28" s="47"/>
      <c r="AE28" s="47"/>
      <c r="AF28" s="47"/>
    </row>
    <row r="29" spans="1:32" ht="15" x14ac:dyDescent="0.25">
      <c r="A29" s="45" t="s">
        <v>361</v>
      </c>
      <c r="B29" s="53">
        <f>VLOOKUP($A$29,'Sociodem statistics'!$B$2:$J$5,9,FALSE)</f>
        <v>1</v>
      </c>
      <c r="C29" s="53">
        <f>VLOOKUP($A$29,'Sociodem statistics'!$B$2:$J$5,9,FALSE)</f>
        <v>1</v>
      </c>
      <c r="D29" s="53">
        <f>VLOOKUP($A$29,'Sociodem statistics'!$B$2:$J$5,9,FALSE)</f>
        <v>1</v>
      </c>
      <c r="E29" s="53">
        <f>VLOOKUP($A$29,'Sociodem statistics'!$B$2:$J$5,9,FALSE)</f>
        <v>1</v>
      </c>
      <c r="F29" s="53">
        <f>VLOOKUP($A$29,'Sociodem statistics'!$B$2:$J$5,9,FALSE)</f>
        <v>1</v>
      </c>
      <c r="G29" s="53">
        <f>VLOOKUP($A$29,'Sociodem statistics'!$B$2:$J$5,9,FALSE)</f>
        <v>1</v>
      </c>
      <c r="H29" s="53">
        <f>VLOOKUP($A$29,'Sociodem statistics'!$B$2:$J$5,9,FALSE)</f>
        <v>1</v>
      </c>
      <c r="I29" s="53">
        <f>VLOOKUP($A$29,'Sociodem statistics'!$B$2:$J$5,9,FALSE)</f>
        <v>1</v>
      </c>
      <c r="J29" s="53">
        <f>VLOOKUP($A$29,'Sociodem statistics'!$B$2:$J$5,9,FALSE)</f>
        <v>1</v>
      </c>
      <c r="K29" s="53">
        <f>VLOOKUP($A$29,'Sociodem statistics'!$B$2:$J$5,9,FALSE)</f>
        <v>1</v>
      </c>
      <c r="L29" s="53">
        <f>VLOOKUP($A$29,'Sociodem statistics'!$B$2:$J$5,9,FALSE)</f>
        <v>1</v>
      </c>
      <c r="M29" s="53">
        <f>VLOOKUP($A$29,'Sociodem statistics'!$B$2:$J$5,9,FALSE)</f>
        <v>1</v>
      </c>
      <c r="N29" s="53">
        <f>VLOOKUP($A$29,'Sociodem statistics'!$B$2:$J$5,9,FALSE)</f>
        <v>1</v>
      </c>
      <c r="O29" s="53">
        <f>VLOOKUP($A$29,'Sociodem statistics'!$B$2:$J$5,9,FALSE)</f>
        <v>1</v>
      </c>
      <c r="P29" s="53">
        <f>VLOOKUP($A$29,'Sociodem statistics'!$B$2:$J$5,9,FALSE)</f>
        <v>1</v>
      </c>
      <c r="Q29" s="53">
        <f>VLOOKUP($A$29,'Sociodem statistics'!$B$2:$J$5,9,FALSE)</f>
        <v>1</v>
      </c>
      <c r="R29" s="53">
        <f>VLOOKUP($A$29,'Sociodem statistics'!$B$2:$J$5,9,FALSE)</f>
        <v>1</v>
      </c>
      <c r="S29" s="53">
        <f>VLOOKUP($A$29,'Sociodem statistics'!$B$2:$J$5,9,FALSE)</f>
        <v>1</v>
      </c>
      <c r="T29" s="53">
        <f>VLOOKUP($A$29,'Sociodem statistics'!$B$2:$J$5,9,FALSE)</f>
        <v>1</v>
      </c>
      <c r="U29" s="53">
        <f>VLOOKUP($A$29,'Sociodem statistics'!$B$2:$J$5,9,FALSE)</f>
        <v>1</v>
      </c>
      <c r="V29" s="53">
        <f>VLOOKUP($A$29,'Sociodem statistics'!$B$2:$J$5,9,FALSE)</f>
        <v>1</v>
      </c>
      <c r="W29" s="53">
        <f>VLOOKUP($A$29,'Sociodem statistics'!$B$2:$J$5,9,FALSE)</f>
        <v>1</v>
      </c>
      <c r="X29" s="53">
        <f>VLOOKUP($A$29,'Sociodem statistics'!$B$2:$J$5,9,FALSE)</f>
        <v>1</v>
      </c>
      <c r="Y29" s="53">
        <f>VLOOKUP($A$29,'Sociodem statistics'!$B$2:$J$5,9,FALSE)</f>
        <v>1</v>
      </c>
      <c r="Z29" s="53">
        <f>VLOOKUP($A$29,'Sociodem statistics'!$B$2:$J$5,9,FALSE)</f>
        <v>1</v>
      </c>
      <c r="AA29" s="53">
        <f>VLOOKUP($A$29,'Sociodem statistics'!$B$2:$J$5,9,FALSE)</f>
        <v>1</v>
      </c>
      <c r="AB29" s="47"/>
      <c r="AC29" s="47"/>
      <c r="AD29" s="47"/>
      <c r="AE29" s="47"/>
      <c r="AF29" s="47"/>
    </row>
    <row r="30" spans="1:32" ht="15" x14ac:dyDescent="0.25">
      <c r="A30" s="45" t="s">
        <v>365</v>
      </c>
      <c r="B30" s="53">
        <f>VLOOKUP($A$30,'Sociodem statistics'!$B$6:$J$8,9,FALSE)</f>
        <v>1</v>
      </c>
      <c r="C30" s="53">
        <f>VLOOKUP($A$30,'Sociodem statistics'!$B$6:$J$8,9,FALSE)</f>
        <v>1</v>
      </c>
      <c r="D30" s="53">
        <f>VLOOKUP($A$30,'Sociodem statistics'!$B$6:$J$8,9,FALSE)</f>
        <v>1</v>
      </c>
      <c r="E30" s="53">
        <f>VLOOKUP($A$30,'Sociodem statistics'!$B$6:$J$8,9,FALSE)</f>
        <v>1</v>
      </c>
      <c r="F30" s="53">
        <f>VLOOKUP($A$30,'Sociodem statistics'!$B$6:$J$8,9,FALSE)</f>
        <v>1</v>
      </c>
      <c r="G30" s="53">
        <f>VLOOKUP($A$30,'Sociodem statistics'!$B$6:$J$8,9,FALSE)</f>
        <v>1</v>
      </c>
      <c r="H30" s="53">
        <f>VLOOKUP($A$30,'Sociodem statistics'!$B$6:$J$8,9,FALSE)</f>
        <v>1</v>
      </c>
      <c r="I30" s="53">
        <f>VLOOKUP($A$30,'Sociodem statistics'!$B$6:$J$8,9,FALSE)</f>
        <v>1</v>
      </c>
      <c r="J30" s="53">
        <f>VLOOKUP($A$30,'Sociodem statistics'!$B$6:$J$8,9,FALSE)</f>
        <v>1</v>
      </c>
      <c r="K30" s="53">
        <f>VLOOKUP($A$30,'Sociodem statistics'!$B$6:$J$8,9,FALSE)</f>
        <v>1</v>
      </c>
      <c r="L30" s="53">
        <f>VLOOKUP($A$30,'Sociodem statistics'!$B$6:$J$8,9,FALSE)</f>
        <v>1</v>
      </c>
      <c r="M30" s="53">
        <f>VLOOKUP($A$30,'Sociodem statistics'!$B$6:$J$8,9,FALSE)</f>
        <v>1</v>
      </c>
      <c r="N30" s="53">
        <f>VLOOKUP($A$30,'Sociodem statistics'!$B$6:$J$8,9,FALSE)</f>
        <v>1</v>
      </c>
      <c r="O30" s="53">
        <f>VLOOKUP($A$30,'Sociodem statistics'!$B$6:$J$8,9,FALSE)</f>
        <v>1</v>
      </c>
      <c r="P30" s="53">
        <f>VLOOKUP($A$30,'Sociodem statistics'!$B$6:$J$8,9,FALSE)</f>
        <v>1</v>
      </c>
      <c r="Q30" s="53">
        <f>VLOOKUP($A$30,'Sociodem statistics'!$B$6:$J$8,9,FALSE)</f>
        <v>1</v>
      </c>
      <c r="R30" s="53">
        <f>VLOOKUP($A$30,'Sociodem statistics'!$B$6:$J$8,9,FALSE)</f>
        <v>1</v>
      </c>
      <c r="S30" s="53">
        <f>VLOOKUP($A$30,'Sociodem statistics'!$B$6:$J$8,9,FALSE)</f>
        <v>1</v>
      </c>
      <c r="T30" s="53">
        <f>VLOOKUP($A$30,'Sociodem statistics'!$B$6:$J$8,9,FALSE)</f>
        <v>1</v>
      </c>
      <c r="U30" s="53">
        <f>VLOOKUP($A$30,'Sociodem statistics'!$B$6:$J$8,9,FALSE)</f>
        <v>1</v>
      </c>
      <c r="V30" s="53">
        <f>VLOOKUP($A$30,'Sociodem statistics'!$B$6:$J$8,9,FALSE)</f>
        <v>1</v>
      </c>
      <c r="W30" s="53">
        <f>VLOOKUP($A$30,'Sociodem statistics'!$B$6:$J$8,9,FALSE)</f>
        <v>1</v>
      </c>
      <c r="X30" s="53">
        <f>VLOOKUP($A$30,'Sociodem statistics'!$B$6:$J$8,9,FALSE)</f>
        <v>1</v>
      </c>
      <c r="Y30" s="53">
        <f>VLOOKUP($A$30,'Sociodem statistics'!$B$6:$J$8,9,FALSE)</f>
        <v>1</v>
      </c>
      <c r="Z30" s="53">
        <f>VLOOKUP($A$30,'Sociodem statistics'!$B$6:$J$8,9,FALSE)</f>
        <v>1</v>
      </c>
      <c r="AA30" s="53">
        <f>VLOOKUP($A$30,'Sociodem statistics'!$B$6:$J$8,9,FALSE)</f>
        <v>1</v>
      </c>
      <c r="AB30" s="47"/>
      <c r="AC30" s="47"/>
      <c r="AD30" s="47"/>
      <c r="AE30" s="47"/>
      <c r="AF30" s="47"/>
    </row>
    <row r="31" spans="1:32" ht="15" x14ac:dyDescent="0.25">
      <c r="A31" s="45" t="s">
        <v>370</v>
      </c>
      <c r="B31" s="53">
        <f>VLOOKUP($A$31,'Sociodem statistics'!$B$9:$J$12,9,FALSE)</f>
        <v>1</v>
      </c>
      <c r="C31" s="53">
        <f>VLOOKUP($A$31,'Sociodem statistics'!$B$9:$J$12,9,FALSE)</f>
        <v>1</v>
      </c>
      <c r="D31" s="53">
        <f>VLOOKUP($A$31,'Sociodem statistics'!$B$9:$J$12,9,FALSE)</f>
        <v>1</v>
      </c>
      <c r="E31" s="53">
        <f>VLOOKUP($A$31,'Sociodem statistics'!$B$9:$J$12,9,FALSE)</f>
        <v>1</v>
      </c>
      <c r="F31" s="53">
        <f>VLOOKUP($A$31,'Sociodem statistics'!$B$9:$J$12,9,FALSE)</f>
        <v>1</v>
      </c>
      <c r="G31" s="53">
        <f>VLOOKUP($A$31,'Sociodem statistics'!$B$9:$J$12,9,FALSE)</f>
        <v>1</v>
      </c>
      <c r="H31" s="53">
        <f>VLOOKUP($A$31,'Sociodem statistics'!$B$9:$J$12,9,FALSE)</f>
        <v>1</v>
      </c>
      <c r="I31" s="53">
        <f>VLOOKUP($A$31,'Sociodem statistics'!$B$9:$J$12,9,FALSE)</f>
        <v>1</v>
      </c>
      <c r="J31" s="53">
        <f>VLOOKUP($A$31,'Sociodem statistics'!$B$9:$J$12,9,FALSE)</f>
        <v>1</v>
      </c>
      <c r="K31" s="53">
        <f>VLOOKUP($A$31,'Sociodem statistics'!$B$9:$J$12,9,FALSE)</f>
        <v>1</v>
      </c>
      <c r="L31" s="53">
        <f>VLOOKUP($A$31,'Sociodem statistics'!$B$9:$J$12,9,FALSE)</f>
        <v>1</v>
      </c>
      <c r="M31" s="53">
        <f>VLOOKUP($A$31,'Sociodem statistics'!$B$9:$J$12,9,FALSE)</f>
        <v>1</v>
      </c>
      <c r="N31" s="53">
        <f>VLOOKUP($A$31,'Sociodem statistics'!$B$9:$J$12,9,FALSE)</f>
        <v>1</v>
      </c>
      <c r="O31" s="53">
        <f>VLOOKUP($A$31,'Sociodem statistics'!$B$9:$J$12,9,FALSE)</f>
        <v>1</v>
      </c>
      <c r="P31" s="53">
        <f>VLOOKUP($A$31,'Sociodem statistics'!$B$9:$J$12,9,FALSE)</f>
        <v>1</v>
      </c>
      <c r="Q31" s="53">
        <f>VLOOKUP($A$31,'Sociodem statistics'!$B$9:$J$12,9,FALSE)</f>
        <v>1</v>
      </c>
      <c r="R31" s="53">
        <f>VLOOKUP($A$31,'Sociodem statistics'!$B$9:$J$12,9,FALSE)</f>
        <v>1</v>
      </c>
      <c r="S31" s="53">
        <f>VLOOKUP($A$31,'Sociodem statistics'!$B$9:$J$12,9,FALSE)</f>
        <v>1</v>
      </c>
      <c r="T31" s="53">
        <f>VLOOKUP($A$31,'Sociodem statistics'!$B$9:$J$12,9,FALSE)</f>
        <v>1</v>
      </c>
      <c r="U31" s="53">
        <f>VLOOKUP($A$31,'Sociodem statistics'!$B$9:$J$12,9,FALSE)</f>
        <v>1</v>
      </c>
      <c r="V31" s="53">
        <f>VLOOKUP($A$31,'Sociodem statistics'!$B$9:$J$12,9,FALSE)</f>
        <v>1</v>
      </c>
      <c r="W31" s="53">
        <f>VLOOKUP($A$31,'Sociodem statistics'!$B$9:$J$12,9,FALSE)</f>
        <v>1</v>
      </c>
      <c r="X31" s="53">
        <f>VLOOKUP($A$31,'Sociodem statistics'!$B$9:$J$12,9,FALSE)</f>
        <v>1</v>
      </c>
      <c r="Y31" s="53">
        <f>VLOOKUP($A$31,'Sociodem statistics'!$B$9:$J$12,9,FALSE)</f>
        <v>1</v>
      </c>
      <c r="Z31" s="53">
        <f>VLOOKUP($A$31,'Sociodem statistics'!$B$9:$J$12,9,FALSE)</f>
        <v>1</v>
      </c>
      <c r="AA31" s="53">
        <f>VLOOKUP($A$31,'Sociodem statistics'!$B$9:$J$12,9,FALSE)</f>
        <v>1</v>
      </c>
      <c r="AB31" s="47"/>
      <c r="AC31" s="47"/>
      <c r="AD31" s="47"/>
      <c r="AE31" s="47"/>
      <c r="AF31" s="47"/>
    </row>
    <row r="32" spans="1:32" ht="15" x14ac:dyDescent="0.25">
      <c r="A32" s="45" t="s">
        <v>375</v>
      </c>
      <c r="B32" s="53">
        <f>VLOOKUP($A$32,'Sociodem statistics'!$B$13:$J$15,9,FALSE)</f>
        <v>1</v>
      </c>
      <c r="C32" s="53">
        <f>VLOOKUP($A$32,'Sociodem statistics'!$B$13:$J$15,9,FALSE)</f>
        <v>1</v>
      </c>
      <c r="D32" s="53">
        <f>VLOOKUP($A$32,'Sociodem statistics'!$B$13:$J$15,9,FALSE)</f>
        <v>1</v>
      </c>
      <c r="E32" s="53">
        <f>VLOOKUP($A$32,'Sociodem statistics'!$B$13:$J$15,9,FALSE)</f>
        <v>1</v>
      </c>
      <c r="F32" s="53">
        <f>VLOOKUP($A$32,'Sociodem statistics'!$B$13:$J$15,9,FALSE)</f>
        <v>1</v>
      </c>
      <c r="G32" s="53">
        <f>VLOOKUP($A$32,'Sociodem statistics'!$B$13:$J$15,9,FALSE)</f>
        <v>1</v>
      </c>
      <c r="H32" s="53">
        <f>VLOOKUP($A$32,'Sociodem statistics'!$B$13:$J$15,9,FALSE)</f>
        <v>1</v>
      </c>
      <c r="I32" s="53">
        <f>VLOOKUP($A$32,'Sociodem statistics'!$B$13:$J$15,9,FALSE)</f>
        <v>1</v>
      </c>
      <c r="J32" s="53">
        <f>VLOOKUP($A$32,'Sociodem statistics'!$B$13:$J$15,9,FALSE)</f>
        <v>1</v>
      </c>
      <c r="K32" s="53">
        <f>VLOOKUP($A$32,'Sociodem statistics'!$B$13:$J$15,9,FALSE)</f>
        <v>1</v>
      </c>
      <c r="L32" s="53">
        <f>VLOOKUP($A$32,'Sociodem statistics'!$B$13:$J$15,9,FALSE)</f>
        <v>1</v>
      </c>
      <c r="M32" s="53">
        <f>VLOOKUP($A$32,'Sociodem statistics'!$B$13:$J$15,9,FALSE)</f>
        <v>1</v>
      </c>
      <c r="N32" s="53">
        <f>VLOOKUP($A$32,'Sociodem statistics'!$B$13:$J$15,9,FALSE)</f>
        <v>1</v>
      </c>
      <c r="O32" s="53">
        <f>VLOOKUP($A$32,'Sociodem statistics'!$B$13:$J$15,9,FALSE)</f>
        <v>1</v>
      </c>
      <c r="P32" s="53">
        <f>VLOOKUP($A$32,'Sociodem statistics'!$B$13:$J$15,9,FALSE)</f>
        <v>1</v>
      </c>
      <c r="Q32" s="53">
        <f>VLOOKUP($A$32,'Sociodem statistics'!$B$13:$J$15,9,FALSE)</f>
        <v>1</v>
      </c>
      <c r="R32" s="53">
        <f>VLOOKUP($A$32,'Sociodem statistics'!$B$13:$J$15,9,FALSE)</f>
        <v>1</v>
      </c>
      <c r="S32" s="53">
        <f>VLOOKUP($A$32,'Sociodem statistics'!$B$13:$J$15,9,FALSE)</f>
        <v>1</v>
      </c>
      <c r="T32" s="53">
        <f>VLOOKUP($A$32,'Sociodem statistics'!$B$13:$J$15,9,FALSE)</f>
        <v>1</v>
      </c>
      <c r="U32" s="53">
        <f>VLOOKUP($A$32,'Sociodem statistics'!$B$13:$J$15,9,FALSE)</f>
        <v>1</v>
      </c>
      <c r="V32" s="53">
        <f>VLOOKUP($A$32,'Sociodem statistics'!$B$13:$J$15,9,FALSE)</f>
        <v>1</v>
      </c>
      <c r="W32" s="53">
        <f>VLOOKUP($A$32,'Sociodem statistics'!$B$13:$J$15,9,FALSE)</f>
        <v>1</v>
      </c>
      <c r="X32" s="53">
        <f>VLOOKUP($A$32,'Sociodem statistics'!$B$13:$J$15,9,FALSE)</f>
        <v>1</v>
      </c>
      <c r="Y32" s="53">
        <f>VLOOKUP($A$32,'Sociodem statistics'!$B$13:$J$15,9,FALSE)</f>
        <v>1</v>
      </c>
      <c r="Z32" s="53">
        <f>VLOOKUP($A$32,'Sociodem statistics'!$B$13:$J$15,9,FALSE)</f>
        <v>1</v>
      </c>
      <c r="AA32" s="53">
        <f>VLOOKUP($A$32,'Sociodem statistics'!$B$13:$J$15,9,FALSE)</f>
        <v>1</v>
      </c>
      <c r="AB32" s="47"/>
      <c r="AC32" s="47"/>
      <c r="AD32" s="47"/>
      <c r="AE32" s="47"/>
      <c r="AF32" s="47"/>
    </row>
    <row r="33" spans="1:32" ht="15" x14ac:dyDescent="0.25">
      <c r="A33" s="45" t="s">
        <v>377</v>
      </c>
      <c r="B33" s="53">
        <f>VLOOKUP($A$33,'Sociodem statistics'!$B$16:$J$19,9,FALSE)</f>
        <v>1</v>
      </c>
      <c r="C33" s="53">
        <f>VLOOKUP($A$33,'Sociodem statistics'!$B$16:$J$19,9,FALSE)</f>
        <v>1</v>
      </c>
      <c r="D33" s="53">
        <f>VLOOKUP($A$33,'Sociodem statistics'!$B$16:$J$19,9,FALSE)</f>
        <v>1</v>
      </c>
      <c r="E33" s="53">
        <f>VLOOKUP($A$33,'Sociodem statistics'!$B$16:$J$19,9,FALSE)</f>
        <v>1</v>
      </c>
      <c r="F33" s="53">
        <f>VLOOKUP($A$33,'Sociodem statistics'!$B$16:$J$19,9,FALSE)</f>
        <v>1</v>
      </c>
      <c r="G33" s="53">
        <f>VLOOKUP($A$33,'Sociodem statistics'!$B$16:$J$19,9,FALSE)</f>
        <v>1</v>
      </c>
      <c r="H33" s="53">
        <f>VLOOKUP($A$33,'Sociodem statistics'!$B$16:$J$19,9,FALSE)</f>
        <v>1</v>
      </c>
      <c r="I33" s="53">
        <f>VLOOKUP($A$33,'Sociodem statistics'!$B$16:$J$19,9,FALSE)</f>
        <v>1</v>
      </c>
      <c r="J33" s="53">
        <f>VLOOKUP($A$33,'Sociodem statistics'!$B$16:$J$19,9,FALSE)</f>
        <v>1</v>
      </c>
      <c r="K33" s="53">
        <f>VLOOKUP($A$33,'Sociodem statistics'!$B$16:$J$19,9,FALSE)</f>
        <v>1</v>
      </c>
      <c r="L33" s="53">
        <f>VLOOKUP($A$33,'Sociodem statistics'!$B$16:$J$19,9,FALSE)</f>
        <v>1</v>
      </c>
      <c r="M33" s="53">
        <f>VLOOKUP($A$33,'Sociodem statistics'!$B$16:$J$19,9,FALSE)</f>
        <v>1</v>
      </c>
      <c r="N33" s="53">
        <f>VLOOKUP($A$33,'Sociodem statistics'!$B$16:$J$19,9,FALSE)</f>
        <v>1</v>
      </c>
      <c r="O33" s="53">
        <f>VLOOKUP($A$33,'Sociodem statistics'!$B$16:$J$19,9,FALSE)</f>
        <v>1</v>
      </c>
      <c r="P33" s="53">
        <f>VLOOKUP($A$33,'Sociodem statistics'!$B$16:$J$19,9,FALSE)</f>
        <v>1</v>
      </c>
      <c r="Q33" s="53">
        <f>VLOOKUP($A$33,'Sociodem statistics'!$B$16:$J$19,9,FALSE)</f>
        <v>1</v>
      </c>
      <c r="R33" s="53">
        <f>VLOOKUP($A$33,'Sociodem statistics'!$B$16:$J$19,9,FALSE)</f>
        <v>1</v>
      </c>
      <c r="S33" s="53">
        <f>VLOOKUP($A$33,'Sociodem statistics'!$B$16:$J$19,9,FALSE)</f>
        <v>1</v>
      </c>
      <c r="T33" s="53">
        <f>VLOOKUP($A$33,'Sociodem statistics'!$B$16:$J$19,9,FALSE)</f>
        <v>1</v>
      </c>
      <c r="U33" s="53">
        <f>VLOOKUP($A$33,'Sociodem statistics'!$B$16:$J$19,9,FALSE)</f>
        <v>1</v>
      </c>
      <c r="V33" s="53">
        <f>VLOOKUP($A$33,'Sociodem statistics'!$B$16:$J$19,9,FALSE)</f>
        <v>1</v>
      </c>
      <c r="W33" s="53">
        <f>VLOOKUP($A$33,'Sociodem statistics'!$B$16:$J$19,9,FALSE)</f>
        <v>1</v>
      </c>
      <c r="X33" s="53">
        <f>VLOOKUP($A$33,'Sociodem statistics'!$B$16:$J$19,9,FALSE)</f>
        <v>1</v>
      </c>
      <c r="Y33" s="53">
        <f>VLOOKUP($A$33,'Sociodem statistics'!$B$16:$J$19,9,FALSE)</f>
        <v>1</v>
      </c>
      <c r="Z33" s="53">
        <f>VLOOKUP($A$33,'Sociodem statistics'!$B$16:$J$19,9,FALSE)</f>
        <v>1</v>
      </c>
      <c r="AA33" s="53">
        <f>VLOOKUP($A$33,'Sociodem statistics'!$B$16:$J$19,9,FALSE)</f>
        <v>1</v>
      </c>
      <c r="AB33" s="47"/>
      <c r="AC33" s="47"/>
      <c r="AD33" s="47"/>
      <c r="AE33" s="47"/>
      <c r="AF33" s="47"/>
    </row>
    <row r="34" spans="1:32" ht="15" x14ac:dyDescent="0.25">
      <c r="A34" s="45" t="s">
        <v>402</v>
      </c>
      <c r="B34" s="53">
        <f>VLOOKUP($A$34,'Sociodem statistics'!$B$29:$J$31,9,FALSE)</f>
        <v>1</v>
      </c>
      <c r="C34" s="53">
        <f>VLOOKUP($A$34,'Sociodem statistics'!$B$29:$J$31,9,FALSE)</f>
        <v>1</v>
      </c>
      <c r="D34" s="53">
        <f>VLOOKUP($A$34,'Sociodem statistics'!$B$29:$J$31,9,FALSE)</f>
        <v>1</v>
      </c>
      <c r="E34" s="53">
        <f>VLOOKUP($A$34,'Sociodem statistics'!$B$29:$J$31,9,FALSE)</f>
        <v>1</v>
      </c>
      <c r="F34" s="53">
        <f>VLOOKUP($A$34,'Sociodem statistics'!$B$29:$J$31,9,FALSE)</f>
        <v>1</v>
      </c>
      <c r="G34" s="53">
        <f>VLOOKUP($A$34,'Sociodem statistics'!$B$29:$J$31,9,FALSE)</f>
        <v>1</v>
      </c>
      <c r="H34" s="53">
        <f>VLOOKUP($A$34,'Sociodem statistics'!$B$29:$J$31,9,FALSE)</f>
        <v>1</v>
      </c>
      <c r="I34" s="53">
        <f>VLOOKUP($A$34,'Sociodem statistics'!$B$29:$J$31,9,FALSE)</f>
        <v>1</v>
      </c>
      <c r="J34" s="53">
        <f>VLOOKUP($A$34,'Sociodem statistics'!$B$29:$J$31,9,FALSE)</f>
        <v>1</v>
      </c>
      <c r="K34" s="53">
        <f>VLOOKUP($A$34,'Sociodem statistics'!$B$29:$J$31,9,FALSE)</f>
        <v>1</v>
      </c>
      <c r="L34" s="53">
        <f>VLOOKUP($A$34,'Sociodem statistics'!$B$29:$J$31,9,FALSE)</f>
        <v>1</v>
      </c>
      <c r="M34" s="53">
        <f>VLOOKUP($A$34,'Sociodem statistics'!$B$29:$J$31,9,FALSE)</f>
        <v>1</v>
      </c>
      <c r="N34" s="53">
        <f>VLOOKUP($A$34,'Sociodem statistics'!$B$29:$J$31,9,FALSE)</f>
        <v>1</v>
      </c>
      <c r="O34" s="53">
        <f>VLOOKUP($A$34,'Sociodem statistics'!$B$29:$J$31,9,FALSE)</f>
        <v>1</v>
      </c>
      <c r="P34" s="53">
        <f>VLOOKUP($A$34,'Sociodem statistics'!$B$29:$J$31,9,FALSE)</f>
        <v>1</v>
      </c>
      <c r="Q34" s="53">
        <f>VLOOKUP($A$34,'Sociodem statistics'!$B$29:$J$31,9,FALSE)</f>
        <v>1</v>
      </c>
      <c r="R34" s="53">
        <f>VLOOKUP($A$34,'Sociodem statistics'!$B$29:$J$31,9,FALSE)</f>
        <v>1</v>
      </c>
      <c r="S34" s="53">
        <f>VLOOKUP($A$34,'Sociodem statistics'!$B$29:$J$31,9,FALSE)</f>
        <v>1</v>
      </c>
      <c r="T34" s="53">
        <f>VLOOKUP($A$34,'Sociodem statistics'!$B$29:$J$31,9,FALSE)</f>
        <v>1</v>
      </c>
      <c r="U34" s="53">
        <f>VLOOKUP($A$34,'Sociodem statistics'!$B$29:$J$31,9,FALSE)</f>
        <v>1</v>
      </c>
      <c r="V34" s="53">
        <f>VLOOKUP($A$34,'Sociodem statistics'!$B$29:$J$31,9,FALSE)</f>
        <v>1</v>
      </c>
      <c r="W34" s="53">
        <f>VLOOKUP($A$34,'Sociodem statistics'!$B$29:$J$31,9,FALSE)</f>
        <v>1</v>
      </c>
      <c r="X34" s="53">
        <f>VLOOKUP($A$34,'Sociodem statistics'!$B$29:$J$31,9,FALSE)</f>
        <v>1</v>
      </c>
      <c r="Y34" s="53">
        <f>VLOOKUP($A$34,'Sociodem statistics'!$B$29:$J$31,9,FALSE)</f>
        <v>1</v>
      </c>
      <c r="Z34" s="53">
        <f>VLOOKUP($A$34,'Sociodem statistics'!$B$29:$J$31,9,FALSE)</f>
        <v>1</v>
      </c>
      <c r="AA34" s="53">
        <f>VLOOKUP($A$34,'Sociodem statistics'!$B$29:$J$31,9,FALSE)</f>
        <v>1</v>
      </c>
      <c r="AB34" s="47"/>
      <c r="AC34" s="47"/>
      <c r="AD34" s="47"/>
      <c r="AE34" s="47"/>
      <c r="AF34" s="47"/>
    </row>
    <row r="35" spans="1:32" ht="15" x14ac:dyDescent="0.25">
      <c r="A35" s="45" t="s">
        <v>414</v>
      </c>
      <c r="B35" s="53">
        <f>VLOOKUP($A$35,'Sociodem statistics'!$B$39:$J$41,9,FALSE)</f>
        <v>1</v>
      </c>
      <c r="C35" s="53">
        <f>VLOOKUP($A$35,'Sociodem statistics'!$B$39:$J$41,9,FALSE)</f>
        <v>1</v>
      </c>
      <c r="D35" s="53">
        <f>VLOOKUP($A$35,'Sociodem statistics'!$B$39:$J$41,9,FALSE)</f>
        <v>1</v>
      </c>
      <c r="E35" s="53">
        <f>VLOOKUP($A$35,'Sociodem statistics'!$B$39:$J$41,9,FALSE)</f>
        <v>1</v>
      </c>
      <c r="F35" s="53">
        <f>VLOOKUP($A$35,'Sociodem statistics'!$B$39:$J$41,9,FALSE)</f>
        <v>1</v>
      </c>
      <c r="G35" s="53">
        <f>VLOOKUP($A$35,'Sociodem statistics'!$B$39:$J$41,9,FALSE)</f>
        <v>1</v>
      </c>
      <c r="H35" s="53">
        <f>VLOOKUP($A$35,'Sociodem statistics'!$B$39:$J$41,9,FALSE)</f>
        <v>1</v>
      </c>
      <c r="I35" s="53">
        <f>VLOOKUP($A$35,'Sociodem statistics'!$B$39:$J$41,9,FALSE)</f>
        <v>1</v>
      </c>
      <c r="J35" s="53">
        <f>VLOOKUP($A$35,'Sociodem statistics'!$B$39:$J$41,9,FALSE)</f>
        <v>1</v>
      </c>
      <c r="K35" s="53">
        <f>VLOOKUP($A$35,'Sociodem statistics'!$B$39:$J$41,9,FALSE)</f>
        <v>1</v>
      </c>
      <c r="L35" s="53">
        <f>VLOOKUP($A$35,'Sociodem statistics'!$B$39:$J$41,9,FALSE)</f>
        <v>1</v>
      </c>
      <c r="M35" s="53">
        <f>VLOOKUP($A$35,'Sociodem statistics'!$B$39:$J$41,9,FALSE)</f>
        <v>1</v>
      </c>
      <c r="N35" s="53">
        <f>VLOOKUP($A$35,'Sociodem statistics'!$B$39:$J$41,9,FALSE)</f>
        <v>1</v>
      </c>
      <c r="O35" s="53">
        <f>VLOOKUP($A$35,'Sociodem statistics'!$B$39:$J$41,9,FALSE)</f>
        <v>1</v>
      </c>
      <c r="P35" s="53">
        <f>VLOOKUP($A$35,'Sociodem statistics'!$B$39:$J$41,9,FALSE)</f>
        <v>1</v>
      </c>
      <c r="Q35" s="53">
        <f>VLOOKUP($A$35,'Sociodem statistics'!$B$39:$J$41,9,FALSE)</f>
        <v>1</v>
      </c>
      <c r="R35" s="53">
        <f>VLOOKUP($A$35,'Sociodem statistics'!$B$39:$J$41,9,FALSE)</f>
        <v>1</v>
      </c>
      <c r="S35" s="53">
        <f>VLOOKUP($A$35,'Sociodem statistics'!$B$39:$J$41,9,FALSE)</f>
        <v>1</v>
      </c>
      <c r="T35" s="53">
        <f>VLOOKUP($A$35,'Sociodem statistics'!$B$39:$J$41,9,FALSE)</f>
        <v>1</v>
      </c>
      <c r="U35" s="53">
        <f>VLOOKUP($A$35,'Sociodem statistics'!$B$39:$J$41,9,FALSE)</f>
        <v>1</v>
      </c>
      <c r="V35" s="53">
        <f>VLOOKUP($A$35,'Sociodem statistics'!$B$39:$J$41,9,FALSE)</f>
        <v>1</v>
      </c>
      <c r="W35" s="53">
        <f>VLOOKUP($A$35,'Sociodem statistics'!$B$39:$J$41,9,FALSE)</f>
        <v>1</v>
      </c>
      <c r="X35" s="53">
        <f>VLOOKUP($A$35,'Sociodem statistics'!$B$39:$J$41,9,FALSE)</f>
        <v>1</v>
      </c>
      <c r="Y35" s="53">
        <f>VLOOKUP($A$35,'Sociodem statistics'!$B$39:$J$41,9,FALSE)</f>
        <v>1</v>
      </c>
      <c r="Z35" s="53">
        <f>VLOOKUP($A$35,'Sociodem statistics'!$B$39:$J$41,9,FALSE)</f>
        <v>1</v>
      </c>
      <c r="AA35" s="53">
        <f>VLOOKUP($A$35,'Sociodem statistics'!$B$39:$J$41,9,FALSE)</f>
        <v>1</v>
      </c>
      <c r="AB35" s="47"/>
      <c r="AC35" s="47"/>
      <c r="AD35" s="47"/>
      <c r="AE35" s="47"/>
      <c r="AF35" s="47"/>
    </row>
    <row r="36" spans="1:32" ht="90" x14ac:dyDescent="0.25">
      <c r="A36" s="46" t="s">
        <v>416</v>
      </c>
      <c r="B36" s="54">
        <f t="shared" ref="B36:AA36" si="3">B20*100/(500*PRODUCT(B29:B35))</f>
        <v>16.399999999999999</v>
      </c>
      <c r="C36" s="54">
        <f t="shared" si="3"/>
        <v>16.399999999999999</v>
      </c>
      <c r="D36" s="54">
        <f t="shared" si="3"/>
        <v>16.399999999999999</v>
      </c>
      <c r="E36" s="54">
        <f t="shared" si="3"/>
        <v>16.399999999999999</v>
      </c>
      <c r="F36" s="54">
        <f t="shared" si="3"/>
        <v>16.399999999999999</v>
      </c>
      <c r="G36" s="54">
        <f t="shared" si="3"/>
        <v>16.399999999999999</v>
      </c>
      <c r="H36" s="54">
        <f t="shared" si="3"/>
        <v>16.399999999999999</v>
      </c>
      <c r="I36" s="54">
        <f t="shared" si="3"/>
        <v>16.399999999999999</v>
      </c>
      <c r="J36" s="54">
        <f t="shared" si="3"/>
        <v>16.399999999999999</v>
      </c>
      <c r="K36" s="54">
        <f t="shared" si="3"/>
        <v>16.399999999999999</v>
      </c>
      <c r="L36" s="54">
        <f t="shared" si="3"/>
        <v>16.399999999999999</v>
      </c>
      <c r="M36" s="54">
        <f t="shared" si="3"/>
        <v>16.399999999999999</v>
      </c>
      <c r="N36" s="54">
        <f t="shared" si="3"/>
        <v>49.4</v>
      </c>
      <c r="O36" s="54">
        <f t="shared" si="3"/>
        <v>49.4</v>
      </c>
      <c r="P36" s="54">
        <f t="shared" si="3"/>
        <v>49.4</v>
      </c>
      <c r="Q36" s="54">
        <f t="shared" si="3"/>
        <v>49.4</v>
      </c>
      <c r="R36" s="54">
        <f t="shared" si="3"/>
        <v>49.4</v>
      </c>
      <c r="S36" s="54">
        <f t="shared" si="3"/>
        <v>49.4</v>
      </c>
      <c r="T36" s="54">
        <f t="shared" si="3"/>
        <v>49.4</v>
      </c>
      <c r="U36" s="54">
        <f t="shared" si="3"/>
        <v>49.4</v>
      </c>
      <c r="V36" s="54">
        <f t="shared" si="3"/>
        <v>48.4</v>
      </c>
      <c r="W36" s="54">
        <f t="shared" si="3"/>
        <v>48.4</v>
      </c>
      <c r="X36" s="54">
        <f t="shared" si="3"/>
        <v>48.4</v>
      </c>
      <c r="Y36" s="54">
        <f t="shared" si="3"/>
        <v>48.4</v>
      </c>
      <c r="Z36" s="55">
        <f t="shared" si="3"/>
        <v>48.4</v>
      </c>
      <c r="AA36" s="56">
        <f t="shared" si="3"/>
        <v>48.4</v>
      </c>
      <c r="AB36" s="47"/>
      <c r="AC36" s="57">
        <f>AVERAGE(B36:AA36)</f>
        <v>33.938461538461532</v>
      </c>
      <c r="AD36" s="47"/>
      <c r="AE36" s="47"/>
      <c r="AF36" s="47"/>
    </row>
    <row r="38" spans="1:32" ht="15" x14ac:dyDescent="0.25">
      <c r="Y38" s="181" t="s">
        <v>426</v>
      </c>
      <c r="Z38" s="181"/>
      <c r="AA38" s="181"/>
      <c r="AB38" s="181"/>
      <c r="AC38" s="63">
        <f>AC22*AC36</f>
        <v>16.896875530284969</v>
      </c>
    </row>
    <row r="39" spans="1:32" ht="15" x14ac:dyDescent="0.25">
      <c r="Y39" s="182" t="s">
        <v>427</v>
      </c>
      <c r="Z39" s="182"/>
      <c r="AA39" s="182"/>
      <c r="AB39" s="182"/>
      <c r="AC39" s="63">
        <f>AC24*AC36</f>
        <v>7.4600992566696434</v>
      </c>
    </row>
    <row r="40" spans="1:32" ht="15" x14ac:dyDescent="0.25">
      <c r="Y40" s="67"/>
      <c r="Z40" s="67"/>
      <c r="AA40" s="67"/>
      <c r="AB40" s="67"/>
      <c r="AC40" s="63"/>
    </row>
    <row r="41" spans="1:32" ht="15" x14ac:dyDescent="0.25">
      <c r="Y41" s="67"/>
      <c r="Z41" s="67"/>
      <c r="AA41" s="67"/>
      <c r="AB41" s="67"/>
      <c r="AC41" s="63"/>
    </row>
    <row r="42" spans="1:32" ht="15.75" thickBot="1" x14ac:dyDescent="0.3">
      <c r="A42" s="174" t="s">
        <v>526</v>
      </c>
      <c r="B42" s="174"/>
      <c r="C42" s="174"/>
    </row>
    <row r="43" spans="1:32" ht="16.5" thickBot="1" x14ac:dyDescent="0.3">
      <c r="A43" s="83" t="s">
        <v>57</v>
      </c>
      <c r="B43" s="172" t="s">
        <v>26</v>
      </c>
      <c r="C43" s="172"/>
      <c r="D43" s="172"/>
      <c r="E43" s="172"/>
      <c r="F43" s="172"/>
      <c r="G43" s="123" t="s">
        <v>27</v>
      </c>
      <c r="H43" s="123" t="s">
        <v>28</v>
      </c>
      <c r="I43" s="123" t="s">
        <v>470</v>
      </c>
      <c r="J43" s="172" t="s">
        <v>26</v>
      </c>
      <c r="K43" s="172"/>
      <c r="L43" s="172"/>
      <c r="M43" s="172"/>
      <c r="N43" s="172"/>
      <c r="O43" s="123" t="s">
        <v>29</v>
      </c>
      <c r="P43" s="123" t="s">
        <v>30</v>
      </c>
      <c r="Q43" s="12" t="s">
        <v>31</v>
      </c>
      <c r="R43" s="13" t="s">
        <v>32</v>
      </c>
      <c r="V43" s="111"/>
      <c r="W43" s="100"/>
    </row>
    <row r="44" spans="1:32" ht="15.5" x14ac:dyDescent="0.35">
      <c r="A44" s="161" t="s">
        <v>33</v>
      </c>
      <c r="B44" s="163" t="s">
        <v>34</v>
      </c>
      <c r="C44" s="163"/>
      <c r="D44" s="163"/>
      <c r="E44" s="163"/>
      <c r="F44" s="163"/>
      <c r="G44" s="165">
        <v>0.37795855967631081</v>
      </c>
      <c r="H44" s="163">
        <f>RANK(G44,G44:G52)</f>
        <v>2</v>
      </c>
      <c r="I44" s="84" t="s">
        <v>35</v>
      </c>
      <c r="J44" s="163" t="s">
        <v>36</v>
      </c>
      <c r="K44" s="163"/>
      <c r="L44" s="163"/>
      <c r="M44" s="163"/>
      <c r="N44" s="163"/>
      <c r="O44" s="120">
        <v>0.4495831432218268</v>
      </c>
      <c r="P44" s="14">
        <f>RANK(O44,O44:O47)</f>
        <v>1</v>
      </c>
      <c r="Q44" s="15">
        <f>O44*G44</f>
        <v>0.16992379726687021</v>
      </c>
      <c r="R44" s="16">
        <f>RANK(Q44, $Q$44:$Q$52)</f>
        <v>3</v>
      </c>
      <c r="V44" s="112"/>
      <c r="W44" s="118"/>
    </row>
    <row r="45" spans="1:32" ht="15.5" x14ac:dyDescent="0.35">
      <c r="A45" s="169"/>
      <c r="B45" s="170"/>
      <c r="C45" s="170"/>
      <c r="D45" s="170"/>
      <c r="E45" s="170"/>
      <c r="F45" s="170"/>
      <c r="G45" s="173"/>
      <c r="H45" s="170"/>
      <c r="I45" s="85" t="s">
        <v>37</v>
      </c>
      <c r="J45" s="170" t="s">
        <v>38</v>
      </c>
      <c r="K45" s="170"/>
      <c r="L45" s="170"/>
      <c r="M45" s="170"/>
      <c r="N45" s="170"/>
      <c r="O45" s="121">
        <v>0.17693241290825162</v>
      </c>
      <c r="P45" s="16">
        <f>RANK(O45,O44:O47)</f>
        <v>3</v>
      </c>
      <c r="Q45" s="15">
        <f>O45*G44</f>
        <v>6.6873119942857093E-2</v>
      </c>
      <c r="R45" s="16">
        <f t="shared" ref="R45:R52" si="4">RANK(Q45, $Q$44:$Q$52)</f>
        <v>7</v>
      </c>
      <c r="V45" s="109"/>
      <c r="W45" s="118"/>
    </row>
    <row r="46" spans="1:32" ht="15.5" x14ac:dyDescent="0.35">
      <c r="A46" s="169"/>
      <c r="B46" s="170"/>
      <c r="C46" s="170"/>
      <c r="D46" s="170"/>
      <c r="E46" s="170"/>
      <c r="F46" s="170"/>
      <c r="G46" s="173"/>
      <c r="H46" s="170"/>
      <c r="I46" s="85" t="s">
        <v>39</v>
      </c>
      <c r="J46" s="170" t="s">
        <v>40</v>
      </c>
      <c r="K46" s="170"/>
      <c r="L46" s="170"/>
      <c r="M46" s="170"/>
      <c r="N46" s="170"/>
      <c r="O46" s="121">
        <v>0.23869530314404783</v>
      </c>
      <c r="P46" s="16">
        <f>RANK(O46,O44:O47)</f>
        <v>2</v>
      </c>
      <c r="Q46" s="15">
        <f>O46*G44</f>
        <v>9.0216932977824696E-2</v>
      </c>
      <c r="R46" s="16">
        <f t="shared" si="4"/>
        <v>5</v>
      </c>
      <c r="V46" s="109"/>
      <c r="W46" s="118"/>
    </row>
    <row r="47" spans="1:32" ht="16" thickBot="1" x14ac:dyDescent="0.4">
      <c r="A47" s="162"/>
      <c r="B47" s="164"/>
      <c r="C47" s="164"/>
      <c r="D47" s="164"/>
      <c r="E47" s="164"/>
      <c r="F47" s="164"/>
      <c r="G47" s="166"/>
      <c r="H47" s="164"/>
      <c r="I47" s="86" t="s">
        <v>41</v>
      </c>
      <c r="J47" s="164" t="s">
        <v>42</v>
      </c>
      <c r="K47" s="164"/>
      <c r="L47" s="164"/>
      <c r="M47" s="164"/>
      <c r="N47" s="164"/>
      <c r="O47" s="122">
        <v>0.1347891407258737</v>
      </c>
      <c r="P47" s="17">
        <f>RANK(O47,O44:O47)</f>
        <v>4</v>
      </c>
      <c r="Q47" s="15">
        <f>O47*G44</f>
        <v>5.0944709488758788E-2</v>
      </c>
      <c r="R47" s="16">
        <f t="shared" si="4"/>
        <v>9</v>
      </c>
      <c r="V47" s="109"/>
      <c r="W47" s="118"/>
    </row>
    <row r="48" spans="1:32" ht="15.5" x14ac:dyDescent="0.35">
      <c r="A48" s="161" t="s">
        <v>43</v>
      </c>
      <c r="B48" s="163" t="s">
        <v>44</v>
      </c>
      <c r="C48" s="163"/>
      <c r="D48" s="163"/>
      <c r="E48" s="163"/>
      <c r="F48" s="163"/>
      <c r="G48" s="165">
        <v>0.22971398617568894</v>
      </c>
      <c r="H48" s="163">
        <f>RANK(G48,G44:G52)</f>
        <v>3</v>
      </c>
      <c r="I48" s="84" t="s">
        <v>45</v>
      </c>
      <c r="J48" s="163" t="s">
        <v>46</v>
      </c>
      <c r="K48" s="163"/>
      <c r="L48" s="163"/>
      <c r="M48" s="163"/>
      <c r="N48" s="163"/>
      <c r="O48" s="120">
        <v>0.4026247399318601</v>
      </c>
      <c r="P48" s="14">
        <f>RANK(O48,O48:O50)</f>
        <v>1</v>
      </c>
      <c r="Q48" s="15">
        <f>O48*G48</f>
        <v>9.2488533942697668E-2</v>
      </c>
      <c r="R48" s="16">
        <f t="shared" si="4"/>
        <v>4</v>
      </c>
      <c r="V48" s="109"/>
      <c r="W48" s="118"/>
    </row>
    <row r="49" spans="1:28" ht="15.5" x14ac:dyDescent="0.35">
      <c r="A49" s="169"/>
      <c r="B49" s="170"/>
      <c r="C49" s="170"/>
      <c r="D49" s="170"/>
      <c r="E49" s="170"/>
      <c r="F49" s="170"/>
      <c r="G49" s="173"/>
      <c r="H49" s="170"/>
      <c r="I49" s="85" t="s">
        <v>47</v>
      </c>
      <c r="J49" s="170" t="s">
        <v>48</v>
      </c>
      <c r="K49" s="170"/>
      <c r="L49" s="170"/>
      <c r="M49" s="170"/>
      <c r="N49" s="170"/>
      <c r="O49" s="121">
        <v>0.33338501054824227</v>
      </c>
      <c r="P49" s="16">
        <f>RANK(O49,O48:O50)</f>
        <v>2</v>
      </c>
      <c r="Q49" s="15">
        <f>O49*G48</f>
        <v>7.6583199704260835E-2</v>
      </c>
      <c r="R49" s="16">
        <f t="shared" si="4"/>
        <v>6</v>
      </c>
      <c r="V49" s="109"/>
      <c r="W49" s="118"/>
    </row>
    <row r="50" spans="1:28" ht="16" thickBot="1" x14ac:dyDescent="0.4">
      <c r="A50" s="162"/>
      <c r="B50" s="164"/>
      <c r="C50" s="164"/>
      <c r="D50" s="164"/>
      <c r="E50" s="164"/>
      <c r="F50" s="164"/>
      <c r="G50" s="166"/>
      <c r="H50" s="164"/>
      <c r="I50" s="86" t="s">
        <v>49</v>
      </c>
      <c r="J50" s="164" t="s">
        <v>50</v>
      </c>
      <c r="K50" s="164"/>
      <c r="L50" s="164"/>
      <c r="M50" s="164"/>
      <c r="N50" s="164"/>
      <c r="O50" s="122">
        <v>0.26399024951989758</v>
      </c>
      <c r="P50" s="17">
        <f>RANK(O50,O48:O50)</f>
        <v>3</v>
      </c>
      <c r="Q50" s="15">
        <f>O50*G48</f>
        <v>6.0642252528730428E-2</v>
      </c>
      <c r="R50" s="16">
        <f t="shared" si="4"/>
        <v>8</v>
      </c>
      <c r="V50" s="109"/>
      <c r="W50" s="118"/>
    </row>
    <row r="51" spans="1:28" ht="15.5" x14ac:dyDescent="0.35">
      <c r="A51" s="161" t="s">
        <v>51</v>
      </c>
      <c r="B51" s="163" t="s">
        <v>52</v>
      </c>
      <c r="C51" s="163"/>
      <c r="D51" s="163"/>
      <c r="E51" s="163"/>
      <c r="F51" s="163"/>
      <c r="G51" s="165">
        <v>0.39232745414800024</v>
      </c>
      <c r="H51" s="163">
        <f>RANK(G51,G44:G52)</f>
        <v>1</v>
      </c>
      <c r="I51" s="84" t="s">
        <v>53</v>
      </c>
      <c r="J51" s="163" t="s">
        <v>54</v>
      </c>
      <c r="K51" s="163"/>
      <c r="L51" s="163"/>
      <c r="M51" s="163"/>
      <c r="N51" s="163"/>
      <c r="O51" s="120">
        <v>0.45572031624806125</v>
      </c>
      <c r="P51" s="14">
        <f>RANK(O51,O51:O52)</f>
        <v>2</v>
      </c>
      <c r="Q51" s="15">
        <f>O51*G51</f>
        <v>0.17879159147712342</v>
      </c>
      <c r="R51" s="16">
        <f t="shared" si="4"/>
        <v>2</v>
      </c>
      <c r="V51" s="109"/>
      <c r="W51" s="118"/>
    </row>
    <row r="52" spans="1:28" ht="16" thickBot="1" x14ac:dyDescent="0.4">
      <c r="A52" s="162"/>
      <c r="B52" s="164"/>
      <c r="C52" s="164"/>
      <c r="D52" s="164"/>
      <c r="E52" s="164"/>
      <c r="F52" s="164"/>
      <c r="G52" s="166"/>
      <c r="H52" s="164"/>
      <c r="I52" s="18" t="s">
        <v>55</v>
      </c>
      <c r="J52" s="167" t="s">
        <v>56</v>
      </c>
      <c r="K52" s="168"/>
      <c r="L52" s="168"/>
      <c r="M52" s="168"/>
      <c r="N52" s="168"/>
      <c r="O52" s="122">
        <v>0.5442796837519388</v>
      </c>
      <c r="P52" s="17">
        <f>RANK(O52,O51:O52)</f>
        <v>1</v>
      </c>
      <c r="Q52" s="19">
        <f>O52*G51</f>
        <v>0.21353586267087685</v>
      </c>
      <c r="R52" s="16">
        <f t="shared" si="4"/>
        <v>1</v>
      </c>
      <c r="V52" s="109"/>
      <c r="W52" s="118"/>
    </row>
    <row r="54" spans="1:28" ht="15" x14ac:dyDescent="0.25">
      <c r="A54" s="119"/>
      <c r="B54" s="119"/>
      <c r="C54" s="119"/>
      <c r="D54" s="99"/>
      <c r="E54" s="99"/>
      <c r="F54" s="99"/>
      <c r="G54" s="99"/>
      <c r="H54" s="99"/>
      <c r="I54" s="99"/>
      <c r="J54" s="99"/>
      <c r="K54" s="99"/>
      <c r="L54" s="99"/>
      <c r="M54" s="99"/>
      <c r="N54" s="99"/>
      <c r="O54" s="99"/>
      <c r="P54" s="99"/>
      <c r="Q54" s="99"/>
      <c r="R54" s="99"/>
      <c r="S54" s="99"/>
      <c r="T54" s="99"/>
      <c r="U54" s="99"/>
      <c r="V54" s="99"/>
      <c r="W54" s="99"/>
      <c r="X54" s="99"/>
      <c r="Y54" s="99"/>
      <c r="Z54" s="99"/>
      <c r="AA54" s="99"/>
      <c r="AB54" s="99"/>
    </row>
  </sheetData>
  <mergeCells count="28">
    <mergeCell ref="A51:A52"/>
    <mergeCell ref="B51:F52"/>
    <mergeCell ref="G51:G52"/>
    <mergeCell ref="H51:H52"/>
    <mergeCell ref="J51:N51"/>
    <mergeCell ref="J52:N52"/>
    <mergeCell ref="A48:A50"/>
    <mergeCell ref="B48:F50"/>
    <mergeCell ref="G48:G50"/>
    <mergeCell ref="H48:H50"/>
    <mergeCell ref="J48:N48"/>
    <mergeCell ref="J49:N49"/>
    <mergeCell ref="J50:N50"/>
    <mergeCell ref="A44:A47"/>
    <mergeCell ref="B44:F47"/>
    <mergeCell ref="G44:G47"/>
    <mergeCell ref="H44:H47"/>
    <mergeCell ref="J44:N44"/>
    <mergeCell ref="J45:N45"/>
    <mergeCell ref="J46:N46"/>
    <mergeCell ref="J47:N47"/>
    <mergeCell ref="B43:F43"/>
    <mergeCell ref="J43:N43"/>
    <mergeCell ref="A1:A2"/>
    <mergeCell ref="AB20:AC20"/>
    <mergeCell ref="Y38:AB38"/>
    <mergeCell ref="Y39:AB39"/>
    <mergeCell ref="A42:C4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CopyFilteredData">
                <anchor moveWithCells="1" sizeWithCells="1">
                  <from>
                    <xdr:col>5</xdr:col>
                    <xdr:colOff>12700</xdr:colOff>
                    <xdr:row>37</xdr:row>
                    <xdr:rowOff>12700</xdr:rowOff>
                  </from>
                  <to>
                    <xdr:col>6</xdr:col>
                    <xdr:colOff>850900</xdr:colOff>
                    <xdr:row>38</xdr:row>
                    <xdr:rowOff>133350</xdr:rowOff>
                  </to>
                </anchor>
              </controlPr>
            </control>
          </mc:Choice>
        </mc:AlternateContent>
        <mc:AlternateContent xmlns:mc="http://schemas.openxmlformats.org/markup-compatibility/2006">
          <mc:Choice Requires="x14">
            <control shapeId="2050" r:id="rId4" name="Button 2">
              <controlPr defaultSize="0" print="0" autoFill="0" autoPict="0" macro="[0]!CopyFilteredData">
                <anchor moveWithCells="1" sizeWithCells="1">
                  <from>
                    <xdr:col>5</xdr:col>
                    <xdr:colOff>12700</xdr:colOff>
                    <xdr:row>37</xdr:row>
                    <xdr:rowOff>12700</xdr:rowOff>
                  </from>
                  <to>
                    <xdr:col>6</xdr:col>
                    <xdr:colOff>850900</xdr:colOff>
                    <xdr:row>38</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promptTitle="Age" prompt="Select the age included in the study" xr:uid="{00000000-0002-0000-0500-000000000000}">
          <x14:formula1>
            <xm:f>'Sociodem statistics'!$B$2:$B$5</xm:f>
          </x14:formula1>
          <xm:sqref>A29</xm:sqref>
        </x14:dataValidation>
        <x14:dataValidation type="list" allowBlank="1" showInputMessage="1" showErrorMessage="1" promptTitle="Gender" prompt="Select the gender under evaluation" xr:uid="{00000000-0002-0000-0500-000001000000}">
          <x14:formula1>
            <xm:f>'Sociodem statistics'!$B$6:$B$8</xm:f>
          </x14:formula1>
          <xm:sqref>A30</xm:sqref>
        </x14:dataValidation>
        <x14:dataValidation type="list" allowBlank="1" showInputMessage="1" showErrorMessage="1" promptTitle="Education" prompt="Select the level of education:_x000a_- Low level: &lt; lower secundary education_x000a_- Medium level:between upper secondary and short-cycle tertiary education_x000a_- High level: degree or higher" xr:uid="{00000000-0002-0000-0500-000002000000}">
          <x14:formula1>
            <xm:f>'Sociodem statistics'!$B$9:$B$12</xm:f>
          </x14:formula1>
          <xm:sqref>A31</xm:sqref>
        </x14:dataValidation>
        <x14:dataValidation type="list" allowBlank="1" showInputMessage="1" showErrorMessage="1" promptTitle="Disability" prompt="Choose if you are considering people with or without disability_x000a_" xr:uid="{00000000-0002-0000-0500-000003000000}">
          <x14:formula1>
            <xm:f>'Sociodem statistics'!$B$13:$B$15</xm:f>
          </x14:formula1>
          <xm:sqref>A32</xm:sqref>
        </x14:dataValidation>
        <x14:dataValidation type="list" allowBlank="1" showInputMessage="1" showErrorMessage="1" promptTitle="Family" prompt="Select the family size" xr:uid="{00000000-0002-0000-0500-000004000000}">
          <x14:formula1>
            <xm:f>'Sociodem statistics'!$B$16:$B$19</xm:f>
          </x14:formula1>
          <xm:sqref>A33</xm:sqref>
        </x14:dataValidation>
        <x14:dataValidation type="list" allowBlank="1" showInputMessage="1" showErrorMessage="1" promptTitle="Sexual orientation" prompt="Select: heterosexual, LGTB or All" xr:uid="{00000000-0002-0000-0500-000005000000}">
          <x14:formula1>
            <xm:f>'Sociodem statistics'!$B$29:$B$31</xm:f>
          </x14:formula1>
          <xm:sqref>A34</xm:sqref>
        </x14:dataValidation>
        <x14:dataValidation type="list" allowBlank="1" showInputMessage="1" showErrorMessage="1" promptTitle="Economic level" prompt="Select the economic level._x000a_Note: Low wage earners are defined as employees who earn two thirds or less of national median gross hourly earnings. " xr:uid="{00000000-0002-0000-0500-000006000000}">
          <x14:formula1>
            <xm:f>'Sociodem statistics'!$B$39:$B$41</xm:f>
          </x14:formula1>
          <xm:sqref>A35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F52"/>
  <sheetViews>
    <sheetView workbookViewId="0">
      <selection activeCell="J40" sqref="J40"/>
    </sheetView>
  </sheetViews>
  <sheetFormatPr baseColWidth="10" defaultColWidth="8.7265625" defaultRowHeight="14.5" x14ac:dyDescent="0.35"/>
  <cols>
    <col min="1" max="1" width="39" bestFit="1" customWidth="1"/>
  </cols>
  <sheetData>
    <row r="1" spans="1:27" x14ac:dyDescent="0.35">
      <c r="A1" s="171" t="s">
        <v>418</v>
      </c>
      <c r="B1" s="1"/>
      <c r="C1" s="1"/>
      <c r="D1" s="1"/>
      <c r="E1" s="1"/>
      <c r="F1" s="1"/>
      <c r="G1" s="1"/>
      <c r="H1" s="1"/>
      <c r="I1" s="1"/>
      <c r="J1" s="1"/>
      <c r="K1" s="1"/>
      <c r="L1" s="1"/>
      <c r="M1" s="1"/>
      <c r="N1" s="1"/>
      <c r="O1" s="1"/>
      <c r="P1" s="1"/>
      <c r="Q1" s="1"/>
      <c r="R1" s="1"/>
      <c r="S1" s="1"/>
      <c r="T1" s="1"/>
      <c r="U1" s="1"/>
      <c r="V1" s="1"/>
      <c r="W1" s="1"/>
      <c r="X1" s="1"/>
      <c r="Y1" s="1"/>
      <c r="Z1" s="1"/>
      <c r="AA1" s="1"/>
    </row>
    <row r="2" spans="1:27" x14ac:dyDescent="0.35">
      <c r="A2" s="171"/>
      <c r="B2" s="2" t="s">
        <v>0</v>
      </c>
      <c r="C2" s="2" t="s">
        <v>1</v>
      </c>
      <c r="D2" s="2" t="s">
        <v>2</v>
      </c>
      <c r="E2" s="2" t="s">
        <v>3</v>
      </c>
      <c r="F2" s="2" t="s">
        <v>4</v>
      </c>
      <c r="G2" s="2" t="s">
        <v>5</v>
      </c>
      <c r="H2" s="2" t="s">
        <v>6</v>
      </c>
      <c r="I2" s="2" t="s">
        <v>7</v>
      </c>
      <c r="J2" s="2" t="s">
        <v>8</v>
      </c>
      <c r="K2" s="2" t="s">
        <v>9</v>
      </c>
      <c r="L2" s="2" t="s">
        <v>10</v>
      </c>
      <c r="M2" s="2" t="s">
        <v>11</v>
      </c>
      <c r="N2" s="2" t="s">
        <v>12</v>
      </c>
      <c r="O2" s="2" t="s">
        <v>13</v>
      </c>
      <c r="P2" s="2" t="s">
        <v>14</v>
      </c>
      <c r="Q2" s="2" t="s">
        <v>15</v>
      </c>
      <c r="R2" s="2" t="s">
        <v>16</v>
      </c>
      <c r="S2" s="2" t="s">
        <v>17</v>
      </c>
      <c r="T2" s="2" t="s">
        <v>18</v>
      </c>
      <c r="U2" s="2" t="s">
        <v>19</v>
      </c>
      <c r="V2" s="2" t="s">
        <v>20</v>
      </c>
      <c r="W2" s="2" t="s">
        <v>21</v>
      </c>
      <c r="X2" s="2" t="s">
        <v>22</v>
      </c>
      <c r="Y2" s="2" t="s">
        <v>23</v>
      </c>
      <c r="Z2" s="2" t="s">
        <v>24</v>
      </c>
      <c r="AA2" s="2" t="s">
        <v>25</v>
      </c>
    </row>
    <row r="3" spans="1:27" ht="15" x14ac:dyDescent="0.25">
      <c r="A3" s="3">
        <v>1</v>
      </c>
      <c r="B3" s="4">
        <v>17</v>
      </c>
      <c r="C3" s="49">
        <v>17</v>
      </c>
      <c r="D3" s="4">
        <v>18</v>
      </c>
      <c r="E3" s="49">
        <v>18</v>
      </c>
      <c r="F3" s="4">
        <v>12</v>
      </c>
      <c r="G3" s="49">
        <v>12</v>
      </c>
      <c r="H3" s="4">
        <v>21</v>
      </c>
      <c r="I3" s="49">
        <v>21</v>
      </c>
      <c r="J3" s="4">
        <v>13</v>
      </c>
      <c r="K3" s="49">
        <v>13</v>
      </c>
      <c r="L3" s="4">
        <v>12</v>
      </c>
      <c r="M3" s="49">
        <v>12</v>
      </c>
      <c r="N3" s="4">
        <v>63</v>
      </c>
      <c r="O3" s="49">
        <v>63</v>
      </c>
      <c r="P3" s="4">
        <v>72</v>
      </c>
      <c r="Q3" s="49">
        <v>72</v>
      </c>
      <c r="R3" s="4">
        <v>67</v>
      </c>
      <c r="S3" s="49">
        <v>67</v>
      </c>
      <c r="T3" s="4">
        <v>62</v>
      </c>
      <c r="U3" s="49">
        <v>62</v>
      </c>
      <c r="V3" s="4">
        <v>62</v>
      </c>
      <c r="W3" s="49">
        <v>62</v>
      </c>
      <c r="X3" s="4">
        <v>69</v>
      </c>
      <c r="Y3" s="49">
        <v>69</v>
      </c>
      <c r="Z3" s="4">
        <v>52</v>
      </c>
      <c r="AA3" s="49">
        <v>52</v>
      </c>
    </row>
    <row r="4" spans="1:27" ht="15" x14ac:dyDescent="0.25">
      <c r="A4" s="3">
        <v>2</v>
      </c>
      <c r="B4" s="4">
        <v>0</v>
      </c>
      <c r="C4" s="49">
        <v>0</v>
      </c>
      <c r="D4" s="4">
        <v>0</v>
      </c>
      <c r="E4" s="49">
        <v>0</v>
      </c>
      <c r="F4" s="4">
        <v>0</v>
      </c>
      <c r="G4" s="49">
        <v>0</v>
      </c>
      <c r="H4" s="4">
        <v>0</v>
      </c>
      <c r="I4" s="49">
        <v>0</v>
      </c>
      <c r="J4" s="4">
        <v>0</v>
      </c>
      <c r="K4" s="49">
        <v>0</v>
      </c>
      <c r="L4" s="4">
        <v>0</v>
      </c>
      <c r="M4" s="49">
        <v>0</v>
      </c>
      <c r="N4" s="4">
        <v>1</v>
      </c>
      <c r="O4" s="49">
        <v>0</v>
      </c>
      <c r="P4" s="4">
        <v>0</v>
      </c>
      <c r="Q4" s="49">
        <v>0</v>
      </c>
      <c r="R4" s="4">
        <v>0</v>
      </c>
      <c r="S4" s="49">
        <v>1</v>
      </c>
      <c r="T4" s="4">
        <v>1</v>
      </c>
      <c r="U4" s="49">
        <v>0</v>
      </c>
      <c r="V4" s="4">
        <v>0</v>
      </c>
      <c r="W4" s="49">
        <v>0</v>
      </c>
      <c r="X4" s="4">
        <v>0</v>
      </c>
      <c r="Y4" s="49">
        <v>0</v>
      </c>
      <c r="Z4" s="4">
        <v>0</v>
      </c>
      <c r="AA4" s="49">
        <v>0</v>
      </c>
    </row>
    <row r="5" spans="1:27" ht="15" x14ac:dyDescent="0.25">
      <c r="A5" s="3">
        <v>3</v>
      </c>
      <c r="B5" s="4">
        <v>0</v>
      </c>
      <c r="C5" s="49">
        <v>1</v>
      </c>
      <c r="D5" s="4">
        <v>0</v>
      </c>
      <c r="E5" s="49">
        <v>0</v>
      </c>
      <c r="F5" s="4">
        <v>2</v>
      </c>
      <c r="G5" s="49">
        <v>0</v>
      </c>
      <c r="H5" s="4">
        <v>1</v>
      </c>
      <c r="I5" s="49">
        <v>0</v>
      </c>
      <c r="J5" s="4">
        <v>0</v>
      </c>
      <c r="K5" s="49">
        <v>0</v>
      </c>
      <c r="L5" s="4">
        <v>1</v>
      </c>
      <c r="M5" s="49">
        <v>0</v>
      </c>
      <c r="N5" s="4">
        <v>1</v>
      </c>
      <c r="O5" s="49">
        <v>0</v>
      </c>
      <c r="P5" s="4">
        <v>1</v>
      </c>
      <c r="Q5" s="49">
        <v>0</v>
      </c>
      <c r="R5" s="4">
        <v>1</v>
      </c>
      <c r="S5" s="49">
        <v>0</v>
      </c>
      <c r="T5" s="4">
        <v>1</v>
      </c>
      <c r="U5" s="49">
        <v>1</v>
      </c>
      <c r="V5" s="4">
        <v>1</v>
      </c>
      <c r="W5" s="49">
        <v>0</v>
      </c>
      <c r="X5" s="4">
        <v>0</v>
      </c>
      <c r="Y5" s="49">
        <v>1</v>
      </c>
      <c r="Z5" s="4">
        <v>0</v>
      </c>
      <c r="AA5" s="49">
        <v>0</v>
      </c>
    </row>
    <row r="6" spans="1:27" ht="15" x14ac:dyDescent="0.25">
      <c r="A6" s="3">
        <v>4</v>
      </c>
      <c r="B6" s="4">
        <v>2</v>
      </c>
      <c r="C6" s="49">
        <v>0</v>
      </c>
      <c r="D6" s="4">
        <v>3</v>
      </c>
      <c r="E6" s="49">
        <v>0</v>
      </c>
      <c r="F6" s="4">
        <v>1</v>
      </c>
      <c r="G6" s="49">
        <v>0</v>
      </c>
      <c r="H6" s="4">
        <v>0</v>
      </c>
      <c r="I6" s="49">
        <v>1</v>
      </c>
      <c r="J6" s="4">
        <v>1</v>
      </c>
      <c r="K6" s="49">
        <v>2</v>
      </c>
      <c r="L6" s="4">
        <v>1</v>
      </c>
      <c r="M6" s="49">
        <v>1</v>
      </c>
      <c r="N6" s="4">
        <v>0</v>
      </c>
      <c r="O6" s="49">
        <v>0</v>
      </c>
      <c r="P6" s="4">
        <v>1</v>
      </c>
      <c r="Q6" s="49">
        <v>0</v>
      </c>
      <c r="R6" s="4">
        <v>0</v>
      </c>
      <c r="S6" s="49">
        <v>0</v>
      </c>
      <c r="T6" s="4">
        <v>1</v>
      </c>
      <c r="U6" s="49">
        <v>2</v>
      </c>
      <c r="V6" s="4">
        <v>3</v>
      </c>
      <c r="W6" s="49">
        <v>0</v>
      </c>
      <c r="X6" s="4">
        <v>1</v>
      </c>
      <c r="Y6" s="49">
        <v>2</v>
      </c>
      <c r="Z6" s="4">
        <v>0</v>
      </c>
      <c r="AA6" s="49">
        <v>1</v>
      </c>
    </row>
    <row r="7" spans="1:27" ht="15" x14ac:dyDescent="0.25">
      <c r="A7" s="3">
        <v>5</v>
      </c>
      <c r="B7" s="4">
        <v>2</v>
      </c>
      <c r="C7" s="49">
        <v>0</v>
      </c>
      <c r="D7" s="4">
        <v>5</v>
      </c>
      <c r="E7" s="49">
        <v>0</v>
      </c>
      <c r="F7" s="4">
        <v>4</v>
      </c>
      <c r="G7" s="49">
        <v>1</v>
      </c>
      <c r="H7" s="4">
        <v>0</v>
      </c>
      <c r="I7" s="49">
        <v>2</v>
      </c>
      <c r="J7" s="4">
        <v>2</v>
      </c>
      <c r="K7" s="49">
        <v>1</v>
      </c>
      <c r="L7" s="4">
        <v>3</v>
      </c>
      <c r="M7" s="49">
        <v>2</v>
      </c>
      <c r="N7" s="4">
        <v>3</v>
      </c>
      <c r="O7" s="49">
        <v>3</v>
      </c>
      <c r="P7" s="4">
        <v>4</v>
      </c>
      <c r="Q7" s="49">
        <v>0</v>
      </c>
      <c r="R7" s="4">
        <v>2</v>
      </c>
      <c r="S7" s="49">
        <v>0</v>
      </c>
      <c r="T7" s="4">
        <v>0</v>
      </c>
      <c r="U7" s="49">
        <v>2</v>
      </c>
      <c r="V7" s="4">
        <v>4</v>
      </c>
      <c r="W7" s="49">
        <v>1</v>
      </c>
      <c r="X7" s="4">
        <v>2</v>
      </c>
      <c r="Y7" s="49">
        <v>4</v>
      </c>
      <c r="Z7" s="4">
        <v>1</v>
      </c>
      <c r="AA7" s="49">
        <v>4</v>
      </c>
    </row>
    <row r="8" spans="1:27" ht="15" x14ac:dyDescent="0.25">
      <c r="A8" s="3">
        <v>6</v>
      </c>
      <c r="B8" s="4">
        <v>2</v>
      </c>
      <c r="C8" s="49">
        <v>0</v>
      </c>
      <c r="D8" s="4">
        <v>1</v>
      </c>
      <c r="E8" s="49">
        <v>0</v>
      </c>
      <c r="F8" s="4">
        <v>1</v>
      </c>
      <c r="G8" s="49">
        <v>0</v>
      </c>
      <c r="H8" s="4">
        <v>2</v>
      </c>
      <c r="I8" s="49">
        <v>3</v>
      </c>
      <c r="J8" s="4">
        <v>2</v>
      </c>
      <c r="K8" s="49">
        <v>2</v>
      </c>
      <c r="L8" s="4">
        <v>2</v>
      </c>
      <c r="M8" s="49">
        <v>0</v>
      </c>
      <c r="N8" s="4">
        <v>10</v>
      </c>
      <c r="O8" s="49">
        <v>1</v>
      </c>
      <c r="P8" s="4">
        <v>6</v>
      </c>
      <c r="Q8" s="49">
        <v>1</v>
      </c>
      <c r="R8" s="4">
        <v>6</v>
      </c>
      <c r="S8" s="49">
        <v>1</v>
      </c>
      <c r="T8" s="4">
        <v>2</v>
      </c>
      <c r="U8" s="49">
        <v>5</v>
      </c>
      <c r="V8" s="4">
        <v>5</v>
      </c>
      <c r="W8" s="49">
        <v>3</v>
      </c>
      <c r="X8" s="4">
        <v>6</v>
      </c>
      <c r="Y8" s="49">
        <v>3</v>
      </c>
      <c r="Z8" s="4">
        <v>9</v>
      </c>
      <c r="AA8" s="49">
        <v>11</v>
      </c>
    </row>
    <row r="9" spans="1:27" ht="15" x14ac:dyDescent="0.25">
      <c r="A9" s="3">
        <v>7</v>
      </c>
      <c r="B9" s="4">
        <v>10</v>
      </c>
      <c r="C9" s="49">
        <v>0</v>
      </c>
      <c r="D9" s="4">
        <v>8</v>
      </c>
      <c r="E9" s="49">
        <v>1</v>
      </c>
      <c r="F9" s="4">
        <v>8</v>
      </c>
      <c r="G9" s="49">
        <v>0</v>
      </c>
      <c r="H9" s="4">
        <v>3</v>
      </c>
      <c r="I9" s="49">
        <v>4</v>
      </c>
      <c r="J9" s="4">
        <v>7</v>
      </c>
      <c r="K9" s="49">
        <v>4</v>
      </c>
      <c r="L9" s="4">
        <v>5</v>
      </c>
      <c r="M9" s="49">
        <v>3</v>
      </c>
      <c r="N9" s="4">
        <v>7</v>
      </c>
      <c r="O9" s="49">
        <v>6</v>
      </c>
      <c r="P9" s="4">
        <v>11</v>
      </c>
      <c r="Q9" s="49">
        <v>2</v>
      </c>
      <c r="R9" s="4">
        <v>8</v>
      </c>
      <c r="S9" s="49">
        <v>7</v>
      </c>
      <c r="T9" s="4">
        <v>3</v>
      </c>
      <c r="U9" s="49">
        <v>9</v>
      </c>
      <c r="V9" s="4">
        <v>12</v>
      </c>
      <c r="W9" s="49">
        <v>1</v>
      </c>
      <c r="X9" s="4">
        <v>7</v>
      </c>
      <c r="Y9" s="49">
        <v>4</v>
      </c>
      <c r="Z9" s="4">
        <v>2</v>
      </c>
      <c r="AA9" s="49">
        <v>13</v>
      </c>
    </row>
    <row r="10" spans="1:27" ht="15" x14ac:dyDescent="0.25">
      <c r="A10" s="3">
        <v>8</v>
      </c>
      <c r="B10" s="4">
        <v>4</v>
      </c>
      <c r="C10" s="49">
        <v>0</v>
      </c>
      <c r="D10" s="4">
        <v>2</v>
      </c>
      <c r="E10" s="49">
        <v>0</v>
      </c>
      <c r="F10" s="4">
        <v>9</v>
      </c>
      <c r="G10" s="49">
        <v>0</v>
      </c>
      <c r="H10" s="4">
        <v>1</v>
      </c>
      <c r="I10" s="49">
        <v>1</v>
      </c>
      <c r="J10" s="4">
        <v>4</v>
      </c>
      <c r="K10" s="49">
        <v>1</v>
      </c>
      <c r="L10" s="4">
        <v>8</v>
      </c>
      <c r="M10" s="49">
        <v>0</v>
      </c>
      <c r="N10" s="4">
        <v>5</v>
      </c>
      <c r="O10" s="49">
        <v>2</v>
      </c>
      <c r="P10" s="4">
        <v>3</v>
      </c>
      <c r="Q10" s="49">
        <v>4</v>
      </c>
      <c r="R10" s="4">
        <v>7</v>
      </c>
      <c r="S10" s="49">
        <v>3</v>
      </c>
      <c r="T10" s="4">
        <v>3</v>
      </c>
      <c r="U10" s="49">
        <v>5</v>
      </c>
      <c r="V10" s="4">
        <v>10</v>
      </c>
      <c r="W10" s="49">
        <v>1</v>
      </c>
      <c r="X10" s="4">
        <v>3</v>
      </c>
      <c r="Y10" s="49">
        <v>2</v>
      </c>
      <c r="Z10" s="4">
        <v>0</v>
      </c>
      <c r="AA10" s="49">
        <v>9</v>
      </c>
    </row>
    <row r="11" spans="1:27" ht="15" x14ac:dyDescent="0.25">
      <c r="A11" s="3">
        <v>9</v>
      </c>
      <c r="B11" s="4">
        <v>1</v>
      </c>
      <c r="C11" s="49">
        <v>0</v>
      </c>
      <c r="D11" s="4">
        <v>0</v>
      </c>
      <c r="E11" s="49">
        <v>1</v>
      </c>
      <c r="F11" s="4">
        <v>1</v>
      </c>
      <c r="G11" s="49">
        <v>0</v>
      </c>
      <c r="H11" s="4">
        <v>0</v>
      </c>
      <c r="I11" s="49">
        <v>0</v>
      </c>
      <c r="J11" s="4">
        <v>0</v>
      </c>
      <c r="K11" s="49">
        <v>0</v>
      </c>
      <c r="L11" s="4">
        <v>1</v>
      </c>
      <c r="M11" s="49">
        <v>0</v>
      </c>
      <c r="N11" s="4">
        <v>6</v>
      </c>
      <c r="O11" s="49">
        <v>1</v>
      </c>
      <c r="P11" s="4">
        <v>4</v>
      </c>
      <c r="Q11" s="49">
        <v>0</v>
      </c>
      <c r="R11" s="4">
        <v>4</v>
      </c>
      <c r="S11" s="49">
        <v>2</v>
      </c>
      <c r="T11" s="4">
        <v>6</v>
      </c>
      <c r="U11" s="49">
        <v>6</v>
      </c>
      <c r="V11" s="4">
        <v>7</v>
      </c>
      <c r="W11" s="49">
        <v>0</v>
      </c>
      <c r="X11" s="4">
        <v>1</v>
      </c>
      <c r="Y11" s="49">
        <v>5</v>
      </c>
      <c r="Z11" s="4">
        <v>1</v>
      </c>
      <c r="AA11" s="49">
        <v>7</v>
      </c>
    </row>
    <row r="12" spans="1:27" ht="15" x14ac:dyDescent="0.25">
      <c r="A12" s="5">
        <v>0.5</v>
      </c>
      <c r="B12" s="4">
        <v>0</v>
      </c>
      <c r="C12" s="49">
        <v>0</v>
      </c>
      <c r="D12" s="4">
        <v>0</v>
      </c>
      <c r="E12" s="49">
        <v>0</v>
      </c>
      <c r="F12" s="4">
        <v>0</v>
      </c>
      <c r="G12" s="49">
        <v>0</v>
      </c>
      <c r="H12" s="4">
        <v>0</v>
      </c>
      <c r="I12" s="49">
        <v>0</v>
      </c>
      <c r="J12" s="4">
        <v>0</v>
      </c>
      <c r="K12" s="49">
        <v>0</v>
      </c>
      <c r="L12" s="4">
        <v>0</v>
      </c>
      <c r="M12" s="49">
        <v>0</v>
      </c>
      <c r="N12" s="4">
        <v>0</v>
      </c>
      <c r="O12" s="49">
        <v>1</v>
      </c>
      <c r="P12" s="4">
        <v>0</v>
      </c>
      <c r="Q12" s="49">
        <v>0</v>
      </c>
      <c r="R12" s="4">
        <v>1</v>
      </c>
      <c r="S12" s="49">
        <v>0</v>
      </c>
      <c r="T12" s="4">
        <v>0</v>
      </c>
      <c r="U12" s="49">
        <v>1</v>
      </c>
      <c r="V12" s="4">
        <v>0</v>
      </c>
      <c r="W12" s="49">
        <v>0</v>
      </c>
      <c r="X12" s="4">
        <v>0</v>
      </c>
      <c r="Y12" s="49">
        <v>0</v>
      </c>
      <c r="Z12" s="4">
        <v>0</v>
      </c>
      <c r="AA12" s="49">
        <v>0</v>
      </c>
    </row>
    <row r="13" spans="1:27" ht="15" x14ac:dyDescent="0.25">
      <c r="A13" s="5">
        <v>0.33333333333333331</v>
      </c>
      <c r="B13" s="4">
        <v>1</v>
      </c>
      <c r="C13" s="49">
        <v>0</v>
      </c>
      <c r="D13" s="4">
        <v>0</v>
      </c>
      <c r="E13" s="49">
        <v>0</v>
      </c>
      <c r="F13" s="4">
        <v>0</v>
      </c>
      <c r="G13" s="49">
        <v>2</v>
      </c>
      <c r="H13" s="4">
        <v>0</v>
      </c>
      <c r="I13" s="49">
        <v>1</v>
      </c>
      <c r="J13" s="4">
        <v>0</v>
      </c>
      <c r="K13" s="49">
        <v>0</v>
      </c>
      <c r="L13" s="4">
        <v>0</v>
      </c>
      <c r="M13" s="49">
        <v>1</v>
      </c>
      <c r="N13" s="4">
        <v>0</v>
      </c>
      <c r="O13" s="49">
        <v>1</v>
      </c>
      <c r="P13" s="4">
        <v>0</v>
      </c>
      <c r="Q13" s="49">
        <v>1</v>
      </c>
      <c r="R13" s="4">
        <v>0</v>
      </c>
      <c r="S13" s="49">
        <v>1</v>
      </c>
      <c r="T13" s="4">
        <v>1</v>
      </c>
      <c r="U13" s="49">
        <v>1</v>
      </c>
      <c r="V13" s="4">
        <v>0</v>
      </c>
      <c r="W13" s="49">
        <v>1</v>
      </c>
      <c r="X13" s="4">
        <v>1</v>
      </c>
      <c r="Y13" s="49">
        <v>0</v>
      </c>
      <c r="Z13" s="4">
        <v>0</v>
      </c>
      <c r="AA13" s="49">
        <v>0</v>
      </c>
    </row>
    <row r="14" spans="1:27" ht="15" x14ac:dyDescent="0.25">
      <c r="A14" s="5">
        <v>0.25</v>
      </c>
      <c r="B14" s="4">
        <v>0</v>
      </c>
      <c r="C14" s="49">
        <v>2</v>
      </c>
      <c r="D14" s="4">
        <v>0</v>
      </c>
      <c r="E14" s="49">
        <v>3</v>
      </c>
      <c r="F14" s="4">
        <v>0</v>
      </c>
      <c r="G14" s="49">
        <v>1</v>
      </c>
      <c r="H14" s="4">
        <v>1</v>
      </c>
      <c r="I14" s="49">
        <v>0</v>
      </c>
      <c r="J14" s="4">
        <v>2</v>
      </c>
      <c r="K14" s="49">
        <v>1</v>
      </c>
      <c r="L14" s="4">
        <v>1</v>
      </c>
      <c r="M14" s="49">
        <v>1</v>
      </c>
      <c r="N14" s="4">
        <v>0</v>
      </c>
      <c r="O14" s="49">
        <v>0</v>
      </c>
      <c r="P14" s="4">
        <v>0</v>
      </c>
      <c r="Q14" s="49">
        <v>1</v>
      </c>
      <c r="R14" s="4">
        <v>0</v>
      </c>
      <c r="S14" s="49">
        <v>0</v>
      </c>
      <c r="T14" s="4">
        <v>2</v>
      </c>
      <c r="U14" s="49">
        <v>1</v>
      </c>
      <c r="V14" s="4">
        <v>0</v>
      </c>
      <c r="W14" s="49">
        <v>3</v>
      </c>
      <c r="X14" s="4">
        <v>2</v>
      </c>
      <c r="Y14" s="49">
        <v>1</v>
      </c>
      <c r="Z14" s="4">
        <v>1</v>
      </c>
      <c r="AA14" s="49">
        <v>0</v>
      </c>
    </row>
    <row r="15" spans="1:27" ht="15" x14ac:dyDescent="0.25">
      <c r="A15" s="5">
        <v>0.2</v>
      </c>
      <c r="B15" s="4">
        <v>0</v>
      </c>
      <c r="C15" s="49">
        <v>2</v>
      </c>
      <c r="D15" s="4">
        <v>0</v>
      </c>
      <c r="E15" s="49">
        <v>5</v>
      </c>
      <c r="F15" s="4">
        <v>1</v>
      </c>
      <c r="G15" s="49">
        <v>4</v>
      </c>
      <c r="H15" s="4">
        <v>2</v>
      </c>
      <c r="I15" s="49">
        <v>0</v>
      </c>
      <c r="J15" s="4">
        <v>1</v>
      </c>
      <c r="K15" s="49">
        <v>2</v>
      </c>
      <c r="L15" s="4">
        <v>2</v>
      </c>
      <c r="M15" s="49">
        <v>3</v>
      </c>
      <c r="N15" s="4">
        <v>3</v>
      </c>
      <c r="O15" s="49">
        <v>3</v>
      </c>
      <c r="P15" s="4">
        <v>0</v>
      </c>
      <c r="Q15" s="49">
        <v>4</v>
      </c>
      <c r="R15" s="4">
        <v>0</v>
      </c>
      <c r="S15" s="49">
        <v>2</v>
      </c>
      <c r="T15" s="4">
        <v>2</v>
      </c>
      <c r="U15" s="49">
        <v>0</v>
      </c>
      <c r="V15" s="4">
        <v>1</v>
      </c>
      <c r="W15" s="49">
        <v>4</v>
      </c>
      <c r="X15" s="4">
        <v>4</v>
      </c>
      <c r="Y15" s="49">
        <v>2</v>
      </c>
      <c r="Z15" s="4">
        <v>4</v>
      </c>
      <c r="AA15" s="49">
        <v>1</v>
      </c>
    </row>
    <row r="16" spans="1:27" ht="15" x14ac:dyDescent="0.25">
      <c r="A16" s="5">
        <v>0.16666666666666666</v>
      </c>
      <c r="B16" s="4">
        <v>0</v>
      </c>
      <c r="C16" s="49">
        <v>2</v>
      </c>
      <c r="D16" s="4">
        <v>0</v>
      </c>
      <c r="E16" s="49">
        <v>1</v>
      </c>
      <c r="F16" s="4">
        <v>0</v>
      </c>
      <c r="G16" s="49">
        <v>1</v>
      </c>
      <c r="H16" s="4">
        <v>3</v>
      </c>
      <c r="I16" s="49">
        <v>2</v>
      </c>
      <c r="J16" s="4">
        <v>2</v>
      </c>
      <c r="K16" s="49">
        <v>2</v>
      </c>
      <c r="L16" s="4">
        <v>0</v>
      </c>
      <c r="M16" s="49">
        <v>2</v>
      </c>
      <c r="N16" s="4">
        <v>1</v>
      </c>
      <c r="O16" s="49">
        <v>10</v>
      </c>
      <c r="P16" s="4">
        <v>1</v>
      </c>
      <c r="Q16" s="49">
        <v>6</v>
      </c>
      <c r="R16" s="4">
        <v>1</v>
      </c>
      <c r="S16" s="49">
        <v>6</v>
      </c>
      <c r="T16" s="4">
        <v>5</v>
      </c>
      <c r="U16" s="49">
        <v>2</v>
      </c>
      <c r="V16" s="4">
        <v>3</v>
      </c>
      <c r="W16" s="49">
        <v>5</v>
      </c>
      <c r="X16" s="4">
        <v>3</v>
      </c>
      <c r="Y16" s="49">
        <v>6</v>
      </c>
      <c r="Z16" s="4">
        <v>11</v>
      </c>
      <c r="AA16" s="49">
        <v>9</v>
      </c>
    </row>
    <row r="17" spans="1:32" ht="15" x14ac:dyDescent="0.25">
      <c r="A17" s="5">
        <v>0.14285714285714285</v>
      </c>
      <c r="B17" s="4">
        <v>0</v>
      </c>
      <c r="C17" s="49">
        <v>10</v>
      </c>
      <c r="D17" s="4">
        <v>1</v>
      </c>
      <c r="E17" s="49">
        <v>8</v>
      </c>
      <c r="F17" s="4">
        <v>0</v>
      </c>
      <c r="G17" s="49">
        <v>8</v>
      </c>
      <c r="H17" s="4">
        <v>4</v>
      </c>
      <c r="I17" s="49">
        <v>3</v>
      </c>
      <c r="J17" s="4">
        <v>4</v>
      </c>
      <c r="K17" s="49">
        <v>7</v>
      </c>
      <c r="L17" s="4">
        <v>3</v>
      </c>
      <c r="M17" s="49">
        <v>5</v>
      </c>
      <c r="N17" s="4">
        <v>6</v>
      </c>
      <c r="O17" s="49">
        <v>7</v>
      </c>
      <c r="P17" s="4">
        <v>2</v>
      </c>
      <c r="Q17" s="49">
        <v>11</v>
      </c>
      <c r="R17" s="4">
        <v>7</v>
      </c>
      <c r="S17" s="49">
        <v>8</v>
      </c>
      <c r="T17" s="4">
        <v>9</v>
      </c>
      <c r="U17" s="49">
        <v>3</v>
      </c>
      <c r="V17" s="4">
        <v>1</v>
      </c>
      <c r="W17" s="49">
        <v>12</v>
      </c>
      <c r="X17" s="4">
        <v>4</v>
      </c>
      <c r="Y17" s="49">
        <v>7</v>
      </c>
      <c r="Z17" s="4">
        <v>13</v>
      </c>
      <c r="AA17" s="49">
        <v>2</v>
      </c>
    </row>
    <row r="18" spans="1:32" ht="15" x14ac:dyDescent="0.25">
      <c r="A18" s="5">
        <v>0.125</v>
      </c>
      <c r="B18" s="4">
        <v>0</v>
      </c>
      <c r="C18" s="49">
        <v>4</v>
      </c>
      <c r="D18" s="4">
        <v>0</v>
      </c>
      <c r="E18" s="49">
        <v>2</v>
      </c>
      <c r="F18" s="4">
        <v>0</v>
      </c>
      <c r="G18" s="49">
        <v>9</v>
      </c>
      <c r="H18" s="4">
        <v>1</v>
      </c>
      <c r="I18" s="49">
        <v>1</v>
      </c>
      <c r="J18" s="4">
        <v>1</v>
      </c>
      <c r="K18" s="49">
        <v>4</v>
      </c>
      <c r="L18" s="4">
        <v>0</v>
      </c>
      <c r="M18" s="49">
        <v>8</v>
      </c>
      <c r="N18" s="4">
        <v>2</v>
      </c>
      <c r="O18" s="49">
        <v>5</v>
      </c>
      <c r="P18" s="4">
        <v>4</v>
      </c>
      <c r="Q18" s="49">
        <v>3</v>
      </c>
      <c r="R18" s="4">
        <v>3</v>
      </c>
      <c r="S18" s="49">
        <v>7</v>
      </c>
      <c r="T18" s="4">
        <v>5</v>
      </c>
      <c r="U18" s="49">
        <v>3</v>
      </c>
      <c r="V18" s="4">
        <v>1</v>
      </c>
      <c r="W18" s="49">
        <v>10</v>
      </c>
      <c r="X18" s="4">
        <v>2</v>
      </c>
      <c r="Y18" s="49">
        <v>3</v>
      </c>
      <c r="Z18" s="4">
        <v>9</v>
      </c>
      <c r="AA18" s="49">
        <v>0</v>
      </c>
    </row>
    <row r="19" spans="1:32" ht="15.75" thickBot="1" x14ac:dyDescent="0.3">
      <c r="A19" s="6">
        <v>0.1111111111111111</v>
      </c>
      <c r="B19" s="7">
        <v>0</v>
      </c>
      <c r="C19" s="50">
        <v>1</v>
      </c>
      <c r="D19" s="7">
        <v>1</v>
      </c>
      <c r="E19" s="50">
        <v>0</v>
      </c>
      <c r="F19" s="7">
        <v>0</v>
      </c>
      <c r="G19" s="50">
        <v>1</v>
      </c>
      <c r="H19" s="7">
        <v>0</v>
      </c>
      <c r="I19" s="50">
        <v>0</v>
      </c>
      <c r="J19" s="7">
        <v>0</v>
      </c>
      <c r="K19" s="50">
        <v>0</v>
      </c>
      <c r="L19" s="7">
        <v>0</v>
      </c>
      <c r="M19" s="50">
        <v>1</v>
      </c>
      <c r="N19" s="7">
        <v>1</v>
      </c>
      <c r="O19" s="50">
        <v>6</v>
      </c>
      <c r="P19" s="7">
        <v>0</v>
      </c>
      <c r="Q19" s="50">
        <v>4</v>
      </c>
      <c r="R19" s="7">
        <v>2</v>
      </c>
      <c r="S19" s="50">
        <v>4</v>
      </c>
      <c r="T19" s="7">
        <v>6</v>
      </c>
      <c r="U19" s="50">
        <v>6</v>
      </c>
      <c r="V19" s="7">
        <v>0</v>
      </c>
      <c r="W19" s="50">
        <v>7</v>
      </c>
      <c r="X19" s="7">
        <v>5</v>
      </c>
      <c r="Y19" s="50">
        <v>1</v>
      </c>
      <c r="Z19" s="7">
        <v>7</v>
      </c>
      <c r="AA19" s="50">
        <v>1</v>
      </c>
    </row>
    <row r="20" spans="1:32" x14ac:dyDescent="0.35">
      <c r="A20" s="8" t="s">
        <v>58</v>
      </c>
      <c r="B20" s="9">
        <f>SUM(B3:B19)</f>
        <v>39</v>
      </c>
      <c r="C20" s="51">
        <f t="shared" ref="C20:AA20" si="0">SUM(C3:C19)</f>
        <v>39</v>
      </c>
      <c r="D20" s="9">
        <f t="shared" si="0"/>
        <v>39</v>
      </c>
      <c r="E20" s="51">
        <f t="shared" si="0"/>
        <v>39</v>
      </c>
      <c r="F20" s="9">
        <f t="shared" si="0"/>
        <v>39</v>
      </c>
      <c r="G20" s="51">
        <f t="shared" si="0"/>
        <v>39</v>
      </c>
      <c r="H20" s="9">
        <f t="shared" si="0"/>
        <v>39</v>
      </c>
      <c r="I20" s="51">
        <f t="shared" si="0"/>
        <v>39</v>
      </c>
      <c r="J20" s="9">
        <f t="shared" si="0"/>
        <v>39</v>
      </c>
      <c r="K20" s="51">
        <f t="shared" si="0"/>
        <v>39</v>
      </c>
      <c r="L20" s="9">
        <f t="shared" si="0"/>
        <v>39</v>
      </c>
      <c r="M20" s="51">
        <f t="shared" si="0"/>
        <v>39</v>
      </c>
      <c r="N20" s="9">
        <f t="shared" si="0"/>
        <v>109</v>
      </c>
      <c r="O20" s="51">
        <f t="shared" si="0"/>
        <v>109</v>
      </c>
      <c r="P20" s="9">
        <f t="shared" si="0"/>
        <v>109</v>
      </c>
      <c r="Q20" s="51">
        <f t="shared" si="0"/>
        <v>109</v>
      </c>
      <c r="R20" s="9">
        <f t="shared" si="0"/>
        <v>109</v>
      </c>
      <c r="S20" s="51">
        <f t="shared" si="0"/>
        <v>109</v>
      </c>
      <c r="T20" s="9">
        <f t="shared" si="0"/>
        <v>109</v>
      </c>
      <c r="U20" s="51">
        <f t="shared" si="0"/>
        <v>109</v>
      </c>
      <c r="V20" s="9">
        <f t="shared" si="0"/>
        <v>110</v>
      </c>
      <c r="W20" s="51">
        <f t="shared" si="0"/>
        <v>110</v>
      </c>
      <c r="X20" s="9">
        <f t="shared" si="0"/>
        <v>110</v>
      </c>
      <c r="Y20" s="51">
        <f t="shared" si="0"/>
        <v>110</v>
      </c>
      <c r="Z20" s="9">
        <f t="shared" si="0"/>
        <v>110</v>
      </c>
      <c r="AA20" s="51">
        <f t="shared" si="0"/>
        <v>110</v>
      </c>
      <c r="AB20" s="179" t="s">
        <v>347</v>
      </c>
      <c r="AC20" s="180"/>
    </row>
    <row r="21" spans="1:32" x14ac:dyDescent="0.35">
      <c r="A21" s="10" t="s">
        <v>417</v>
      </c>
      <c r="B21" s="20">
        <v>2.6802479764182268</v>
      </c>
      <c r="C21" s="52">
        <v>0.37309980598748871</v>
      </c>
      <c r="D21" s="20">
        <v>2.1350362648500782</v>
      </c>
      <c r="E21" s="52">
        <v>0.46837611916171329</v>
      </c>
      <c r="F21" s="20">
        <v>3.3101775908227413</v>
      </c>
      <c r="G21" s="52">
        <v>0.30209859518487359</v>
      </c>
      <c r="H21" s="20">
        <v>0.83048166812052759</v>
      </c>
      <c r="I21" s="52">
        <v>1.2041204982442433</v>
      </c>
      <c r="J21" s="20">
        <v>1.3707582683446813</v>
      </c>
      <c r="K21" s="52">
        <v>0.72952323038517464</v>
      </c>
      <c r="L21" s="20">
        <v>2.1043439430022355</v>
      </c>
      <c r="M21" s="52">
        <v>0.47520748845519756</v>
      </c>
      <c r="N21" s="20">
        <v>1.4053079265909509</v>
      </c>
      <c r="O21" s="52">
        <v>0.71158781721657083</v>
      </c>
      <c r="P21" s="20">
        <v>1.4714910129082348</v>
      </c>
      <c r="Q21" s="52">
        <v>0.67958281173842405</v>
      </c>
      <c r="R21" s="20">
        <v>1.2839225073475593</v>
      </c>
      <c r="S21" s="52">
        <v>0.77886320574431567</v>
      </c>
      <c r="T21" s="20">
        <v>0.79415723297338103</v>
      </c>
      <c r="U21" s="52">
        <v>1.2591964896622914</v>
      </c>
      <c r="V21" s="20">
        <v>1.8753909453092468</v>
      </c>
      <c r="W21" s="52">
        <v>0.53322215429332931</v>
      </c>
      <c r="X21" s="20">
        <v>0.98914812572809885</v>
      </c>
      <c r="Y21" s="52">
        <v>1.0109709294185976</v>
      </c>
      <c r="Z21" s="20">
        <v>0.56346523819186645</v>
      </c>
      <c r="AA21" s="52">
        <v>1.7747323742791179</v>
      </c>
    </row>
    <row r="22" spans="1:32" x14ac:dyDescent="0.35">
      <c r="A22" s="59" t="s">
        <v>419</v>
      </c>
      <c r="B22" s="64">
        <v>0.84364540832473212</v>
      </c>
      <c r="C22" s="52">
        <v>0.84364540832473212</v>
      </c>
      <c r="D22" s="20">
        <v>0.64432218623592719</v>
      </c>
      <c r="E22" s="52">
        <v>0.64432218623592719</v>
      </c>
      <c r="F22" s="20">
        <v>0.99571248442139804</v>
      </c>
      <c r="G22" s="52">
        <v>0.99571248442139804</v>
      </c>
      <c r="H22" s="20">
        <v>1.2857490750760023E-2</v>
      </c>
      <c r="I22" s="52">
        <v>1.2857490750760023E-2</v>
      </c>
      <c r="J22" s="20">
        <v>0.27709201993083443</v>
      </c>
      <c r="K22" s="52">
        <v>0.27709201993083443</v>
      </c>
      <c r="L22" s="20">
        <v>0.84364540832473212</v>
      </c>
      <c r="M22" s="52">
        <v>0.84364540832473212</v>
      </c>
      <c r="N22" s="20">
        <v>2.6482412979345277E-4</v>
      </c>
      <c r="O22" s="52">
        <v>2.6482412979345277E-4</v>
      </c>
      <c r="P22" s="20">
        <v>2.3543634067221432E-5</v>
      </c>
      <c r="Q22" s="52">
        <v>2.3543634067221432E-5</v>
      </c>
      <c r="R22" s="20">
        <v>3.7733006816612102E-6</v>
      </c>
      <c r="S22" s="52">
        <v>3.7733006816612102E-6</v>
      </c>
      <c r="T22" s="20">
        <v>2.3543634067221432E-5</v>
      </c>
      <c r="U22" s="52">
        <v>2.3543634067221432E-5</v>
      </c>
      <c r="V22" s="20">
        <v>3.7804528091101526E-2</v>
      </c>
      <c r="W22" s="52">
        <v>3.7804528091101526E-2</v>
      </c>
      <c r="X22" s="20">
        <v>8.8553737770701092E-10</v>
      </c>
      <c r="Y22" s="52">
        <v>8.8553737770701092E-10</v>
      </c>
      <c r="Z22" s="20">
        <v>0.11547568514469254</v>
      </c>
      <c r="AA22" s="52">
        <v>0.11547568514469254</v>
      </c>
      <c r="AC22" s="58">
        <f>AVERAGEIF(B22:AA22,"&lt;65534")</f>
        <v>0.2900669920621789</v>
      </c>
      <c r="AE22" s="62" t="s">
        <v>425</v>
      </c>
      <c r="AF22" s="62"/>
    </row>
    <row r="23" spans="1:32" x14ac:dyDescent="0.35">
      <c r="A23" s="59" t="s">
        <v>420</v>
      </c>
      <c r="B23" s="64">
        <v>0.75479752047283089</v>
      </c>
      <c r="C23" s="52">
        <v>0.75479752047283089</v>
      </c>
      <c r="D23" s="20">
        <v>0.52003743521941082</v>
      </c>
      <c r="E23" s="52">
        <v>0.52003743521941082</v>
      </c>
      <c r="F23" s="20">
        <v>0.98929048762798544</v>
      </c>
      <c r="G23" s="52">
        <v>0.98929048762798544</v>
      </c>
      <c r="H23" s="20">
        <v>5.1028671255759495E-3</v>
      </c>
      <c r="I23" s="52">
        <v>5.1028671255759495E-3</v>
      </c>
      <c r="J23" s="20">
        <v>0.18026855287168464</v>
      </c>
      <c r="K23" s="52">
        <v>0.18026855287168464</v>
      </c>
      <c r="L23" s="20">
        <v>0.75479752047283089</v>
      </c>
      <c r="M23" s="52">
        <v>0.75479752047283089</v>
      </c>
      <c r="N23" s="20">
        <v>1.2328327492794333E-4</v>
      </c>
      <c r="O23" s="52">
        <v>1.2328327492794333E-4</v>
      </c>
      <c r="P23" s="20">
        <v>9.6392237746156795E-6</v>
      </c>
      <c r="Q23" s="52">
        <v>9.6392237746156795E-6</v>
      </c>
      <c r="R23" s="20">
        <v>1.410637214371846E-6</v>
      </c>
      <c r="S23" s="52">
        <v>1.410637214371846E-6</v>
      </c>
      <c r="T23" s="20">
        <v>9.6392237746156795E-6</v>
      </c>
      <c r="U23" s="52">
        <v>9.6392237746156795E-6</v>
      </c>
      <c r="V23" s="20">
        <v>2.4387069347067691E-2</v>
      </c>
      <c r="W23" s="52">
        <v>2.4387069347067691E-2</v>
      </c>
      <c r="X23" s="20">
        <v>2.2792223663969935E-10</v>
      </c>
      <c r="Y23" s="52">
        <v>2.2792223663969935E-10</v>
      </c>
      <c r="Z23" s="20">
        <v>8.2193892816491365E-2</v>
      </c>
      <c r="AA23" s="52">
        <v>8.2193892816491365E-2</v>
      </c>
      <c r="AC23" s="58">
        <f>AVERAGEIF(B23:AA23,"&lt;65535")</f>
        <v>0.25469379373396089</v>
      </c>
    </row>
    <row r="24" spans="1:32" x14ac:dyDescent="0.35">
      <c r="A24" s="60" t="s">
        <v>421</v>
      </c>
      <c r="B24" s="65">
        <v>0.80211715632722214</v>
      </c>
      <c r="C24" s="52">
        <v>0.80211715632722214</v>
      </c>
      <c r="D24" s="20">
        <v>0.5822231488029348</v>
      </c>
      <c r="E24" s="52">
        <v>0.5822231488029348</v>
      </c>
      <c r="F24" s="20">
        <v>0.99292173728454025</v>
      </c>
      <c r="G24" s="52">
        <v>0.99292173728454025</v>
      </c>
      <c r="H24" s="20">
        <v>9.1643381243269317E-3</v>
      </c>
      <c r="I24" s="52">
        <v>9.1643381243269317E-3</v>
      </c>
      <c r="J24" s="20">
        <v>0.2251690877541056</v>
      </c>
      <c r="K24" s="52">
        <v>0.2251690877541056</v>
      </c>
      <c r="L24" s="20">
        <v>0.80211715632722214</v>
      </c>
      <c r="M24" s="52">
        <v>0.80211715632722214</v>
      </c>
      <c r="N24" s="20">
        <v>2.2355140790336625E-4</v>
      </c>
      <c r="O24" s="52">
        <v>2.2355140790336625E-4</v>
      </c>
      <c r="P24" s="20">
        <v>2.1916391780008038E-5</v>
      </c>
      <c r="Q24" s="52">
        <v>2.1916391780008038E-5</v>
      </c>
      <c r="R24" s="20">
        <v>3.9094433092468073E-6</v>
      </c>
      <c r="S24" s="52">
        <v>3.9094433092468073E-6</v>
      </c>
      <c r="T24" s="20">
        <v>2.1916391780008038E-5</v>
      </c>
      <c r="U24" s="52">
        <v>2.1916391780008038E-5</v>
      </c>
      <c r="V24" s="20">
        <v>3.1070643186556779E-2</v>
      </c>
      <c r="W24" s="52">
        <v>3.1070643186556779E-2</v>
      </c>
      <c r="X24" s="20">
        <v>2.0916750553823249E-9</v>
      </c>
      <c r="Y24" s="52">
        <v>2.0916750553823249E-9</v>
      </c>
      <c r="Z24" s="20">
        <v>9.814110635280765E-2</v>
      </c>
      <c r="AA24" s="52">
        <v>9.814110635280765E-2</v>
      </c>
      <c r="AC24" s="58">
        <f t="shared" ref="AC24:AC27" si="1">AVERAGE(B24:AA24)</f>
        <v>0.27255351306816644</v>
      </c>
    </row>
    <row r="25" spans="1:32" x14ac:dyDescent="0.35">
      <c r="A25" s="60" t="s">
        <v>422</v>
      </c>
      <c r="B25" s="65">
        <v>0.54507498362635753</v>
      </c>
      <c r="C25" s="52">
        <v>0.54507498362635753</v>
      </c>
      <c r="D25" s="20">
        <v>0.29861227420731251</v>
      </c>
      <c r="E25" s="52">
        <v>0.29861227420731251</v>
      </c>
      <c r="F25" s="20">
        <v>0.9570366118796233</v>
      </c>
      <c r="G25" s="52">
        <v>0.9570366118796233</v>
      </c>
      <c r="H25" s="20">
        <v>9.8442764786527137E-4</v>
      </c>
      <c r="I25" s="52">
        <v>9.8442764786527137E-4</v>
      </c>
      <c r="J25" s="20">
        <v>6.800287908549818E-2</v>
      </c>
      <c r="K25" s="52">
        <v>6.800287908549818E-2</v>
      </c>
      <c r="L25" s="20">
        <v>0.54507498362635753</v>
      </c>
      <c r="M25" s="52">
        <v>0.54507498362635753</v>
      </c>
      <c r="N25" s="20">
        <v>1.063338953721793E-6</v>
      </c>
      <c r="O25" s="52">
        <v>1.063338953721793E-6</v>
      </c>
      <c r="P25" s="20">
        <v>5.283568327296706E-8</v>
      </c>
      <c r="Q25" s="52">
        <v>5.283568327296706E-8</v>
      </c>
      <c r="R25" s="20">
        <v>5.9733183399579559E-9</v>
      </c>
      <c r="S25" s="52">
        <v>5.9733183399579559E-9</v>
      </c>
      <c r="T25" s="20">
        <v>5.283568327296706E-8</v>
      </c>
      <c r="U25" s="52">
        <v>5.283568327296706E-8</v>
      </c>
      <c r="V25" s="20">
        <v>9.6330188242971238E-4</v>
      </c>
      <c r="W25" s="52">
        <v>9.6330188242971238E-4</v>
      </c>
      <c r="X25" s="20">
        <v>5.6854521091054266E-13</v>
      </c>
      <c r="Y25" s="52">
        <v>5.6854521091054266E-13</v>
      </c>
      <c r="Z25" s="20">
        <v>5.731643091117955E-3</v>
      </c>
      <c r="AA25" s="52">
        <v>5.731643091117955E-3</v>
      </c>
      <c r="AC25" s="58">
        <f t="shared" si="1"/>
        <v>0.18626786769467463</v>
      </c>
    </row>
    <row r="26" spans="1:32" x14ac:dyDescent="0.35">
      <c r="A26" s="61" t="s">
        <v>423</v>
      </c>
      <c r="B26" s="66">
        <f>(B22-B24)*100/B22</f>
        <v>4.9224770961504616</v>
      </c>
      <c r="C26" s="66">
        <f t="shared" ref="C26:AA27" si="2">(C22-C24)*100/C22</f>
        <v>4.9224770961504616</v>
      </c>
      <c r="D26" s="66">
        <f t="shared" si="2"/>
        <v>9.6378859458137605</v>
      </c>
      <c r="E26" s="66">
        <f t="shared" si="2"/>
        <v>9.6378859458137605</v>
      </c>
      <c r="F26" s="66">
        <f t="shared" si="2"/>
        <v>0.28027640313051511</v>
      </c>
      <c r="G26" s="66">
        <f t="shared" si="2"/>
        <v>0.28027640313051511</v>
      </c>
      <c r="H26" s="66">
        <f t="shared" si="2"/>
        <v>28.723743209496643</v>
      </c>
      <c r="I26" s="66">
        <f t="shared" si="2"/>
        <v>28.723743209496643</v>
      </c>
      <c r="J26" s="66">
        <f t="shared" si="2"/>
        <v>18.738515887137218</v>
      </c>
      <c r="K26" s="66">
        <f t="shared" si="2"/>
        <v>18.738515887137218</v>
      </c>
      <c r="L26" s="66">
        <f t="shared" si="2"/>
        <v>4.9224770961504616</v>
      </c>
      <c r="M26" s="66">
        <f t="shared" si="2"/>
        <v>4.9224770961504616</v>
      </c>
      <c r="N26" s="66">
        <f>(N22-N24)*100/N22</f>
        <v>15.584955163367029</v>
      </c>
      <c r="O26" s="66">
        <f t="shared" si="2"/>
        <v>15.584955163367029</v>
      </c>
      <c r="P26" s="66">
        <f t="shared" si="2"/>
        <v>6.911602017629547</v>
      </c>
      <c r="Q26" s="66">
        <f t="shared" si="2"/>
        <v>6.911602017629547</v>
      </c>
      <c r="R26" s="66">
        <f t="shared" si="2"/>
        <v>-3.6080513871388527</v>
      </c>
      <c r="S26" s="66">
        <f t="shared" si="2"/>
        <v>-3.6080513871388527</v>
      </c>
      <c r="T26" s="66">
        <f t="shared" si="2"/>
        <v>6.911602017629547</v>
      </c>
      <c r="U26" s="66">
        <f t="shared" si="2"/>
        <v>6.911602017629547</v>
      </c>
      <c r="V26" s="66">
        <f t="shared" si="2"/>
        <v>17.812376571180575</v>
      </c>
      <c r="W26" s="66">
        <f t="shared" si="2"/>
        <v>17.812376571180575</v>
      </c>
      <c r="X26" s="66">
        <f t="shared" si="2"/>
        <v>-136.20403926917888</v>
      </c>
      <c r="Y26" s="66">
        <f t="shared" si="2"/>
        <v>-136.20403926917888</v>
      </c>
      <c r="Z26" s="66">
        <f t="shared" si="2"/>
        <v>15.011453510896636</v>
      </c>
      <c r="AA26" s="66">
        <f t="shared" si="2"/>
        <v>15.011453510896636</v>
      </c>
      <c r="AC26" s="58">
        <f t="shared" si="1"/>
        <v>-0.79651736444118026</v>
      </c>
    </row>
    <row r="27" spans="1:32" x14ac:dyDescent="0.35">
      <c r="A27" s="61" t="s">
        <v>424</v>
      </c>
      <c r="B27" s="66">
        <f>(B23-B25)*100/B23</f>
        <v>27.785271037336742</v>
      </c>
      <c r="C27" s="66">
        <f t="shared" si="2"/>
        <v>27.785271037336742</v>
      </c>
      <c r="D27" s="66">
        <f t="shared" si="2"/>
        <v>42.578696458395541</v>
      </c>
      <c r="E27" s="66">
        <f t="shared" si="2"/>
        <v>42.578696458395541</v>
      </c>
      <c r="F27" s="66">
        <f t="shared" si="2"/>
        <v>3.2603038391379888</v>
      </c>
      <c r="G27" s="66">
        <f t="shared" si="2"/>
        <v>3.2603038391379888</v>
      </c>
      <c r="H27" s="66">
        <f t="shared" si="2"/>
        <v>80.708342513344178</v>
      </c>
      <c r="I27" s="66">
        <f t="shared" si="2"/>
        <v>80.708342513344178</v>
      </c>
      <c r="J27" s="66">
        <f t="shared" si="2"/>
        <v>62.276904095467664</v>
      </c>
      <c r="K27" s="66">
        <f t="shared" si="2"/>
        <v>62.276904095467664</v>
      </c>
      <c r="L27" s="66">
        <f t="shared" si="2"/>
        <v>27.785271037336742</v>
      </c>
      <c r="M27" s="66">
        <f t="shared" si="2"/>
        <v>27.785271037336742</v>
      </c>
      <c r="N27" s="66">
        <f t="shared" si="2"/>
        <v>99.13748320334345</v>
      </c>
      <c r="O27" s="66">
        <f t="shared" si="2"/>
        <v>99.13748320334345</v>
      </c>
      <c r="P27" s="66">
        <f t="shared" si="2"/>
        <v>99.451867862927855</v>
      </c>
      <c r="Q27" s="66">
        <f t="shared" si="2"/>
        <v>99.451867862927855</v>
      </c>
      <c r="R27" s="66">
        <f t="shared" si="2"/>
        <v>99.576551768300121</v>
      </c>
      <c r="S27" s="66">
        <f t="shared" si="2"/>
        <v>99.576551768300121</v>
      </c>
      <c r="T27" s="66">
        <f t="shared" si="2"/>
        <v>99.451867862927855</v>
      </c>
      <c r="U27" s="66">
        <f t="shared" si="2"/>
        <v>99.451867862927855</v>
      </c>
      <c r="V27" s="66">
        <f t="shared" si="2"/>
        <v>96.049948156047961</v>
      </c>
      <c r="W27" s="66">
        <f t="shared" si="2"/>
        <v>96.049948156047961</v>
      </c>
      <c r="X27" s="66">
        <f t="shared" si="2"/>
        <v>99.750552987153554</v>
      </c>
      <c r="Y27" s="66">
        <f t="shared" si="2"/>
        <v>99.750552987153554</v>
      </c>
      <c r="Z27" s="66">
        <f t="shared" si="2"/>
        <v>93.026680091774466</v>
      </c>
      <c r="AA27" s="66">
        <f t="shared" si="2"/>
        <v>93.026680091774466</v>
      </c>
      <c r="AC27" s="58">
        <f t="shared" si="1"/>
        <v>71.603056993345703</v>
      </c>
    </row>
    <row r="28" spans="1:32" x14ac:dyDescent="0.35">
      <c r="A28" s="43" t="s">
        <v>415</v>
      </c>
      <c r="B28" s="44"/>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7"/>
      <c r="AC28" s="47"/>
      <c r="AD28" s="47"/>
      <c r="AE28" s="47"/>
      <c r="AF28" s="47"/>
    </row>
    <row r="29" spans="1:32" x14ac:dyDescent="0.35">
      <c r="A29" s="45" t="s">
        <v>361</v>
      </c>
      <c r="B29" s="53">
        <f>VLOOKUP($A$29,'Sociodem statistics'!$B$2:$J$5,9,FALSE)</f>
        <v>1</v>
      </c>
      <c r="C29" s="53">
        <f>VLOOKUP($A$29,'Sociodem statistics'!$B$2:$J$5,9,FALSE)</f>
        <v>1</v>
      </c>
      <c r="D29" s="53">
        <f>VLOOKUP($A$29,'Sociodem statistics'!$B$2:$J$5,9,FALSE)</f>
        <v>1</v>
      </c>
      <c r="E29" s="53">
        <f>VLOOKUP($A$29,'Sociodem statistics'!$B$2:$J$5,9,FALSE)</f>
        <v>1</v>
      </c>
      <c r="F29" s="53">
        <f>VLOOKUP($A$29,'Sociodem statistics'!$B$2:$J$5,9,FALSE)</f>
        <v>1</v>
      </c>
      <c r="G29" s="53">
        <f>VLOOKUP($A$29,'Sociodem statistics'!$B$2:$J$5,9,FALSE)</f>
        <v>1</v>
      </c>
      <c r="H29" s="53">
        <f>VLOOKUP($A$29,'Sociodem statistics'!$B$2:$J$5,9,FALSE)</f>
        <v>1</v>
      </c>
      <c r="I29" s="53">
        <f>VLOOKUP($A$29,'Sociodem statistics'!$B$2:$J$5,9,FALSE)</f>
        <v>1</v>
      </c>
      <c r="J29" s="53">
        <f>VLOOKUP($A$29,'Sociodem statistics'!$B$2:$J$5,9,FALSE)</f>
        <v>1</v>
      </c>
      <c r="K29" s="53">
        <f>VLOOKUP($A$29,'Sociodem statistics'!$B$2:$J$5,9,FALSE)</f>
        <v>1</v>
      </c>
      <c r="L29" s="53">
        <f>VLOOKUP($A$29,'Sociodem statistics'!$B$2:$J$5,9,FALSE)</f>
        <v>1</v>
      </c>
      <c r="M29" s="53">
        <f>VLOOKUP($A$29,'Sociodem statistics'!$B$2:$J$5,9,FALSE)</f>
        <v>1</v>
      </c>
      <c r="N29" s="53">
        <f>VLOOKUP($A$29,'Sociodem statistics'!$B$2:$J$5,9,FALSE)</f>
        <v>1</v>
      </c>
      <c r="O29" s="53">
        <f>VLOOKUP($A$29,'Sociodem statistics'!$B$2:$J$5,9,FALSE)</f>
        <v>1</v>
      </c>
      <c r="P29" s="53">
        <f>VLOOKUP($A$29,'Sociodem statistics'!$B$2:$J$5,9,FALSE)</f>
        <v>1</v>
      </c>
      <c r="Q29" s="53">
        <f>VLOOKUP($A$29,'Sociodem statistics'!$B$2:$J$5,9,FALSE)</f>
        <v>1</v>
      </c>
      <c r="R29" s="53">
        <f>VLOOKUP($A$29,'Sociodem statistics'!$B$2:$J$5,9,FALSE)</f>
        <v>1</v>
      </c>
      <c r="S29" s="53">
        <f>VLOOKUP($A$29,'Sociodem statistics'!$B$2:$J$5,9,FALSE)</f>
        <v>1</v>
      </c>
      <c r="T29" s="53">
        <f>VLOOKUP($A$29,'Sociodem statistics'!$B$2:$J$5,9,FALSE)</f>
        <v>1</v>
      </c>
      <c r="U29" s="53">
        <f>VLOOKUP($A$29,'Sociodem statistics'!$B$2:$J$5,9,FALSE)</f>
        <v>1</v>
      </c>
      <c r="V29" s="53">
        <f>VLOOKUP($A$29,'Sociodem statistics'!$B$2:$J$5,9,FALSE)</f>
        <v>1</v>
      </c>
      <c r="W29" s="53">
        <f>VLOOKUP($A$29,'Sociodem statistics'!$B$2:$J$5,9,FALSE)</f>
        <v>1</v>
      </c>
      <c r="X29" s="53">
        <f>VLOOKUP($A$29,'Sociodem statistics'!$B$2:$J$5,9,FALSE)</f>
        <v>1</v>
      </c>
      <c r="Y29" s="53">
        <f>VLOOKUP($A$29,'Sociodem statistics'!$B$2:$J$5,9,FALSE)</f>
        <v>1</v>
      </c>
      <c r="Z29" s="53">
        <f>VLOOKUP($A$29,'Sociodem statistics'!$B$2:$J$5,9,FALSE)</f>
        <v>1</v>
      </c>
      <c r="AA29" s="53">
        <f>VLOOKUP($A$29,'Sociodem statistics'!$B$2:$J$5,9,FALSE)</f>
        <v>1</v>
      </c>
      <c r="AB29" s="47"/>
      <c r="AC29" s="47"/>
      <c r="AD29" s="47"/>
      <c r="AE29" s="47"/>
      <c r="AF29" s="47"/>
    </row>
    <row r="30" spans="1:32" x14ac:dyDescent="0.35">
      <c r="A30" s="45" t="s">
        <v>364</v>
      </c>
      <c r="B30" s="53">
        <f>VLOOKUP($A$30,'Sociodem statistics'!$B$6:$J$8,9,FALSE)</f>
        <v>0.51</v>
      </c>
      <c r="C30" s="53">
        <f>VLOOKUP($A$30,'Sociodem statistics'!$B$6:$J$8,9,FALSE)</f>
        <v>0.51</v>
      </c>
      <c r="D30" s="53">
        <f>VLOOKUP($A$30,'Sociodem statistics'!$B$6:$J$8,9,FALSE)</f>
        <v>0.51</v>
      </c>
      <c r="E30" s="53">
        <f>VLOOKUP($A$30,'Sociodem statistics'!$B$6:$J$8,9,FALSE)</f>
        <v>0.51</v>
      </c>
      <c r="F30" s="53">
        <f>VLOOKUP($A$30,'Sociodem statistics'!$B$6:$J$8,9,FALSE)</f>
        <v>0.51</v>
      </c>
      <c r="G30" s="53">
        <f>VLOOKUP($A$30,'Sociodem statistics'!$B$6:$J$8,9,FALSE)</f>
        <v>0.51</v>
      </c>
      <c r="H30" s="53">
        <f>VLOOKUP($A$30,'Sociodem statistics'!$B$6:$J$8,9,FALSE)</f>
        <v>0.51</v>
      </c>
      <c r="I30" s="53">
        <f>VLOOKUP($A$30,'Sociodem statistics'!$B$6:$J$8,9,FALSE)</f>
        <v>0.51</v>
      </c>
      <c r="J30" s="53">
        <f>VLOOKUP($A$30,'Sociodem statistics'!$B$6:$J$8,9,FALSE)</f>
        <v>0.51</v>
      </c>
      <c r="K30" s="53">
        <f>VLOOKUP($A$30,'Sociodem statistics'!$B$6:$J$8,9,FALSE)</f>
        <v>0.51</v>
      </c>
      <c r="L30" s="53">
        <f>VLOOKUP($A$30,'Sociodem statistics'!$B$6:$J$8,9,FALSE)</f>
        <v>0.51</v>
      </c>
      <c r="M30" s="53">
        <f>VLOOKUP($A$30,'Sociodem statistics'!$B$6:$J$8,9,FALSE)</f>
        <v>0.51</v>
      </c>
      <c r="N30" s="53">
        <f>VLOOKUP($A$30,'Sociodem statistics'!$B$6:$J$8,9,FALSE)</f>
        <v>0.51</v>
      </c>
      <c r="O30" s="53">
        <f>VLOOKUP($A$30,'Sociodem statistics'!$B$6:$J$8,9,FALSE)</f>
        <v>0.51</v>
      </c>
      <c r="P30" s="53">
        <f>VLOOKUP($A$30,'Sociodem statistics'!$B$6:$J$8,9,FALSE)</f>
        <v>0.51</v>
      </c>
      <c r="Q30" s="53">
        <f>VLOOKUP($A$30,'Sociodem statistics'!$B$6:$J$8,9,FALSE)</f>
        <v>0.51</v>
      </c>
      <c r="R30" s="53">
        <f>VLOOKUP($A$30,'Sociodem statistics'!$B$6:$J$8,9,FALSE)</f>
        <v>0.51</v>
      </c>
      <c r="S30" s="53">
        <f>VLOOKUP($A$30,'Sociodem statistics'!$B$6:$J$8,9,FALSE)</f>
        <v>0.51</v>
      </c>
      <c r="T30" s="53">
        <f>VLOOKUP($A$30,'Sociodem statistics'!$B$6:$J$8,9,FALSE)</f>
        <v>0.51</v>
      </c>
      <c r="U30" s="53">
        <f>VLOOKUP($A$30,'Sociodem statistics'!$B$6:$J$8,9,FALSE)</f>
        <v>0.51</v>
      </c>
      <c r="V30" s="53">
        <f>VLOOKUP($A$30,'Sociodem statistics'!$B$6:$J$8,9,FALSE)</f>
        <v>0.51</v>
      </c>
      <c r="W30" s="53">
        <f>VLOOKUP($A$30,'Sociodem statistics'!$B$6:$J$8,9,FALSE)</f>
        <v>0.51</v>
      </c>
      <c r="X30" s="53">
        <f>VLOOKUP($A$30,'Sociodem statistics'!$B$6:$J$8,9,FALSE)</f>
        <v>0.51</v>
      </c>
      <c r="Y30" s="53">
        <f>VLOOKUP($A$30,'Sociodem statistics'!$B$6:$J$8,9,FALSE)</f>
        <v>0.51</v>
      </c>
      <c r="Z30" s="53">
        <f>VLOOKUP($A$30,'Sociodem statistics'!$B$6:$J$8,9,FALSE)</f>
        <v>0.51</v>
      </c>
      <c r="AA30" s="53">
        <f>VLOOKUP($A$30,'Sociodem statistics'!$B$6:$J$8,9,FALSE)</f>
        <v>0.51</v>
      </c>
      <c r="AB30" s="47"/>
      <c r="AC30" s="47"/>
      <c r="AD30" s="47"/>
      <c r="AE30" s="47"/>
      <c r="AF30" s="47"/>
    </row>
    <row r="31" spans="1:32" x14ac:dyDescent="0.35">
      <c r="A31" s="45" t="s">
        <v>370</v>
      </c>
      <c r="B31" s="53">
        <f>VLOOKUP($A$31,'Sociodem statistics'!$B$9:$J$12,9,FALSE)</f>
        <v>1</v>
      </c>
      <c r="C31" s="53">
        <f>VLOOKUP($A$31,'Sociodem statistics'!$B$9:$J$12,9,FALSE)</f>
        <v>1</v>
      </c>
      <c r="D31" s="53">
        <f>VLOOKUP($A$31,'Sociodem statistics'!$B$9:$J$12,9,FALSE)</f>
        <v>1</v>
      </c>
      <c r="E31" s="53">
        <f>VLOOKUP($A$31,'Sociodem statistics'!$B$9:$J$12,9,FALSE)</f>
        <v>1</v>
      </c>
      <c r="F31" s="53">
        <f>VLOOKUP($A$31,'Sociodem statistics'!$B$9:$J$12,9,FALSE)</f>
        <v>1</v>
      </c>
      <c r="G31" s="53">
        <f>VLOOKUP($A$31,'Sociodem statistics'!$B$9:$J$12,9,FALSE)</f>
        <v>1</v>
      </c>
      <c r="H31" s="53">
        <f>VLOOKUP($A$31,'Sociodem statistics'!$B$9:$J$12,9,FALSE)</f>
        <v>1</v>
      </c>
      <c r="I31" s="53">
        <f>VLOOKUP($A$31,'Sociodem statistics'!$B$9:$J$12,9,FALSE)</f>
        <v>1</v>
      </c>
      <c r="J31" s="53">
        <f>VLOOKUP($A$31,'Sociodem statistics'!$B$9:$J$12,9,FALSE)</f>
        <v>1</v>
      </c>
      <c r="K31" s="53">
        <f>VLOOKUP($A$31,'Sociodem statistics'!$B$9:$J$12,9,FALSE)</f>
        <v>1</v>
      </c>
      <c r="L31" s="53">
        <f>VLOOKUP($A$31,'Sociodem statistics'!$B$9:$J$12,9,FALSE)</f>
        <v>1</v>
      </c>
      <c r="M31" s="53">
        <f>VLOOKUP($A$31,'Sociodem statistics'!$B$9:$J$12,9,FALSE)</f>
        <v>1</v>
      </c>
      <c r="N31" s="53">
        <f>VLOOKUP($A$31,'Sociodem statistics'!$B$9:$J$12,9,FALSE)</f>
        <v>1</v>
      </c>
      <c r="O31" s="53">
        <f>VLOOKUP($A$31,'Sociodem statistics'!$B$9:$J$12,9,FALSE)</f>
        <v>1</v>
      </c>
      <c r="P31" s="53">
        <f>VLOOKUP($A$31,'Sociodem statistics'!$B$9:$J$12,9,FALSE)</f>
        <v>1</v>
      </c>
      <c r="Q31" s="53">
        <f>VLOOKUP($A$31,'Sociodem statistics'!$B$9:$J$12,9,FALSE)</f>
        <v>1</v>
      </c>
      <c r="R31" s="53">
        <f>VLOOKUP($A$31,'Sociodem statistics'!$B$9:$J$12,9,FALSE)</f>
        <v>1</v>
      </c>
      <c r="S31" s="53">
        <f>VLOOKUP($A$31,'Sociodem statistics'!$B$9:$J$12,9,FALSE)</f>
        <v>1</v>
      </c>
      <c r="T31" s="53">
        <f>VLOOKUP($A$31,'Sociodem statistics'!$B$9:$J$12,9,FALSE)</f>
        <v>1</v>
      </c>
      <c r="U31" s="53">
        <f>VLOOKUP($A$31,'Sociodem statistics'!$B$9:$J$12,9,FALSE)</f>
        <v>1</v>
      </c>
      <c r="V31" s="53">
        <f>VLOOKUP($A$31,'Sociodem statistics'!$B$9:$J$12,9,FALSE)</f>
        <v>1</v>
      </c>
      <c r="W31" s="53">
        <f>VLOOKUP($A$31,'Sociodem statistics'!$B$9:$J$12,9,FALSE)</f>
        <v>1</v>
      </c>
      <c r="X31" s="53">
        <f>VLOOKUP($A$31,'Sociodem statistics'!$B$9:$J$12,9,FALSE)</f>
        <v>1</v>
      </c>
      <c r="Y31" s="53">
        <f>VLOOKUP($A$31,'Sociodem statistics'!$B$9:$J$12,9,FALSE)</f>
        <v>1</v>
      </c>
      <c r="Z31" s="53">
        <f>VLOOKUP($A$31,'Sociodem statistics'!$B$9:$J$12,9,FALSE)</f>
        <v>1</v>
      </c>
      <c r="AA31" s="53">
        <f>VLOOKUP($A$31,'Sociodem statistics'!$B$9:$J$12,9,FALSE)</f>
        <v>1</v>
      </c>
      <c r="AB31" s="47"/>
      <c r="AC31" s="47"/>
      <c r="AD31" s="47"/>
      <c r="AE31" s="47"/>
      <c r="AF31" s="47"/>
    </row>
    <row r="32" spans="1:32" x14ac:dyDescent="0.35">
      <c r="A32" s="45" t="s">
        <v>375</v>
      </c>
      <c r="B32" s="53">
        <f>VLOOKUP($A$32,'Sociodem statistics'!$B$13:$J$15,9,FALSE)</f>
        <v>1</v>
      </c>
      <c r="C32" s="53">
        <f>VLOOKUP($A$32,'Sociodem statistics'!$B$13:$J$15,9,FALSE)</f>
        <v>1</v>
      </c>
      <c r="D32" s="53">
        <f>VLOOKUP($A$32,'Sociodem statistics'!$B$13:$J$15,9,FALSE)</f>
        <v>1</v>
      </c>
      <c r="E32" s="53">
        <f>VLOOKUP($A$32,'Sociodem statistics'!$B$13:$J$15,9,FALSE)</f>
        <v>1</v>
      </c>
      <c r="F32" s="53">
        <f>VLOOKUP($A$32,'Sociodem statistics'!$B$13:$J$15,9,FALSE)</f>
        <v>1</v>
      </c>
      <c r="G32" s="53">
        <f>VLOOKUP($A$32,'Sociodem statistics'!$B$13:$J$15,9,FALSE)</f>
        <v>1</v>
      </c>
      <c r="H32" s="53">
        <f>VLOOKUP($A$32,'Sociodem statistics'!$B$13:$J$15,9,FALSE)</f>
        <v>1</v>
      </c>
      <c r="I32" s="53">
        <f>VLOOKUP($A$32,'Sociodem statistics'!$B$13:$J$15,9,FALSE)</f>
        <v>1</v>
      </c>
      <c r="J32" s="53">
        <f>VLOOKUP($A$32,'Sociodem statistics'!$B$13:$J$15,9,FALSE)</f>
        <v>1</v>
      </c>
      <c r="K32" s="53">
        <f>VLOOKUP($A$32,'Sociodem statistics'!$B$13:$J$15,9,FALSE)</f>
        <v>1</v>
      </c>
      <c r="L32" s="53">
        <f>VLOOKUP($A$32,'Sociodem statistics'!$B$13:$J$15,9,FALSE)</f>
        <v>1</v>
      </c>
      <c r="M32" s="53">
        <f>VLOOKUP($A$32,'Sociodem statistics'!$B$13:$J$15,9,FALSE)</f>
        <v>1</v>
      </c>
      <c r="N32" s="53">
        <f>VLOOKUP($A$32,'Sociodem statistics'!$B$13:$J$15,9,FALSE)</f>
        <v>1</v>
      </c>
      <c r="O32" s="53">
        <f>VLOOKUP($A$32,'Sociodem statistics'!$B$13:$J$15,9,FALSE)</f>
        <v>1</v>
      </c>
      <c r="P32" s="53">
        <f>VLOOKUP($A$32,'Sociodem statistics'!$B$13:$J$15,9,FALSE)</f>
        <v>1</v>
      </c>
      <c r="Q32" s="53">
        <f>VLOOKUP($A$32,'Sociodem statistics'!$B$13:$J$15,9,FALSE)</f>
        <v>1</v>
      </c>
      <c r="R32" s="53">
        <f>VLOOKUP($A$32,'Sociodem statistics'!$B$13:$J$15,9,FALSE)</f>
        <v>1</v>
      </c>
      <c r="S32" s="53">
        <f>VLOOKUP($A$32,'Sociodem statistics'!$B$13:$J$15,9,FALSE)</f>
        <v>1</v>
      </c>
      <c r="T32" s="53">
        <f>VLOOKUP($A$32,'Sociodem statistics'!$B$13:$J$15,9,FALSE)</f>
        <v>1</v>
      </c>
      <c r="U32" s="53">
        <f>VLOOKUP($A$32,'Sociodem statistics'!$B$13:$J$15,9,FALSE)</f>
        <v>1</v>
      </c>
      <c r="V32" s="53">
        <f>VLOOKUP($A$32,'Sociodem statistics'!$B$13:$J$15,9,FALSE)</f>
        <v>1</v>
      </c>
      <c r="W32" s="53">
        <f>VLOOKUP($A$32,'Sociodem statistics'!$B$13:$J$15,9,FALSE)</f>
        <v>1</v>
      </c>
      <c r="X32" s="53">
        <f>VLOOKUP($A$32,'Sociodem statistics'!$B$13:$J$15,9,FALSE)</f>
        <v>1</v>
      </c>
      <c r="Y32" s="53">
        <f>VLOOKUP($A$32,'Sociodem statistics'!$B$13:$J$15,9,FALSE)</f>
        <v>1</v>
      </c>
      <c r="Z32" s="53">
        <f>VLOOKUP($A$32,'Sociodem statistics'!$B$13:$J$15,9,FALSE)</f>
        <v>1</v>
      </c>
      <c r="AA32" s="53">
        <f>VLOOKUP($A$32,'Sociodem statistics'!$B$13:$J$15,9,FALSE)</f>
        <v>1</v>
      </c>
      <c r="AB32" s="47"/>
      <c r="AC32" s="47"/>
      <c r="AD32" s="47"/>
      <c r="AE32" s="47"/>
      <c r="AF32" s="47"/>
    </row>
    <row r="33" spans="1:32" x14ac:dyDescent="0.35">
      <c r="A33" s="45" t="s">
        <v>377</v>
      </c>
      <c r="B33" s="53">
        <f>VLOOKUP($A$33,'Sociodem statistics'!$B$16:$J$19,9,FALSE)</f>
        <v>1</v>
      </c>
      <c r="C33" s="53">
        <f>VLOOKUP($A$33,'Sociodem statistics'!$B$16:$J$19,9,FALSE)</f>
        <v>1</v>
      </c>
      <c r="D33" s="53">
        <f>VLOOKUP($A$33,'Sociodem statistics'!$B$16:$J$19,9,FALSE)</f>
        <v>1</v>
      </c>
      <c r="E33" s="53">
        <f>VLOOKUP($A$33,'Sociodem statistics'!$B$16:$J$19,9,FALSE)</f>
        <v>1</v>
      </c>
      <c r="F33" s="53">
        <f>VLOOKUP($A$33,'Sociodem statistics'!$B$16:$J$19,9,FALSE)</f>
        <v>1</v>
      </c>
      <c r="G33" s="53">
        <f>VLOOKUP($A$33,'Sociodem statistics'!$B$16:$J$19,9,FALSE)</f>
        <v>1</v>
      </c>
      <c r="H33" s="53">
        <f>VLOOKUP($A$33,'Sociodem statistics'!$B$16:$J$19,9,FALSE)</f>
        <v>1</v>
      </c>
      <c r="I33" s="53">
        <f>VLOOKUP($A$33,'Sociodem statistics'!$B$16:$J$19,9,FALSE)</f>
        <v>1</v>
      </c>
      <c r="J33" s="53">
        <f>VLOOKUP($A$33,'Sociodem statistics'!$B$16:$J$19,9,FALSE)</f>
        <v>1</v>
      </c>
      <c r="K33" s="53">
        <f>VLOOKUP($A$33,'Sociodem statistics'!$B$16:$J$19,9,FALSE)</f>
        <v>1</v>
      </c>
      <c r="L33" s="53">
        <f>VLOOKUP($A$33,'Sociodem statistics'!$B$16:$J$19,9,FALSE)</f>
        <v>1</v>
      </c>
      <c r="M33" s="53">
        <f>VLOOKUP($A$33,'Sociodem statistics'!$B$16:$J$19,9,FALSE)</f>
        <v>1</v>
      </c>
      <c r="N33" s="53">
        <f>VLOOKUP($A$33,'Sociodem statistics'!$B$16:$J$19,9,FALSE)</f>
        <v>1</v>
      </c>
      <c r="O33" s="53">
        <f>VLOOKUP($A$33,'Sociodem statistics'!$B$16:$J$19,9,FALSE)</f>
        <v>1</v>
      </c>
      <c r="P33" s="53">
        <f>VLOOKUP($A$33,'Sociodem statistics'!$B$16:$J$19,9,FALSE)</f>
        <v>1</v>
      </c>
      <c r="Q33" s="53">
        <f>VLOOKUP($A$33,'Sociodem statistics'!$B$16:$J$19,9,FALSE)</f>
        <v>1</v>
      </c>
      <c r="R33" s="53">
        <f>VLOOKUP($A$33,'Sociodem statistics'!$B$16:$J$19,9,FALSE)</f>
        <v>1</v>
      </c>
      <c r="S33" s="53">
        <f>VLOOKUP($A$33,'Sociodem statistics'!$B$16:$J$19,9,FALSE)</f>
        <v>1</v>
      </c>
      <c r="T33" s="53">
        <f>VLOOKUP($A$33,'Sociodem statistics'!$B$16:$J$19,9,FALSE)</f>
        <v>1</v>
      </c>
      <c r="U33" s="53">
        <f>VLOOKUP($A$33,'Sociodem statistics'!$B$16:$J$19,9,FALSE)</f>
        <v>1</v>
      </c>
      <c r="V33" s="53">
        <f>VLOOKUP($A$33,'Sociodem statistics'!$B$16:$J$19,9,FALSE)</f>
        <v>1</v>
      </c>
      <c r="W33" s="53">
        <f>VLOOKUP($A$33,'Sociodem statistics'!$B$16:$J$19,9,FALSE)</f>
        <v>1</v>
      </c>
      <c r="X33" s="53">
        <f>VLOOKUP($A$33,'Sociodem statistics'!$B$16:$J$19,9,FALSE)</f>
        <v>1</v>
      </c>
      <c r="Y33" s="53">
        <f>VLOOKUP($A$33,'Sociodem statistics'!$B$16:$J$19,9,FALSE)</f>
        <v>1</v>
      </c>
      <c r="Z33" s="53">
        <f>VLOOKUP($A$33,'Sociodem statistics'!$B$16:$J$19,9,FALSE)</f>
        <v>1</v>
      </c>
      <c r="AA33" s="53">
        <f>VLOOKUP($A$33,'Sociodem statistics'!$B$16:$J$19,9,FALSE)</f>
        <v>1</v>
      </c>
      <c r="AB33" s="47"/>
      <c r="AC33" s="47"/>
      <c r="AD33" s="47"/>
      <c r="AE33" s="47"/>
      <c r="AF33" s="47"/>
    </row>
    <row r="34" spans="1:32" x14ac:dyDescent="0.35">
      <c r="A34" s="45" t="s">
        <v>402</v>
      </c>
      <c r="B34" s="53">
        <f>VLOOKUP($A$34,'Sociodem statistics'!$B$29:$J$31,9,FALSE)</f>
        <v>1</v>
      </c>
      <c r="C34" s="53">
        <f>VLOOKUP($A$34,'Sociodem statistics'!$B$29:$J$31,9,FALSE)</f>
        <v>1</v>
      </c>
      <c r="D34" s="53">
        <f>VLOOKUP($A$34,'Sociodem statistics'!$B$29:$J$31,9,FALSE)</f>
        <v>1</v>
      </c>
      <c r="E34" s="53">
        <f>VLOOKUP($A$34,'Sociodem statistics'!$B$29:$J$31,9,FALSE)</f>
        <v>1</v>
      </c>
      <c r="F34" s="53">
        <f>VLOOKUP($A$34,'Sociodem statistics'!$B$29:$J$31,9,FALSE)</f>
        <v>1</v>
      </c>
      <c r="G34" s="53">
        <f>VLOOKUP($A$34,'Sociodem statistics'!$B$29:$J$31,9,FALSE)</f>
        <v>1</v>
      </c>
      <c r="H34" s="53">
        <f>VLOOKUP($A$34,'Sociodem statistics'!$B$29:$J$31,9,FALSE)</f>
        <v>1</v>
      </c>
      <c r="I34" s="53">
        <f>VLOOKUP($A$34,'Sociodem statistics'!$B$29:$J$31,9,FALSE)</f>
        <v>1</v>
      </c>
      <c r="J34" s="53">
        <f>VLOOKUP($A$34,'Sociodem statistics'!$B$29:$J$31,9,FALSE)</f>
        <v>1</v>
      </c>
      <c r="K34" s="53">
        <f>VLOOKUP($A$34,'Sociodem statistics'!$B$29:$J$31,9,FALSE)</f>
        <v>1</v>
      </c>
      <c r="L34" s="53">
        <f>VLOOKUP($A$34,'Sociodem statistics'!$B$29:$J$31,9,FALSE)</f>
        <v>1</v>
      </c>
      <c r="M34" s="53">
        <f>VLOOKUP($A$34,'Sociodem statistics'!$B$29:$J$31,9,FALSE)</f>
        <v>1</v>
      </c>
      <c r="N34" s="53">
        <f>VLOOKUP($A$34,'Sociodem statistics'!$B$29:$J$31,9,FALSE)</f>
        <v>1</v>
      </c>
      <c r="O34" s="53">
        <f>VLOOKUP($A$34,'Sociodem statistics'!$B$29:$J$31,9,FALSE)</f>
        <v>1</v>
      </c>
      <c r="P34" s="53">
        <f>VLOOKUP($A$34,'Sociodem statistics'!$B$29:$J$31,9,FALSE)</f>
        <v>1</v>
      </c>
      <c r="Q34" s="53">
        <f>VLOOKUP($A$34,'Sociodem statistics'!$B$29:$J$31,9,FALSE)</f>
        <v>1</v>
      </c>
      <c r="R34" s="53">
        <f>VLOOKUP($A$34,'Sociodem statistics'!$B$29:$J$31,9,FALSE)</f>
        <v>1</v>
      </c>
      <c r="S34" s="53">
        <f>VLOOKUP($A$34,'Sociodem statistics'!$B$29:$J$31,9,FALSE)</f>
        <v>1</v>
      </c>
      <c r="T34" s="53">
        <f>VLOOKUP($A$34,'Sociodem statistics'!$B$29:$J$31,9,FALSE)</f>
        <v>1</v>
      </c>
      <c r="U34" s="53">
        <f>VLOOKUP($A$34,'Sociodem statistics'!$B$29:$J$31,9,FALSE)</f>
        <v>1</v>
      </c>
      <c r="V34" s="53">
        <f>VLOOKUP($A$34,'Sociodem statistics'!$B$29:$J$31,9,FALSE)</f>
        <v>1</v>
      </c>
      <c r="W34" s="53">
        <f>VLOOKUP($A$34,'Sociodem statistics'!$B$29:$J$31,9,FALSE)</f>
        <v>1</v>
      </c>
      <c r="X34" s="53">
        <f>VLOOKUP($A$34,'Sociodem statistics'!$B$29:$J$31,9,FALSE)</f>
        <v>1</v>
      </c>
      <c r="Y34" s="53">
        <f>VLOOKUP($A$34,'Sociodem statistics'!$B$29:$J$31,9,FALSE)</f>
        <v>1</v>
      </c>
      <c r="Z34" s="53">
        <f>VLOOKUP($A$34,'Sociodem statistics'!$B$29:$J$31,9,FALSE)</f>
        <v>1</v>
      </c>
      <c r="AA34" s="53">
        <f>VLOOKUP($A$34,'Sociodem statistics'!$B$29:$J$31,9,FALSE)</f>
        <v>1</v>
      </c>
      <c r="AB34" s="47"/>
      <c r="AC34" s="47"/>
      <c r="AD34" s="47"/>
      <c r="AE34" s="47"/>
      <c r="AF34" s="47"/>
    </row>
    <row r="35" spans="1:32" x14ac:dyDescent="0.35">
      <c r="A35" s="45" t="s">
        <v>414</v>
      </c>
      <c r="B35" s="53">
        <f>VLOOKUP($A$35,'Sociodem statistics'!$B$39:$J$41,9,FALSE)</f>
        <v>1</v>
      </c>
      <c r="C35" s="53">
        <f>VLOOKUP($A$35,'Sociodem statistics'!$B$39:$J$41,9,FALSE)</f>
        <v>1</v>
      </c>
      <c r="D35" s="53">
        <f>VLOOKUP($A$35,'Sociodem statistics'!$B$39:$J$41,9,FALSE)</f>
        <v>1</v>
      </c>
      <c r="E35" s="53">
        <f>VLOOKUP($A$35,'Sociodem statistics'!$B$39:$J$41,9,FALSE)</f>
        <v>1</v>
      </c>
      <c r="F35" s="53">
        <f>VLOOKUP($A$35,'Sociodem statistics'!$B$39:$J$41,9,FALSE)</f>
        <v>1</v>
      </c>
      <c r="G35" s="53">
        <f>VLOOKUP($A$35,'Sociodem statistics'!$B$39:$J$41,9,FALSE)</f>
        <v>1</v>
      </c>
      <c r="H35" s="53">
        <f>VLOOKUP($A$35,'Sociodem statistics'!$B$39:$J$41,9,FALSE)</f>
        <v>1</v>
      </c>
      <c r="I35" s="53">
        <f>VLOOKUP($A$35,'Sociodem statistics'!$B$39:$J$41,9,FALSE)</f>
        <v>1</v>
      </c>
      <c r="J35" s="53">
        <f>VLOOKUP($A$35,'Sociodem statistics'!$B$39:$J$41,9,FALSE)</f>
        <v>1</v>
      </c>
      <c r="K35" s="53">
        <f>VLOOKUP($A$35,'Sociodem statistics'!$B$39:$J$41,9,FALSE)</f>
        <v>1</v>
      </c>
      <c r="L35" s="53">
        <f>VLOOKUP($A$35,'Sociodem statistics'!$B$39:$J$41,9,FALSE)</f>
        <v>1</v>
      </c>
      <c r="M35" s="53">
        <f>VLOOKUP($A$35,'Sociodem statistics'!$B$39:$J$41,9,FALSE)</f>
        <v>1</v>
      </c>
      <c r="N35" s="53">
        <f>VLOOKUP($A$35,'Sociodem statistics'!$B$39:$J$41,9,FALSE)</f>
        <v>1</v>
      </c>
      <c r="O35" s="53">
        <f>VLOOKUP($A$35,'Sociodem statistics'!$B$39:$J$41,9,FALSE)</f>
        <v>1</v>
      </c>
      <c r="P35" s="53">
        <f>VLOOKUP($A$35,'Sociodem statistics'!$B$39:$J$41,9,FALSE)</f>
        <v>1</v>
      </c>
      <c r="Q35" s="53">
        <f>VLOOKUP($A$35,'Sociodem statistics'!$B$39:$J$41,9,FALSE)</f>
        <v>1</v>
      </c>
      <c r="R35" s="53">
        <f>VLOOKUP($A$35,'Sociodem statistics'!$B$39:$J$41,9,FALSE)</f>
        <v>1</v>
      </c>
      <c r="S35" s="53">
        <f>VLOOKUP($A$35,'Sociodem statistics'!$B$39:$J$41,9,FALSE)</f>
        <v>1</v>
      </c>
      <c r="T35" s="53">
        <f>VLOOKUP($A$35,'Sociodem statistics'!$B$39:$J$41,9,FALSE)</f>
        <v>1</v>
      </c>
      <c r="U35" s="53">
        <f>VLOOKUP($A$35,'Sociodem statistics'!$B$39:$J$41,9,FALSE)</f>
        <v>1</v>
      </c>
      <c r="V35" s="53">
        <f>VLOOKUP($A$35,'Sociodem statistics'!$B$39:$J$41,9,FALSE)</f>
        <v>1</v>
      </c>
      <c r="W35" s="53">
        <f>VLOOKUP($A$35,'Sociodem statistics'!$B$39:$J$41,9,FALSE)</f>
        <v>1</v>
      </c>
      <c r="X35" s="53">
        <f>VLOOKUP($A$35,'Sociodem statistics'!$B$39:$J$41,9,FALSE)</f>
        <v>1</v>
      </c>
      <c r="Y35" s="53">
        <f>VLOOKUP($A$35,'Sociodem statistics'!$B$39:$J$41,9,FALSE)</f>
        <v>1</v>
      </c>
      <c r="Z35" s="53">
        <f>VLOOKUP($A$35,'Sociodem statistics'!$B$39:$J$41,9,FALSE)</f>
        <v>1</v>
      </c>
      <c r="AA35" s="53">
        <f>VLOOKUP($A$35,'Sociodem statistics'!$B$39:$J$41,9,FALSE)</f>
        <v>1</v>
      </c>
      <c r="AB35" s="47"/>
      <c r="AC35" s="47"/>
      <c r="AD35" s="47"/>
      <c r="AE35" s="47"/>
      <c r="AF35" s="47"/>
    </row>
    <row r="36" spans="1:32" x14ac:dyDescent="0.35">
      <c r="A36" s="46" t="s">
        <v>416</v>
      </c>
      <c r="B36" s="54">
        <f t="shared" ref="B36:AA36" si="3">B20*100/(500*PRODUCT(B29:B35))</f>
        <v>15.294117647058824</v>
      </c>
      <c r="C36" s="54">
        <f t="shared" si="3"/>
        <v>15.294117647058824</v>
      </c>
      <c r="D36" s="54">
        <f t="shared" si="3"/>
        <v>15.294117647058824</v>
      </c>
      <c r="E36" s="54">
        <f t="shared" si="3"/>
        <v>15.294117647058824</v>
      </c>
      <c r="F36" s="54">
        <f t="shared" si="3"/>
        <v>15.294117647058824</v>
      </c>
      <c r="G36" s="54">
        <f t="shared" si="3"/>
        <v>15.294117647058824</v>
      </c>
      <c r="H36" s="54">
        <f t="shared" si="3"/>
        <v>15.294117647058824</v>
      </c>
      <c r="I36" s="54">
        <f t="shared" si="3"/>
        <v>15.294117647058824</v>
      </c>
      <c r="J36" s="54">
        <f t="shared" si="3"/>
        <v>15.294117647058824</v>
      </c>
      <c r="K36" s="54">
        <f t="shared" si="3"/>
        <v>15.294117647058824</v>
      </c>
      <c r="L36" s="54">
        <f t="shared" si="3"/>
        <v>15.294117647058824</v>
      </c>
      <c r="M36" s="54">
        <f t="shared" si="3"/>
        <v>15.294117647058824</v>
      </c>
      <c r="N36" s="54">
        <f t="shared" si="3"/>
        <v>42.745098039215684</v>
      </c>
      <c r="O36" s="54">
        <f t="shared" si="3"/>
        <v>42.745098039215684</v>
      </c>
      <c r="P36" s="54">
        <f t="shared" si="3"/>
        <v>42.745098039215684</v>
      </c>
      <c r="Q36" s="54">
        <f t="shared" si="3"/>
        <v>42.745098039215684</v>
      </c>
      <c r="R36" s="54">
        <f t="shared" si="3"/>
        <v>42.745098039215684</v>
      </c>
      <c r="S36" s="54">
        <f t="shared" si="3"/>
        <v>42.745098039215684</v>
      </c>
      <c r="T36" s="54">
        <f t="shared" si="3"/>
        <v>42.745098039215684</v>
      </c>
      <c r="U36" s="54">
        <f t="shared" si="3"/>
        <v>42.745098039215684</v>
      </c>
      <c r="V36" s="54">
        <f t="shared" si="3"/>
        <v>43.137254901960787</v>
      </c>
      <c r="W36" s="54">
        <f t="shared" si="3"/>
        <v>43.137254901960787</v>
      </c>
      <c r="X36" s="54">
        <f t="shared" si="3"/>
        <v>43.137254901960787</v>
      </c>
      <c r="Y36" s="54">
        <f t="shared" si="3"/>
        <v>43.137254901960787</v>
      </c>
      <c r="Z36" s="55">
        <f t="shared" si="3"/>
        <v>43.137254901960787</v>
      </c>
      <c r="AA36" s="56">
        <f t="shared" si="3"/>
        <v>43.137254901960787</v>
      </c>
      <c r="AB36" s="47"/>
      <c r="AC36" s="57">
        <f>AVERAGE(B36:AA36)</f>
        <v>30.165912518853695</v>
      </c>
      <c r="AD36" s="47"/>
      <c r="AE36" s="47"/>
      <c r="AF36" s="47"/>
    </row>
    <row r="38" spans="1:32" x14ac:dyDescent="0.35">
      <c r="Y38" s="181" t="s">
        <v>426</v>
      </c>
      <c r="Z38" s="181"/>
      <c r="AA38" s="181"/>
      <c r="AB38" s="181"/>
      <c r="AC38" s="63">
        <f>AC22*AC36</f>
        <v>8.7501355071547184</v>
      </c>
    </row>
    <row r="39" spans="1:32" x14ac:dyDescent="0.35">
      <c r="Y39" s="182" t="s">
        <v>427</v>
      </c>
      <c r="Z39" s="182"/>
      <c r="AA39" s="182"/>
      <c r="AB39" s="182"/>
      <c r="AC39" s="63">
        <f>AC24*AC36</f>
        <v>8.221825431920557</v>
      </c>
    </row>
    <row r="40" spans="1:32" x14ac:dyDescent="0.35">
      <c r="Y40" s="67"/>
      <c r="Z40" s="67"/>
      <c r="AA40" s="67"/>
      <c r="AB40" s="67"/>
      <c r="AC40" s="63"/>
    </row>
    <row r="41" spans="1:32" x14ac:dyDescent="0.35">
      <c r="Y41" s="67"/>
      <c r="Z41" s="67"/>
      <c r="AA41" s="67"/>
      <c r="AB41" s="67"/>
      <c r="AC41" s="63"/>
    </row>
    <row r="42" spans="1:32" ht="15" thickBot="1" x14ac:dyDescent="0.4">
      <c r="A42" s="174" t="s">
        <v>527</v>
      </c>
      <c r="B42" s="174"/>
      <c r="C42" s="174"/>
    </row>
    <row r="43" spans="1:32" ht="15.5" thickBot="1" x14ac:dyDescent="0.4">
      <c r="A43" s="83" t="s">
        <v>57</v>
      </c>
      <c r="B43" s="172" t="s">
        <v>26</v>
      </c>
      <c r="C43" s="172"/>
      <c r="D43" s="172"/>
      <c r="E43" s="172"/>
      <c r="F43" s="172"/>
      <c r="G43" s="126" t="s">
        <v>27</v>
      </c>
      <c r="H43" s="126" t="s">
        <v>28</v>
      </c>
      <c r="I43" s="126" t="s">
        <v>470</v>
      </c>
      <c r="J43" s="172" t="s">
        <v>26</v>
      </c>
      <c r="K43" s="172"/>
      <c r="L43" s="172"/>
      <c r="M43" s="172"/>
      <c r="N43" s="172"/>
      <c r="O43" s="126" t="s">
        <v>29</v>
      </c>
      <c r="P43" s="126" t="s">
        <v>30</v>
      </c>
      <c r="Q43" s="12" t="s">
        <v>31</v>
      </c>
      <c r="R43" s="13" t="s">
        <v>32</v>
      </c>
      <c r="V43" s="111"/>
      <c r="W43" s="100"/>
    </row>
    <row r="44" spans="1:32" ht="15.5" x14ac:dyDescent="0.35">
      <c r="A44" s="161" t="s">
        <v>33</v>
      </c>
      <c r="B44" s="163" t="s">
        <v>34</v>
      </c>
      <c r="C44" s="163"/>
      <c r="D44" s="163"/>
      <c r="E44" s="163"/>
      <c r="F44" s="163"/>
      <c r="G44" s="165">
        <v>0.39461840236813045</v>
      </c>
      <c r="H44" s="163">
        <f>RANK(G44,G44:G52)</f>
        <v>1</v>
      </c>
      <c r="I44" s="84" t="s">
        <v>35</v>
      </c>
      <c r="J44" s="163" t="s">
        <v>36</v>
      </c>
      <c r="K44" s="163"/>
      <c r="L44" s="163"/>
      <c r="M44" s="163"/>
      <c r="N44" s="163"/>
      <c r="O44" s="124">
        <v>0.46247786946102909</v>
      </c>
      <c r="P44" s="14">
        <f>RANK(O44,O44:O47)</f>
        <v>1</v>
      </c>
      <c r="Q44" s="15">
        <f>O44*G44</f>
        <v>0.1825022779773281</v>
      </c>
      <c r="R44" s="16">
        <f>RANK(Q44, $Q$44:$Q$52)</f>
        <v>2</v>
      </c>
      <c r="V44" s="112"/>
      <c r="W44" s="118"/>
    </row>
    <row r="45" spans="1:32" ht="15.5" x14ac:dyDescent="0.35">
      <c r="A45" s="169"/>
      <c r="B45" s="170"/>
      <c r="C45" s="170"/>
      <c r="D45" s="170"/>
      <c r="E45" s="170"/>
      <c r="F45" s="170"/>
      <c r="G45" s="173"/>
      <c r="H45" s="170"/>
      <c r="I45" s="85" t="s">
        <v>37</v>
      </c>
      <c r="J45" s="170" t="s">
        <v>38</v>
      </c>
      <c r="K45" s="170"/>
      <c r="L45" s="170"/>
      <c r="M45" s="170"/>
      <c r="N45" s="170"/>
      <c r="O45" s="127">
        <v>0.1788174772766627</v>
      </c>
      <c r="P45" s="16">
        <f>RANK(O45,O44:O47)</f>
        <v>3</v>
      </c>
      <c r="Q45" s="15">
        <f>O45*G44</f>
        <v>7.0564667198416101E-2</v>
      </c>
      <c r="R45" s="16">
        <f t="shared" ref="R45:R52" si="4">RANK(Q45, $Q$44:$Q$52)</f>
        <v>6</v>
      </c>
      <c r="V45" s="109"/>
      <c r="W45" s="118"/>
    </row>
    <row r="46" spans="1:32" ht="15.5" x14ac:dyDescent="0.35">
      <c r="A46" s="169"/>
      <c r="B46" s="170"/>
      <c r="C46" s="170"/>
      <c r="D46" s="170"/>
      <c r="E46" s="170"/>
      <c r="F46" s="170"/>
      <c r="G46" s="173"/>
      <c r="H46" s="170"/>
      <c r="I46" s="85" t="s">
        <v>39</v>
      </c>
      <c r="J46" s="170" t="s">
        <v>40</v>
      </c>
      <c r="K46" s="170"/>
      <c r="L46" s="170"/>
      <c r="M46" s="170"/>
      <c r="N46" s="170"/>
      <c r="O46" s="127">
        <v>0.23211951005793224</v>
      </c>
      <c r="P46" s="16">
        <f>RANK(O46,O44:O47)</f>
        <v>2</v>
      </c>
      <c r="Q46" s="15">
        <f>O46*G44</f>
        <v>9.1598630217534407E-2</v>
      </c>
      <c r="R46" s="16">
        <f t="shared" si="4"/>
        <v>4</v>
      </c>
      <c r="V46" s="109"/>
      <c r="W46" s="118"/>
    </row>
    <row r="47" spans="1:32" ht="16" thickBot="1" x14ac:dyDescent="0.4">
      <c r="A47" s="162"/>
      <c r="B47" s="164"/>
      <c r="C47" s="164"/>
      <c r="D47" s="164"/>
      <c r="E47" s="164"/>
      <c r="F47" s="164"/>
      <c r="G47" s="166"/>
      <c r="H47" s="164"/>
      <c r="I47" s="86" t="s">
        <v>41</v>
      </c>
      <c r="J47" s="164" t="s">
        <v>42</v>
      </c>
      <c r="K47" s="164"/>
      <c r="L47" s="164"/>
      <c r="M47" s="164"/>
      <c r="N47" s="164"/>
      <c r="O47" s="125">
        <v>0.12658514320437608</v>
      </c>
      <c r="P47" s="17">
        <f>RANK(O47,O44:O47)</f>
        <v>4</v>
      </c>
      <c r="Q47" s="15">
        <f>O47*G44</f>
        <v>4.9952826974851892E-2</v>
      </c>
      <c r="R47" s="16">
        <f t="shared" si="4"/>
        <v>9</v>
      </c>
      <c r="V47" s="109"/>
      <c r="W47" s="118"/>
    </row>
    <row r="48" spans="1:32" ht="15.5" x14ac:dyDescent="0.35">
      <c r="A48" s="161" t="s">
        <v>43</v>
      </c>
      <c r="B48" s="163" t="s">
        <v>44</v>
      </c>
      <c r="C48" s="163"/>
      <c r="D48" s="163"/>
      <c r="E48" s="163"/>
      <c r="F48" s="163"/>
      <c r="G48" s="165">
        <v>0.2151241970727332</v>
      </c>
      <c r="H48" s="163">
        <f>RANK(G48,G44:G52)</f>
        <v>3</v>
      </c>
      <c r="I48" s="84" t="s">
        <v>45</v>
      </c>
      <c r="J48" s="163" t="s">
        <v>46</v>
      </c>
      <c r="K48" s="163"/>
      <c r="L48" s="163"/>
      <c r="M48" s="163"/>
      <c r="N48" s="163"/>
      <c r="O48" s="124">
        <v>0.41712633006889566</v>
      </c>
      <c r="P48" s="14">
        <f>RANK(O48,O48:O50)</f>
        <v>1</v>
      </c>
      <c r="Q48" s="15">
        <f>O48*G48</f>
        <v>8.973396683396706E-2</v>
      </c>
      <c r="R48" s="16">
        <f t="shared" si="4"/>
        <v>5</v>
      </c>
      <c r="V48" s="109"/>
      <c r="W48" s="118"/>
    </row>
    <row r="49" spans="1:23" ht="15.5" x14ac:dyDescent="0.35">
      <c r="A49" s="169"/>
      <c r="B49" s="170"/>
      <c r="C49" s="170"/>
      <c r="D49" s="170"/>
      <c r="E49" s="170"/>
      <c r="F49" s="170"/>
      <c r="G49" s="173"/>
      <c r="H49" s="170"/>
      <c r="I49" s="85" t="s">
        <v>47</v>
      </c>
      <c r="J49" s="170" t="s">
        <v>48</v>
      </c>
      <c r="K49" s="170"/>
      <c r="L49" s="170"/>
      <c r="M49" s="170"/>
      <c r="N49" s="170"/>
      <c r="O49" s="127">
        <v>0.31784299577489605</v>
      </c>
      <c r="P49" s="16">
        <f>RANK(O49,O48:O50)</f>
        <v>2</v>
      </c>
      <c r="Q49" s="15">
        <f>O49*G48</f>
        <v>6.8375719261266649E-2</v>
      </c>
      <c r="R49" s="16">
        <f t="shared" si="4"/>
        <v>7</v>
      </c>
      <c r="V49" s="109"/>
      <c r="W49" s="118"/>
    </row>
    <row r="50" spans="1:23" ht="16" thickBot="1" x14ac:dyDescent="0.4">
      <c r="A50" s="162"/>
      <c r="B50" s="164"/>
      <c r="C50" s="164"/>
      <c r="D50" s="164"/>
      <c r="E50" s="164"/>
      <c r="F50" s="164"/>
      <c r="G50" s="166"/>
      <c r="H50" s="164"/>
      <c r="I50" s="86" t="s">
        <v>49</v>
      </c>
      <c r="J50" s="164" t="s">
        <v>50</v>
      </c>
      <c r="K50" s="164"/>
      <c r="L50" s="164"/>
      <c r="M50" s="164"/>
      <c r="N50" s="164"/>
      <c r="O50" s="125">
        <v>0.26503067415620829</v>
      </c>
      <c r="P50" s="17">
        <f>RANK(O50,O48:O50)</f>
        <v>3</v>
      </c>
      <c r="Q50" s="15">
        <f>O50*G48</f>
        <v>5.7014510977499488E-2</v>
      </c>
      <c r="R50" s="16">
        <f t="shared" si="4"/>
        <v>8</v>
      </c>
      <c r="V50" s="109"/>
      <c r="W50" s="118"/>
    </row>
    <row r="51" spans="1:23" ht="15.5" x14ac:dyDescent="0.35">
      <c r="A51" s="161" t="s">
        <v>51</v>
      </c>
      <c r="B51" s="163" t="s">
        <v>52</v>
      </c>
      <c r="C51" s="163"/>
      <c r="D51" s="163"/>
      <c r="E51" s="163"/>
      <c r="F51" s="163"/>
      <c r="G51" s="165">
        <v>0.39025740055913632</v>
      </c>
      <c r="H51" s="163">
        <f>RANK(G51,G44:G52)</f>
        <v>2</v>
      </c>
      <c r="I51" s="84" t="s">
        <v>53</v>
      </c>
      <c r="J51" s="163" t="s">
        <v>54</v>
      </c>
      <c r="K51" s="163"/>
      <c r="L51" s="163"/>
      <c r="M51" s="163"/>
      <c r="N51" s="163"/>
      <c r="O51" s="124">
        <v>0.4426352486717442</v>
      </c>
      <c r="P51" s="14">
        <f>RANK(O51,O51:O52)</f>
        <v>2</v>
      </c>
      <c r="Q51" s="15">
        <f>O51*G51</f>
        <v>0.17274168154248179</v>
      </c>
      <c r="R51" s="16">
        <f t="shared" si="4"/>
        <v>3</v>
      </c>
      <c r="V51" s="109"/>
      <c r="W51" s="118"/>
    </row>
    <row r="52" spans="1:23" ht="16" thickBot="1" x14ac:dyDescent="0.4">
      <c r="A52" s="162"/>
      <c r="B52" s="164"/>
      <c r="C52" s="164"/>
      <c r="D52" s="164"/>
      <c r="E52" s="164"/>
      <c r="F52" s="164"/>
      <c r="G52" s="166"/>
      <c r="H52" s="164"/>
      <c r="I52" s="18" t="s">
        <v>55</v>
      </c>
      <c r="J52" s="167" t="s">
        <v>56</v>
      </c>
      <c r="K52" s="168"/>
      <c r="L52" s="168"/>
      <c r="M52" s="168"/>
      <c r="N52" s="168"/>
      <c r="O52" s="125">
        <v>0.5573647513282558</v>
      </c>
      <c r="P52" s="17">
        <f>RANK(O52,O51:O52)</f>
        <v>1</v>
      </c>
      <c r="Q52" s="19">
        <f>O52*G51</f>
        <v>0.21751571901665454</v>
      </c>
      <c r="R52" s="16">
        <f t="shared" si="4"/>
        <v>1</v>
      </c>
      <c r="V52" s="109"/>
      <c r="W52" s="118"/>
    </row>
  </sheetData>
  <mergeCells count="28">
    <mergeCell ref="B43:F43"/>
    <mergeCell ref="J43:N43"/>
    <mergeCell ref="A1:A2"/>
    <mergeCell ref="AB20:AC20"/>
    <mergeCell ref="Y38:AB38"/>
    <mergeCell ref="Y39:AB39"/>
    <mergeCell ref="A42:C42"/>
    <mergeCell ref="A44:A47"/>
    <mergeCell ref="B44:F47"/>
    <mergeCell ref="G44:G47"/>
    <mergeCell ref="H44:H47"/>
    <mergeCell ref="J44:N44"/>
    <mergeCell ref="J45:N45"/>
    <mergeCell ref="J46:N46"/>
    <mergeCell ref="J47:N47"/>
    <mergeCell ref="A48:A50"/>
    <mergeCell ref="B48:F50"/>
    <mergeCell ref="G48:G50"/>
    <mergeCell ref="H48:H50"/>
    <mergeCell ref="J48:N48"/>
    <mergeCell ref="J49:N49"/>
    <mergeCell ref="J50:N50"/>
    <mergeCell ref="A51:A52"/>
    <mergeCell ref="B51:F52"/>
    <mergeCell ref="G51:G52"/>
    <mergeCell ref="H51:H52"/>
    <mergeCell ref="J51:N51"/>
    <mergeCell ref="J52:N5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CopyFilteredData">
                <anchor moveWithCells="1" sizeWithCells="1">
                  <from>
                    <xdr:col>5</xdr:col>
                    <xdr:colOff>12700</xdr:colOff>
                    <xdr:row>37</xdr:row>
                    <xdr:rowOff>12700</xdr:rowOff>
                  </from>
                  <to>
                    <xdr:col>6</xdr:col>
                    <xdr:colOff>850900</xdr:colOff>
                    <xdr:row>38</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promptTitle="Age" prompt="Select the age included in the study" xr:uid="{00000000-0002-0000-0600-000000000000}">
          <x14:formula1>
            <xm:f>'Sociodem statistics'!$B$2:$B$5</xm:f>
          </x14:formula1>
          <xm:sqref>A29</xm:sqref>
        </x14:dataValidation>
        <x14:dataValidation type="list" allowBlank="1" showInputMessage="1" showErrorMessage="1" promptTitle="Gender" prompt="Select the gender under evaluation" xr:uid="{00000000-0002-0000-0600-000001000000}">
          <x14:formula1>
            <xm:f>'Sociodem statistics'!$B$6:$B$8</xm:f>
          </x14:formula1>
          <xm:sqref>A30</xm:sqref>
        </x14:dataValidation>
        <x14:dataValidation type="list" allowBlank="1" showInputMessage="1" showErrorMessage="1" promptTitle="Education" prompt="Select the level of education:_x000a_- Low level: &lt; lower secundary education_x000a_- Medium level:between upper secondary and short-cycle tertiary education_x000a_- High level: degree or higher" xr:uid="{00000000-0002-0000-0600-000002000000}">
          <x14:formula1>
            <xm:f>'Sociodem statistics'!$B$9:$B$12</xm:f>
          </x14:formula1>
          <xm:sqref>A31</xm:sqref>
        </x14:dataValidation>
        <x14:dataValidation type="list" allowBlank="1" showInputMessage="1" showErrorMessage="1" promptTitle="Disability" prompt="Choose if you are considering people with or without disability_x000a_" xr:uid="{00000000-0002-0000-0600-000003000000}">
          <x14:formula1>
            <xm:f>'Sociodem statistics'!$B$13:$B$15</xm:f>
          </x14:formula1>
          <xm:sqref>A32</xm:sqref>
        </x14:dataValidation>
        <x14:dataValidation type="list" allowBlank="1" showInputMessage="1" showErrorMessage="1" promptTitle="Family" prompt="Select the family size" xr:uid="{00000000-0002-0000-0600-000004000000}">
          <x14:formula1>
            <xm:f>'Sociodem statistics'!$B$16:$B$19</xm:f>
          </x14:formula1>
          <xm:sqref>A33</xm:sqref>
        </x14:dataValidation>
        <x14:dataValidation type="list" allowBlank="1" showInputMessage="1" showErrorMessage="1" promptTitle="Sexual orientation" prompt="Select: heterosexual, LGTB or All" xr:uid="{00000000-0002-0000-0600-000005000000}">
          <x14:formula1>
            <xm:f>'Sociodem statistics'!$B$29:$B$31</xm:f>
          </x14:formula1>
          <xm:sqref>A34</xm:sqref>
        </x14:dataValidation>
        <x14:dataValidation type="list" allowBlank="1" showInputMessage="1" showErrorMessage="1" promptTitle="Economic level" prompt="Select the economic level._x000a_Note: Low wage earners are defined as employees who earn two thirds or less of national median gross hourly earnings. " xr:uid="{00000000-0002-0000-0600-000006000000}">
          <x14:formula1>
            <xm:f>'Sociodem statistics'!$B$39:$B$41</xm:f>
          </x14:formula1>
          <xm:sqref>A35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G52"/>
  <sheetViews>
    <sheetView workbookViewId="0">
      <selection activeCell="A42" sqref="A42:C42"/>
    </sheetView>
  </sheetViews>
  <sheetFormatPr baseColWidth="10" defaultColWidth="8.7265625" defaultRowHeight="14.5" x14ac:dyDescent="0.35"/>
  <cols>
    <col min="1" max="1" width="39" bestFit="1" customWidth="1"/>
  </cols>
  <sheetData>
    <row r="1" spans="1:27" x14ac:dyDescent="0.35">
      <c r="A1" s="171" t="s">
        <v>418</v>
      </c>
      <c r="B1" s="1"/>
      <c r="C1" s="1"/>
      <c r="D1" s="1"/>
      <c r="E1" s="1"/>
      <c r="F1" s="1"/>
      <c r="G1" s="1"/>
      <c r="H1" s="1"/>
      <c r="I1" s="1"/>
      <c r="J1" s="1"/>
      <c r="K1" s="1"/>
      <c r="L1" s="1"/>
      <c r="M1" s="1"/>
      <c r="N1" s="1"/>
      <c r="O1" s="1"/>
      <c r="P1" s="1"/>
      <c r="Q1" s="1"/>
      <c r="R1" s="1"/>
      <c r="S1" s="1"/>
      <c r="T1" s="1"/>
      <c r="U1" s="1"/>
      <c r="V1" s="1"/>
      <c r="W1" s="1"/>
      <c r="X1" s="1"/>
      <c r="Y1" s="1"/>
      <c r="Z1" s="1"/>
      <c r="AA1" s="1"/>
    </row>
    <row r="2" spans="1:27" x14ac:dyDescent="0.35">
      <c r="A2" s="171"/>
      <c r="B2" s="2" t="s">
        <v>0</v>
      </c>
      <c r="C2" s="2" t="s">
        <v>1</v>
      </c>
      <c r="D2" s="2" t="s">
        <v>2</v>
      </c>
      <c r="E2" s="2" t="s">
        <v>3</v>
      </c>
      <c r="F2" s="2" t="s">
        <v>4</v>
      </c>
      <c r="G2" s="2" t="s">
        <v>5</v>
      </c>
      <c r="H2" s="2" t="s">
        <v>6</v>
      </c>
      <c r="I2" s="2" t="s">
        <v>7</v>
      </c>
      <c r="J2" s="2" t="s">
        <v>8</v>
      </c>
      <c r="K2" s="2" t="s">
        <v>9</v>
      </c>
      <c r="L2" s="2" t="s">
        <v>10</v>
      </c>
      <c r="M2" s="2" t="s">
        <v>11</v>
      </c>
      <c r="N2" s="2" t="s">
        <v>12</v>
      </c>
      <c r="O2" s="2" t="s">
        <v>13</v>
      </c>
      <c r="P2" s="2" t="s">
        <v>14</v>
      </c>
      <c r="Q2" s="2" t="s">
        <v>15</v>
      </c>
      <c r="R2" s="2" t="s">
        <v>16</v>
      </c>
      <c r="S2" s="2" t="s">
        <v>17</v>
      </c>
      <c r="T2" s="2" t="s">
        <v>18</v>
      </c>
      <c r="U2" s="2" t="s">
        <v>19</v>
      </c>
      <c r="V2" s="2" t="s">
        <v>20</v>
      </c>
      <c r="W2" s="2" t="s">
        <v>21</v>
      </c>
      <c r="X2" s="2" t="s">
        <v>22</v>
      </c>
      <c r="Y2" s="2" t="s">
        <v>23</v>
      </c>
      <c r="Z2" s="2" t="s">
        <v>24</v>
      </c>
      <c r="AA2" s="2" t="s">
        <v>25</v>
      </c>
    </row>
    <row r="3" spans="1:27" ht="15" x14ac:dyDescent="0.25">
      <c r="A3" s="3">
        <v>1</v>
      </c>
      <c r="B3" s="4">
        <v>7</v>
      </c>
      <c r="C3" s="49">
        <v>7</v>
      </c>
      <c r="D3" s="4">
        <v>5</v>
      </c>
      <c r="E3" s="49">
        <v>5</v>
      </c>
      <c r="F3" s="4">
        <v>7</v>
      </c>
      <c r="G3" s="49">
        <v>7</v>
      </c>
      <c r="H3" s="4">
        <v>8</v>
      </c>
      <c r="I3" s="49">
        <v>8</v>
      </c>
      <c r="J3" s="4">
        <v>6</v>
      </c>
      <c r="K3" s="49">
        <v>6</v>
      </c>
      <c r="L3" s="4">
        <v>5</v>
      </c>
      <c r="M3" s="49">
        <v>5</v>
      </c>
      <c r="N3" s="4">
        <v>14</v>
      </c>
      <c r="O3" s="49">
        <v>14</v>
      </c>
      <c r="P3" s="4">
        <v>15</v>
      </c>
      <c r="Q3" s="49">
        <v>15</v>
      </c>
      <c r="R3" s="4">
        <v>16</v>
      </c>
      <c r="S3" s="49">
        <v>16</v>
      </c>
      <c r="T3" s="4">
        <v>10</v>
      </c>
      <c r="U3" s="49">
        <v>10</v>
      </c>
      <c r="V3" s="4">
        <v>17</v>
      </c>
      <c r="W3" s="49">
        <v>17</v>
      </c>
      <c r="X3" s="4">
        <v>19</v>
      </c>
      <c r="Y3" s="49">
        <v>19</v>
      </c>
      <c r="Z3" s="4">
        <v>15</v>
      </c>
      <c r="AA3" s="49">
        <v>15</v>
      </c>
    </row>
    <row r="4" spans="1:27" ht="15" x14ac:dyDescent="0.25">
      <c r="A4" s="3">
        <v>2</v>
      </c>
      <c r="B4" s="4">
        <v>0</v>
      </c>
      <c r="C4" s="49">
        <v>0</v>
      </c>
      <c r="D4" s="4">
        <v>0</v>
      </c>
      <c r="E4" s="49">
        <v>0</v>
      </c>
      <c r="F4" s="4">
        <v>0</v>
      </c>
      <c r="G4" s="49">
        <v>0</v>
      </c>
      <c r="H4" s="4">
        <v>0</v>
      </c>
      <c r="I4" s="49">
        <v>0</v>
      </c>
      <c r="J4" s="4">
        <v>0</v>
      </c>
      <c r="K4" s="49">
        <v>0</v>
      </c>
      <c r="L4" s="4">
        <v>0</v>
      </c>
      <c r="M4" s="49">
        <v>0</v>
      </c>
      <c r="N4" s="4">
        <v>0</v>
      </c>
      <c r="O4" s="49">
        <v>0</v>
      </c>
      <c r="P4" s="4">
        <v>0</v>
      </c>
      <c r="Q4" s="49">
        <v>0</v>
      </c>
      <c r="R4" s="4">
        <v>0</v>
      </c>
      <c r="S4" s="49">
        <v>0</v>
      </c>
      <c r="T4" s="4">
        <v>1</v>
      </c>
      <c r="U4" s="49">
        <v>0</v>
      </c>
      <c r="V4" s="4">
        <v>0</v>
      </c>
      <c r="W4" s="49">
        <v>0</v>
      </c>
      <c r="X4" s="4">
        <v>0</v>
      </c>
      <c r="Y4" s="49">
        <v>0</v>
      </c>
      <c r="Z4" s="4">
        <v>0</v>
      </c>
      <c r="AA4" s="49">
        <v>0</v>
      </c>
    </row>
    <row r="5" spans="1:27" ht="15" x14ac:dyDescent="0.25">
      <c r="A5" s="3">
        <v>3</v>
      </c>
      <c r="B5" s="4">
        <v>0</v>
      </c>
      <c r="C5" s="49">
        <v>0</v>
      </c>
      <c r="D5" s="4">
        <v>0</v>
      </c>
      <c r="E5" s="49">
        <v>0</v>
      </c>
      <c r="F5" s="4">
        <v>0</v>
      </c>
      <c r="G5" s="49">
        <v>0</v>
      </c>
      <c r="H5" s="4">
        <v>0</v>
      </c>
      <c r="I5" s="49">
        <v>0</v>
      </c>
      <c r="J5" s="4">
        <v>0</v>
      </c>
      <c r="K5" s="49">
        <v>0</v>
      </c>
      <c r="L5" s="4">
        <v>0</v>
      </c>
      <c r="M5" s="49">
        <v>0</v>
      </c>
      <c r="N5" s="4">
        <v>0</v>
      </c>
      <c r="O5" s="49">
        <v>0</v>
      </c>
      <c r="P5" s="4">
        <v>0</v>
      </c>
      <c r="Q5" s="49">
        <v>0</v>
      </c>
      <c r="R5" s="4">
        <v>1</v>
      </c>
      <c r="S5" s="49">
        <v>0</v>
      </c>
      <c r="T5" s="4">
        <v>1</v>
      </c>
      <c r="U5" s="49">
        <v>0</v>
      </c>
      <c r="V5" s="4">
        <v>0</v>
      </c>
      <c r="W5" s="49">
        <v>0</v>
      </c>
      <c r="X5" s="4">
        <v>0</v>
      </c>
      <c r="Y5" s="49">
        <v>0</v>
      </c>
      <c r="Z5" s="4">
        <v>0</v>
      </c>
      <c r="AA5" s="49">
        <v>0</v>
      </c>
    </row>
    <row r="6" spans="1:27" ht="15" x14ac:dyDescent="0.25">
      <c r="A6" s="3">
        <v>4</v>
      </c>
      <c r="B6" s="4">
        <v>0</v>
      </c>
      <c r="C6" s="49">
        <v>0</v>
      </c>
      <c r="D6" s="4">
        <v>1</v>
      </c>
      <c r="E6" s="49">
        <v>0</v>
      </c>
      <c r="F6" s="4">
        <v>1</v>
      </c>
      <c r="G6" s="49">
        <v>0</v>
      </c>
      <c r="H6" s="4">
        <v>0</v>
      </c>
      <c r="I6" s="49">
        <v>1</v>
      </c>
      <c r="J6" s="4">
        <v>0</v>
      </c>
      <c r="K6" s="49">
        <v>1</v>
      </c>
      <c r="L6" s="4">
        <v>1</v>
      </c>
      <c r="M6" s="49">
        <v>0</v>
      </c>
      <c r="N6" s="4">
        <v>0</v>
      </c>
      <c r="O6" s="49">
        <v>0</v>
      </c>
      <c r="P6" s="4">
        <v>0</v>
      </c>
      <c r="Q6" s="49">
        <v>0</v>
      </c>
      <c r="R6" s="4">
        <v>0</v>
      </c>
      <c r="S6" s="49">
        <v>0</v>
      </c>
      <c r="T6" s="4">
        <v>1</v>
      </c>
      <c r="U6" s="49">
        <v>0</v>
      </c>
      <c r="V6" s="4">
        <v>0</v>
      </c>
      <c r="W6" s="49">
        <v>0</v>
      </c>
      <c r="X6" s="4">
        <v>0</v>
      </c>
      <c r="Y6" s="49">
        <v>1</v>
      </c>
      <c r="Z6" s="4">
        <v>0</v>
      </c>
      <c r="AA6" s="49">
        <v>1</v>
      </c>
    </row>
    <row r="7" spans="1:27" ht="15" x14ac:dyDescent="0.25">
      <c r="A7" s="3">
        <v>5</v>
      </c>
      <c r="B7" s="4">
        <v>0</v>
      </c>
      <c r="C7" s="49">
        <v>0</v>
      </c>
      <c r="D7" s="4">
        <v>2</v>
      </c>
      <c r="E7" s="49">
        <v>0</v>
      </c>
      <c r="F7" s="4">
        <v>1</v>
      </c>
      <c r="G7" s="49">
        <v>0</v>
      </c>
      <c r="H7" s="4">
        <v>0</v>
      </c>
      <c r="I7" s="49">
        <v>1</v>
      </c>
      <c r="J7" s="4">
        <v>0</v>
      </c>
      <c r="K7" s="49">
        <v>1</v>
      </c>
      <c r="L7" s="4">
        <v>2</v>
      </c>
      <c r="M7" s="49">
        <v>0</v>
      </c>
      <c r="N7" s="4">
        <v>1</v>
      </c>
      <c r="O7" s="49">
        <v>1</v>
      </c>
      <c r="P7" s="4">
        <v>1</v>
      </c>
      <c r="Q7" s="49">
        <v>0</v>
      </c>
      <c r="R7" s="4">
        <v>1</v>
      </c>
      <c r="S7" s="49">
        <v>0</v>
      </c>
      <c r="T7" s="4">
        <v>0</v>
      </c>
      <c r="U7" s="49">
        <v>0</v>
      </c>
      <c r="V7" s="4">
        <v>0</v>
      </c>
      <c r="W7" s="49">
        <v>0</v>
      </c>
      <c r="X7" s="4">
        <v>0</v>
      </c>
      <c r="Y7" s="49">
        <v>1</v>
      </c>
      <c r="Z7" s="4">
        <v>0</v>
      </c>
      <c r="AA7" s="49">
        <v>0</v>
      </c>
    </row>
    <row r="8" spans="1:27" ht="15" x14ac:dyDescent="0.25">
      <c r="A8" s="3">
        <v>6</v>
      </c>
      <c r="B8" s="4">
        <v>2</v>
      </c>
      <c r="C8" s="49">
        <v>0</v>
      </c>
      <c r="D8" s="4">
        <v>1</v>
      </c>
      <c r="E8" s="49">
        <v>0</v>
      </c>
      <c r="F8" s="4">
        <v>0</v>
      </c>
      <c r="G8" s="49">
        <v>0</v>
      </c>
      <c r="H8" s="4">
        <v>0</v>
      </c>
      <c r="I8" s="49">
        <v>0</v>
      </c>
      <c r="J8" s="4">
        <v>0</v>
      </c>
      <c r="K8" s="49">
        <v>0</v>
      </c>
      <c r="L8" s="4">
        <v>0</v>
      </c>
      <c r="M8" s="49">
        <v>1</v>
      </c>
      <c r="N8" s="4">
        <v>3</v>
      </c>
      <c r="O8" s="49">
        <v>0</v>
      </c>
      <c r="P8" s="4">
        <v>4</v>
      </c>
      <c r="Q8" s="49">
        <v>0</v>
      </c>
      <c r="R8" s="4">
        <v>1</v>
      </c>
      <c r="S8" s="49">
        <v>0</v>
      </c>
      <c r="T8" s="4">
        <v>1</v>
      </c>
      <c r="U8" s="49">
        <v>2</v>
      </c>
      <c r="V8" s="4">
        <v>2</v>
      </c>
      <c r="W8" s="49">
        <v>1</v>
      </c>
      <c r="X8" s="4">
        <v>0</v>
      </c>
      <c r="Y8" s="49">
        <v>0</v>
      </c>
      <c r="Z8" s="4">
        <v>1</v>
      </c>
      <c r="AA8" s="49">
        <v>3</v>
      </c>
    </row>
    <row r="9" spans="1:27" ht="15" x14ac:dyDescent="0.25">
      <c r="A9" s="3">
        <v>7</v>
      </c>
      <c r="B9" s="4">
        <v>3</v>
      </c>
      <c r="C9" s="49">
        <v>0</v>
      </c>
      <c r="D9" s="4">
        <v>1</v>
      </c>
      <c r="E9" s="49">
        <v>1</v>
      </c>
      <c r="F9" s="4">
        <v>1</v>
      </c>
      <c r="G9" s="49">
        <v>0</v>
      </c>
      <c r="H9" s="4">
        <v>0</v>
      </c>
      <c r="I9" s="49">
        <v>0</v>
      </c>
      <c r="J9" s="4">
        <v>1</v>
      </c>
      <c r="K9" s="49">
        <v>2</v>
      </c>
      <c r="L9" s="4">
        <v>0</v>
      </c>
      <c r="M9" s="49">
        <v>3</v>
      </c>
      <c r="N9" s="4">
        <v>3</v>
      </c>
      <c r="O9" s="49">
        <v>0</v>
      </c>
      <c r="P9" s="4">
        <v>2</v>
      </c>
      <c r="Q9" s="49">
        <v>0</v>
      </c>
      <c r="R9" s="4">
        <v>2</v>
      </c>
      <c r="S9" s="49">
        <v>3</v>
      </c>
      <c r="T9" s="4">
        <v>0</v>
      </c>
      <c r="U9" s="49">
        <v>3</v>
      </c>
      <c r="V9" s="4">
        <v>3</v>
      </c>
      <c r="W9" s="49">
        <v>0</v>
      </c>
      <c r="X9" s="4">
        <v>1</v>
      </c>
      <c r="Y9" s="49">
        <v>1</v>
      </c>
      <c r="Z9" s="4">
        <v>0</v>
      </c>
      <c r="AA9" s="49">
        <v>2</v>
      </c>
    </row>
    <row r="10" spans="1:27" ht="15" x14ac:dyDescent="0.25">
      <c r="A10" s="3">
        <v>8</v>
      </c>
      <c r="B10" s="4">
        <v>0</v>
      </c>
      <c r="C10" s="49">
        <v>0</v>
      </c>
      <c r="D10" s="4">
        <v>2</v>
      </c>
      <c r="E10" s="49">
        <v>0</v>
      </c>
      <c r="F10" s="4">
        <v>3</v>
      </c>
      <c r="G10" s="49">
        <v>0</v>
      </c>
      <c r="H10" s="4">
        <v>1</v>
      </c>
      <c r="I10" s="49">
        <v>1</v>
      </c>
      <c r="J10" s="4">
        <v>1</v>
      </c>
      <c r="K10" s="49">
        <v>1</v>
      </c>
      <c r="L10" s="4">
        <v>1</v>
      </c>
      <c r="M10" s="49">
        <v>0</v>
      </c>
      <c r="N10" s="4">
        <v>1</v>
      </c>
      <c r="O10" s="49">
        <v>0</v>
      </c>
      <c r="P10" s="4">
        <v>1</v>
      </c>
      <c r="Q10" s="49">
        <v>0</v>
      </c>
      <c r="R10" s="4">
        <v>1</v>
      </c>
      <c r="S10" s="49">
        <v>0</v>
      </c>
      <c r="T10" s="4">
        <v>1</v>
      </c>
      <c r="U10" s="49">
        <v>0</v>
      </c>
      <c r="V10" s="4">
        <v>0</v>
      </c>
      <c r="W10" s="49">
        <v>1</v>
      </c>
      <c r="X10" s="4">
        <v>0</v>
      </c>
      <c r="Y10" s="49">
        <v>0</v>
      </c>
      <c r="Z10" s="4">
        <v>0</v>
      </c>
      <c r="AA10" s="49">
        <v>1</v>
      </c>
    </row>
    <row r="11" spans="1:27" ht="15" x14ac:dyDescent="0.25">
      <c r="A11" s="3">
        <v>9</v>
      </c>
      <c r="B11" s="4">
        <v>1</v>
      </c>
      <c r="C11" s="49">
        <v>0</v>
      </c>
      <c r="D11" s="4">
        <v>0</v>
      </c>
      <c r="E11" s="49">
        <v>0</v>
      </c>
      <c r="F11" s="4">
        <v>0</v>
      </c>
      <c r="G11" s="49">
        <v>0</v>
      </c>
      <c r="H11" s="4">
        <v>0</v>
      </c>
      <c r="I11" s="49">
        <v>1</v>
      </c>
      <c r="J11" s="4">
        <v>0</v>
      </c>
      <c r="K11" s="49">
        <v>0</v>
      </c>
      <c r="L11" s="4">
        <v>0</v>
      </c>
      <c r="M11" s="49">
        <v>0</v>
      </c>
      <c r="N11" s="4">
        <v>2</v>
      </c>
      <c r="O11" s="49">
        <v>0</v>
      </c>
      <c r="P11" s="4">
        <v>2</v>
      </c>
      <c r="Q11" s="49">
        <v>0</v>
      </c>
      <c r="R11" s="4">
        <v>0</v>
      </c>
      <c r="S11" s="49">
        <v>0</v>
      </c>
      <c r="T11" s="4">
        <v>3</v>
      </c>
      <c r="U11" s="49">
        <v>2</v>
      </c>
      <c r="V11" s="4">
        <v>1</v>
      </c>
      <c r="W11" s="49">
        <v>0</v>
      </c>
      <c r="X11" s="4">
        <v>0</v>
      </c>
      <c r="Y11" s="49">
        <v>2</v>
      </c>
      <c r="Z11" s="4">
        <v>0</v>
      </c>
      <c r="AA11" s="49">
        <v>2</v>
      </c>
    </row>
    <row r="12" spans="1:27" ht="15" x14ac:dyDescent="0.25">
      <c r="A12" s="5">
        <v>0.5</v>
      </c>
      <c r="B12" s="4">
        <v>0</v>
      </c>
      <c r="C12" s="49">
        <v>0</v>
      </c>
      <c r="D12" s="4">
        <v>0</v>
      </c>
      <c r="E12" s="49">
        <v>0</v>
      </c>
      <c r="F12" s="4">
        <v>0</v>
      </c>
      <c r="G12" s="49">
        <v>0</v>
      </c>
      <c r="H12" s="4">
        <v>0</v>
      </c>
      <c r="I12" s="49">
        <v>0</v>
      </c>
      <c r="J12" s="4">
        <v>0</v>
      </c>
      <c r="K12" s="49">
        <v>0</v>
      </c>
      <c r="L12" s="4">
        <v>0</v>
      </c>
      <c r="M12" s="49">
        <v>0</v>
      </c>
      <c r="N12" s="4">
        <v>0</v>
      </c>
      <c r="O12" s="49">
        <v>0</v>
      </c>
      <c r="P12" s="4">
        <v>0</v>
      </c>
      <c r="Q12" s="49">
        <v>0</v>
      </c>
      <c r="R12" s="4">
        <v>0</v>
      </c>
      <c r="S12" s="49">
        <v>0</v>
      </c>
      <c r="T12" s="4">
        <v>0</v>
      </c>
      <c r="U12" s="49">
        <v>1</v>
      </c>
      <c r="V12" s="4">
        <v>0</v>
      </c>
      <c r="W12" s="49">
        <v>0</v>
      </c>
      <c r="X12" s="4">
        <v>0</v>
      </c>
      <c r="Y12" s="49">
        <v>0</v>
      </c>
      <c r="Z12" s="4">
        <v>0</v>
      </c>
      <c r="AA12" s="49">
        <v>0</v>
      </c>
    </row>
    <row r="13" spans="1:27" ht="15" x14ac:dyDescent="0.25">
      <c r="A13" s="5">
        <v>0.33333333333333331</v>
      </c>
      <c r="B13" s="4">
        <v>0</v>
      </c>
      <c r="C13" s="49">
        <v>0</v>
      </c>
      <c r="D13" s="4">
        <v>0</v>
      </c>
      <c r="E13" s="49">
        <v>0</v>
      </c>
      <c r="F13" s="4">
        <v>0</v>
      </c>
      <c r="G13" s="49">
        <v>0</v>
      </c>
      <c r="H13" s="4">
        <v>0</v>
      </c>
      <c r="I13" s="49">
        <v>0</v>
      </c>
      <c r="J13" s="4">
        <v>0</v>
      </c>
      <c r="K13" s="49">
        <v>0</v>
      </c>
      <c r="L13" s="4">
        <v>0</v>
      </c>
      <c r="M13" s="49">
        <v>0</v>
      </c>
      <c r="N13" s="4">
        <v>0</v>
      </c>
      <c r="O13" s="49">
        <v>0</v>
      </c>
      <c r="P13" s="4">
        <v>0</v>
      </c>
      <c r="Q13" s="49">
        <v>0</v>
      </c>
      <c r="R13" s="4">
        <v>0</v>
      </c>
      <c r="S13" s="49">
        <v>1</v>
      </c>
      <c r="T13" s="4">
        <v>0</v>
      </c>
      <c r="U13" s="49">
        <v>1</v>
      </c>
      <c r="V13" s="4">
        <v>0</v>
      </c>
      <c r="W13" s="49">
        <v>0</v>
      </c>
      <c r="X13" s="4">
        <v>0</v>
      </c>
      <c r="Y13" s="49">
        <v>0</v>
      </c>
      <c r="Z13" s="4">
        <v>0</v>
      </c>
      <c r="AA13" s="49">
        <v>0</v>
      </c>
    </row>
    <row r="14" spans="1:27" ht="15" x14ac:dyDescent="0.25">
      <c r="A14" s="5">
        <v>0.25</v>
      </c>
      <c r="B14" s="4">
        <v>0</v>
      </c>
      <c r="C14" s="49">
        <v>0</v>
      </c>
      <c r="D14" s="4">
        <v>0</v>
      </c>
      <c r="E14" s="49">
        <v>1</v>
      </c>
      <c r="F14" s="4">
        <v>0</v>
      </c>
      <c r="G14" s="49">
        <v>1</v>
      </c>
      <c r="H14" s="4">
        <v>1</v>
      </c>
      <c r="I14" s="49">
        <v>0</v>
      </c>
      <c r="J14" s="4">
        <v>1</v>
      </c>
      <c r="K14" s="49">
        <v>0</v>
      </c>
      <c r="L14" s="4">
        <v>0</v>
      </c>
      <c r="M14" s="49">
        <v>1</v>
      </c>
      <c r="N14" s="4">
        <v>0</v>
      </c>
      <c r="O14" s="49">
        <v>0</v>
      </c>
      <c r="P14" s="4">
        <v>0</v>
      </c>
      <c r="Q14" s="49">
        <v>0</v>
      </c>
      <c r="R14" s="4">
        <v>0</v>
      </c>
      <c r="S14" s="49">
        <v>0</v>
      </c>
      <c r="T14" s="4">
        <v>0</v>
      </c>
      <c r="U14" s="49">
        <v>1</v>
      </c>
      <c r="V14" s="4">
        <v>0</v>
      </c>
      <c r="W14" s="49">
        <v>0</v>
      </c>
      <c r="X14" s="4">
        <v>1</v>
      </c>
      <c r="Y14" s="49">
        <v>0</v>
      </c>
      <c r="Z14" s="4">
        <v>1</v>
      </c>
      <c r="AA14" s="49">
        <v>0</v>
      </c>
    </row>
    <row r="15" spans="1:27" ht="15" x14ac:dyDescent="0.25">
      <c r="A15" s="5">
        <v>0.2</v>
      </c>
      <c r="B15" s="4">
        <v>0</v>
      </c>
      <c r="C15" s="49">
        <v>0</v>
      </c>
      <c r="D15" s="4">
        <v>0</v>
      </c>
      <c r="E15" s="49">
        <v>2</v>
      </c>
      <c r="F15" s="4">
        <v>0</v>
      </c>
      <c r="G15" s="49">
        <v>1</v>
      </c>
      <c r="H15" s="4">
        <v>1</v>
      </c>
      <c r="I15" s="49">
        <v>0</v>
      </c>
      <c r="J15" s="4">
        <v>1</v>
      </c>
      <c r="K15" s="49">
        <v>0</v>
      </c>
      <c r="L15" s="4">
        <v>0</v>
      </c>
      <c r="M15" s="49">
        <v>2</v>
      </c>
      <c r="N15" s="4">
        <v>1</v>
      </c>
      <c r="O15" s="49">
        <v>1</v>
      </c>
      <c r="P15" s="4">
        <v>0</v>
      </c>
      <c r="Q15" s="49">
        <v>1</v>
      </c>
      <c r="R15" s="4">
        <v>0</v>
      </c>
      <c r="S15" s="49">
        <v>1</v>
      </c>
      <c r="T15" s="4">
        <v>0</v>
      </c>
      <c r="U15" s="49">
        <v>0</v>
      </c>
      <c r="V15" s="4">
        <v>0</v>
      </c>
      <c r="W15" s="49">
        <v>0</v>
      </c>
      <c r="X15" s="4">
        <v>1</v>
      </c>
      <c r="Y15" s="49">
        <v>0</v>
      </c>
      <c r="Z15" s="4">
        <v>0</v>
      </c>
      <c r="AA15" s="49">
        <v>0</v>
      </c>
    </row>
    <row r="16" spans="1:27" ht="15" x14ac:dyDescent="0.25">
      <c r="A16" s="5">
        <v>0.16666666666666666</v>
      </c>
      <c r="B16" s="4">
        <v>0</v>
      </c>
      <c r="C16" s="49">
        <v>2</v>
      </c>
      <c r="D16" s="4">
        <v>0</v>
      </c>
      <c r="E16" s="49">
        <v>1</v>
      </c>
      <c r="F16" s="4">
        <v>0</v>
      </c>
      <c r="G16" s="49">
        <v>0</v>
      </c>
      <c r="H16" s="4">
        <v>0</v>
      </c>
      <c r="I16" s="49">
        <v>0</v>
      </c>
      <c r="J16" s="4">
        <v>0</v>
      </c>
      <c r="K16" s="49">
        <v>0</v>
      </c>
      <c r="L16" s="4">
        <v>1</v>
      </c>
      <c r="M16" s="49">
        <v>0</v>
      </c>
      <c r="N16" s="4">
        <v>0</v>
      </c>
      <c r="O16" s="49">
        <v>3</v>
      </c>
      <c r="P16" s="4">
        <v>0</v>
      </c>
      <c r="Q16" s="49">
        <v>4</v>
      </c>
      <c r="R16" s="4">
        <v>0</v>
      </c>
      <c r="S16" s="49">
        <v>1</v>
      </c>
      <c r="T16" s="4">
        <v>2</v>
      </c>
      <c r="U16" s="49">
        <v>1</v>
      </c>
      <c r="V16" s="4">
        <v>1</v>
      </c>
      <c r="W16" s="49">
        <v>2</v>
      </c>
      <c r="X16" s="4">
        <v>0</v>
      </c>
      <c r="Y16" s="49">
        <v>0</v>
      </c>
      <c r="Z16" s="4">
        <v>3</v>
      </c>
      <c r="AA16" s="49">
        <v>1</v>
      </c>
    </row>
    <row r="17" spans="1:33" ht="15" x14ac:dyDescent="0.25">
      <c r="A17" s="5">
        <v>0.14285714285714285</v>
      </c>
      <c r="B17" s="4">
        <v>0</v>
      </c>
      <c r="C17" s="49">
        <v>3</v>
      </c>
      <c r="D17" s="4">
        <v>1</v>
      </c>
      <c r="E17" s="49">
        <v>1</v>
      </c>
      <c r="F17" s="4">
        <v>0</v>
      </c>
      <c r="G17" s="49">
        <v>1</v>
      </c>
      <c r="H17" s="4">
        <v>0</v>
      </c>
      <c r="I17" s="49">
        <v>0</v>
      </c>
      <c r="J17" s="4">
        <v>2</v>
      </c>
      <c r="K17" s="49">
        <v>1</v>
      </c>
      <c r="L17" s="4">
        <v>3</v>
      </c>
      <c r="M17" s="49">
        <v>0</v>
      </c>
      <c r="N17" s="4">
        <v>0</v>
      </c>
      <c r="O17" s="49">
        <v>3</v>
      </c>
      <c r="P17" s="4">
        <v>0</v>
      </c>
      <c r="Q17" s="49">
        <v>2</v>
      </c>
      <c r="R17" s="4">
        <v>3</v>
      </c>
      <c r="S17" s="49">
        <v>2</v>
      </c>
      <c r="T17" s="4">
        <v>3</v>
      </c>
      <c r="U17" s="49">
        <v>0</v>
      </c>
      <c r="V17" s="4">
        <v>0</v>
      </c>
      <c r="W17" s="49">
        <v>3</v>
      </c>
      <c r="X17" s="4">
        <v>1</v>
      </c>
      <c r="Y17" s="49">
        <v>1</v>
      </c>
      <c r="Z17" s="4">
        <v>2</v>
      </c>
      <c r="AA17" s="49">
        <v>0</v>
      </c>
    </row>
    <row r="18" spans="1:33" ht="15" x14ac:dyDescent="0.25">
      <c r="A18" s="5">
        <v>0.125</v>
      </c>
      <c r="B18" s="4">
        <v>0</v>
      </c>
      <c r="C18" s="49">
        <v>0</v>
      </c>
      <c r="D18" s="4">
        <v>0</v>
      </c>
      <c r="E18" s="49">
        <v>2</v>
      </c>
      <c r="F18" s="4">
        <v>0</v>
      </c>
      <c r="G18" s="49">
        <v>3</v>
      </c>
      <c r="H18" s="4">
        <v>1</v>
      </c>
      <c r="I18" s="49">
        <v>1</v>
      </c>
      <c r="J18" s="4">
        <v>1</v>
      </c>
      <c r="K18" s="49">
        <v>1</v>
      </c>
      <c r="L18" s="4">
        <v>0</v>
      </c>
      <c r="M18" s="49">
        <v>1</v>
      </c>
      <c r="N18" s="4">
        <v>0</v>
      </c>
      <c r="O18" s="49">
        <v>1</v>
      </c>
      <c r="P18" s="4">
        <v>0</v>
      </c>
      <c r="Q18" s="49">
        <v>1</v>
      </c>
      <c r="R18" s="4">
        <v>0</v>
      </c>
      <c r="S18" s="49">
        <v>1</v>
      </c>
      <c r="T18" s="4">
        <v>0</v>
      </c>
      <c r="U18" s="49">
        <v>1</v>
      </c>
      <c r="V18" s="4">
        <v>1</v>
      </c>
      <c r="W18" s="49">
        <v>0</v>
      </c>
      <c r="X18" s="4">
        <v>0</v>
      </c>
      <c r="Y18" s="49">
        <v>0</v>
      </c>
      <c r="Z18" s="4">
        <v>1</v>
      </c>
      <c r="AA18" s="49">
        <v>0</v>
      </c>
    </row>
    <row r="19" spans="1:33" ht="15.75" thickBot="1" x14ac:dyDescent="0.3">
      <c r="A19" s="6">
        <v>0.1111111111111111</v>
      </c>
      <c r="B19" s="7">
        <v>0</v>
      </c>
      <c r="C19" s="50">
        <v>1</v>
      </c>
      <c r="D19" s="7">
        <v>0</v>
      </c>
      <c r="E19" s="50">
        <v>0</v>
      </c>
      <c r="F19" s="7">
        <v>0</v>
      </c>
      <c r="G19" s="50">
        <v>0</v>
      </c>
      <c r="H19" s="7">
        <v>1</v>
      </c>
      <c r="I19" s="50">
        <v>0</v>
      </c>
      <c r="J19" s="7">
        <v>0</v>
      </c>
      <c r="K19" s="50">
        <v>0</v>
      </c>
      <c r="L19" s="7">
        <v>0</v>
      </c>
      <c r="M19" s="50">
        <v>0</v>
      </c>
      <c r="N19" s="7">
        <v>0</v>
      </c>
      <c r="O19" s="50">
        <v>2</v>
      </c>
      <c r="P19" s="7">
        <v>0</v>
      </c>
      <c r="Q19" s="50">
        <v>2</v>
      </c>
      <c r="R19" s="7">
        <v>0</v>
      </c>
      <c r="S19" s="50">
        <v>0</v>
      </c>
      <c r="T19" s="7">
        <v>2</v>
      </c>
      <c r="U19" s="50">
        <v>3</v>
      </c>
      <c r="V19" s="7">
        <v>0</v>
      </c>
      <c r="W19" s="50">
        <v>1</v>
      </c>
      <c r="X19" s="7">
        <v>2</v>
      </c>
      <c r="Y19" s="50">
        <v>0</v>
      </c>
      <c r="Z19" s="7">
        <v>2</v>
      </c>
      <c r="AA19" s="50">
        <v>0</v>
      </c>
    </row>
    <row r="20" spans="1:33" x14ac:dyDescent="0.35">
      <c r="A20" s="8" t="s">
        <v>58</v>
      </c>
      <c r="B20" s="9">
        <f>SUM(B3:B19)</f>
        <v>13</v>
      </c>
      <c r="C20" s="51">
        <f t="shared" ref="C20:AA20" si="0">SUM(C3:C19)</f>
        <v>13</v>
      </c>
      <c r="D20" s="9">
        <f t="shared" si="0"/>
        <v>13</v>
      </c>
      <c r="E20" s="51">
        <f t="shared" si="0"/>
        <v>13</v>
      </c>
      <c r="F20" s="9">
        <f t="shared" si="0"/>
        <v>13</v>
      </c>
      <c r="G20" s="51">
        <f t="shared" si="0"/>
        <v>13</v>
      </c>
      <c r="H20" s="9">
        <f t="shared" si="0"/>
        <v>13</v>
      </c>
      <c r="I20" s="51">
        <f t="shared" si="0"/>
        <v>13</v>
      </c>
      <c r="J20" s="9">
        <f t="shared" si="0"/>
        <v>13</v>
      </c>
      <c r="K20" s="51">
        <f t="shared" si="0"/>
        <v>13</v>
      </c>
      <c r="L20" s="9">
        <f t="shared" si="0"/>
        <v>13</v>
      </c>
      <c r="M20" s="51">
        <f t="shared" si="0"/>
        <v>13</v>
      </c>
      <c r="N20" s="9">
        <f t="shared" si="0"/>
        <v>25</v>
      </c>
      <c r="O20" s="51">
        <f t="shared" si="0"/>
        <v>25</v>
      </c>
      <c r="P20" s="9">
        <f t="shared" si="0"/>
        <v>25</v>
      </c>
      <c r="Q20" s="51">
        <f t="shared" si="0"/>
        <v>25</v>
      </c>
      <c r="R20" s="9">
        <f t="shared" si="0"/>
        <v>25</v>
      </c>
      <c r="S20" s="51">
        <f t="shared" si="0"/>
        <v>25</v>
      </c>
      <c r="T20" s="9">
        <f t="shared" si="0"/>
        <v>25</v>
      </c>
      <c r="U20" s="51">
        <f t="shared" si="0"/>
        <v>25</v>
      </c>
      <c r="V20" s="9">
        <f t="shared" si="0"/>
        <v>25</v>
      </c>
      <c r="W20" s="51">
        <f t="shared" si="0"/>
        <v>25</v>
      </c>
      <c r="X20" s="9">
        <f t="shared" si="0"/>
        <v>25</v>
      </c>
      <c r="Y20" s="51">
        <f t="shared" si="0"/>
        <v>25</v>
      </c>
      <c r="Z20" s="9">
        <f t="shared" si="0"/>
        <v>25</v>
      </c>
      <c r="AA20" s="51">
        <f t="shared" si="0"/>
        <v>25</v>
      </c>
      <c r="AB20" s="179" t="s">
        <v>347</v>
      </c>
      <c r="AC20" s="180"/>
    </row>
    <row r="21" spans="1:33" x14ac:dyDescent="0.35">
      <c r="A21" s="10" t="s">
        <v>417</v>
      </c>
      <c r="B21" s="20">
        <v>2.444226630583112</v>
      </c>
      <c r="C21" s="52">
        <v>0.4091273646590754</v>
      </c>
      <c r="D21" s="20">
        <v>2.2523758563761609</v>
      </c>
      <c r="E21" s="52">
        <v>0.44397563451461264</v>
      </c>
      <c r="F21" s="20">
        <v>2.3631547035825333</v>
      </c>
      <c r="G21" s="52">
        <v>0.42316315494876572</v>
      </c>
      <c r="H21" s="20">
        <v>0.67068331089596889</v>
      </c>
      <c r="I21" s="52">
        <v>1.4910166747165594</v>
      </c>
      <c r="J21" s="20">
        <v>0.68377501548226971</v>
      </c>
      <c r="K21" s="52">
        <v>1.4624693464336296</v>
      </c>
      <c r="L21" s="20">
        <v>0.92989561823194866</v>
      </c>
      <c r="M21" s="52">
        <v>1.07538951726791</v>
      </c>
      <c r="N21" s="20">
        <v>2.0288639016884695</v>
      </c>
      <c r="O21" s="52">
        <v>0.49288668361035737</v>
      </c>
      <c r="P21" s="20">
        <v>2.1504722546660764</v>
      </c>
      <c r="Q21" s="52">
        <v>0.46501413716461976</v>
      </c>
      <c r="R21" s="20">
        <v>1.2036199519349746</v>
      </c>
      <c r="S21" s="52">
        <v>0.83082703837899219</v>
      </c>
      <c r="T21" s="20">
        <v>0.99303358010974785</v>
      </c>
      <c r="U21" s="52">
        <v>1.0070152913554868</v>
      </c>
      <c r="V21" s="20">
        <v>1.3632763972170101</v>
      </c>
      <c r="W21" s="52">
        <v>0.73352696638876613</v>
      </c>
      <c r="X21" s="20">
        <v>0.74407960260101758</v>
      </c>
      <c r="Y21" s="52">
        <v>1.3439422294394074</v>
      </c>
      <c r="Z21" s="20">
        <v>0.54149525690289146</v>
      </c>
      <c r="AA21" s="52">
        <v>1.8467382442452935</v>
      </c>
    </row>
    <row r="22" spans="1:33" x14ac:dyDescent="0.35">
      <c r="A22" s="59" t="s">
        <v>419</v>
      </c>
      <c r="B22" s="64">
        <v>0.58565962498338708</v>
      </c>
      <c r="C22" s="52">
        <v>0.58565962498338708</v>
      </c>
      <c r="D22" s="20">
        <v>0.77875250988943856</v>
      </c>
      <c r="E22" s="52">
        <v>0.77875250988943856</v>
      </c>
      <c r="F22" s="20">
        <v>0.58565962498338708</v>
      </c>
      <c r="G22" s="52">
        <v>0.58565962498338708</v>
      </c>
      <c r="H22" s="20">
        <v>0.1851427426196631</v>
      </c>
      <c r="I22" s="52">
        <v>0.1851427426196631</v>
      </c>
      <c r="J22" s="20">
        <v>0.36843012946407916</v>
      </c>
      <c r="K22" s="52">
        <v>0.36843012946407916</v>
      </c>
      <c r="L22" s="20">
        <v>0.1851427426196631</v>
      </c>
      <c r="M22" s="52">
        <v>0.1851427426196631</v>
      </c>
      <c r="N22" s="20">
        <v>0.30769098973565673</v>
      </c>
      <c r="O22" s="52">
        <v>0.30769098973565673</v>
      </c>
      <c r="P22" s="20">
        <v>0.30769098973565673</v>
      </c>
      <c r="Q22" s="52">
        <v>0.30769098973565673</v>
      </c>
      <c r="R22" s="20">
        <v>1.5751542139614064E-2</v>
      </c>
      <c r="S22" s="52">
        <v>1.5751542139614064E-2</v>
      </c>
      <c r="T22" s="20">
        <v>4.1972355940653308E-2</v>
      </c>
      <c r="U22" s="52">
        <v>4.1972355940653308E-2</v>
      </c>
      <c r="V22" s="20">
        <v>1.5751542139614064E-2</v>
      </c>
      <c r="W22" s="52">
        <v>1.5751542139614064E-2</v>
      </c>
      <c r="X22" s="20">
        <v>4.883704840499113E-3</v>
      </c>
      <c r="Y22" s="52">
        <v>4.883704840499113E-3</v>
      </c>
      <c r="Z22" s="20">
        <v>0.18246412371412282</v>
      </c>
      <c r="AA22" s="52">
        <v>0.18246412371412282</v>
      </c>
      <c r="AC22" s="58">
        <f>AVERAGEIF(B22:AA22,"&lt;65534")</f>
        <v>0.27423020175426432</v>
      </c>
      <c r="AE22" s="62" t="s">
        <v>425</v>
      </c>
      <c r="AF22" s="62"/>
    </row>
    <row r="23" spans="1:33" x14ac:dyDescent="0.35">
      <c r="A23" s="59" t="s">
        <v>420</v>
      </c>
      <c r="B23" s="64">
        <v>0.36843012946407916</v>
      </c>
      <c r="C23" s="52">
        <v>0.36843012946407916</v>
      </c>
      <c r="D23" s="20">
        <v>0.58565962498338708</v>
      </c>
      <c r="E23" s="52">
        <v>0.58565962498338708</v>
      </c>
      <c r="F23" s="20">
        <v>0.36843012946407916</v>
      </c>
      <c r="G23" s="52">
        <v>0.36843012946407916</v>
      </c>
      <c r="H23" s="20">
        <v>7.0588125841903104E-2</v>
      </c>
      <c r="I23" s="52">
        <v>7.0588125841903104E-2</v>
      </c>
      <c r="J23" s="20">
        <v>0.18514274261966313</v>
      </c>
      <c r="K23" s="52">
        <v>0.18514274261966313</v>
      </c>
      <c r="L23" s="20">
        <v>7.0588125841903104E-2</v>
      </c>
      <c r="M23" s="52">
        <v>7.0588125841903104E-2</v>
      </c>
      <c r="N23" s="20">
        <v>0.18246412371412279</v>
      </c>
      <c r="O23" s="52">
        <v>0.18246412371412279</v>
      </c>
      <c r="P23" s="20">
        <v>0.18246412371412279</v>
      </c>
      <c r="Q23" s="52">
        <v>0.18246412371412279</v>
      </c>
      <c r="R23" s="20">
        <v>4.883704840499159E-3</v>
      </c>
      <c r="S23" s="52">
        <v>4.883704840499159E-3</v>
      </c>
      <c r="T23" s="20">
        <v>1.575154213961405E-2</v>
      </c>
      <c r="U23" s="52">
        <v>1.575154213961405E-2</v>
      </c>
      <c r="V23" s="20">
        <v>4.883704840499159E-3</v>
      </c>
      <c r="W23" s="52">
        <v>4.883704840499159E-3</v>
      </c>
      <c r="X23" s="20">
        <v>1.215809752047825E-3</v>
      </c>
      <c r="Y23" s="52">
        <v>1.215809752047825E-3</v>
      </c>
      <c r="Z23" s="20">
        <v>9.4413983542731783E-2</v>
      </c>
      <c r="AA23" s="52">
        <v>9.4413983542731783E-2</v>
      </c>
      <c r="AC23" s="58">
        <f>AVERAGEIF(B23:AA23,"&lt;65535")</f>
        <v>0.16422429775066555</v>
      </c>
    </row>
    <row r="24" spans="1:33" x14ac:dyDescent="0.35">
      <c r="A24" s="60" t="s">
        <v>421</v>
      </c>
      <c r="B24" s="65">
        <v>0.47393889063912681</v>
      </c>
      <c r="C24" s="52">
        <v>0.47393889063912681</v>
      </c>
      <c r="D24" s="20">
        <v>0.68803576839573777</v>
      </c>
      <c r="E24" s="52">
        <v>0.68803576839573777</v>
      </c>
      <c r="F24" s="20">
        <v>0.47393889063912681</v>
      </c>
      <c r="G24" s="52">
        <v>0.47393889063912681</v>
      </c>
      <c r="H24" s="20">
        <v>0.11965827061074769</v>
      </c>
      <c r="I24" s="52">
        <v>0.11965827061074769</v>
      </c>
      <c r="J24" s="20">
        <v>0.26728848561523616</v>
      </c>
      <c r="K24" s="52">
        <v>0.26728848561523616</v>
      </c>
      <c r="L24" s="20">
        <v>0.11965827061074769</v>
      </c>
      <c r="M24" s="52">
        <v>0.11965827061074769</v>
      </c>
      <c r="N24" s="20">
        <v>0.23975006109347685</v>
      </c>
      <c r="O24" s="52">
        <v>0.23975006109347685</v>
      </c>
      <c r="P24" s="20">
        <v>0.23975006109347685</v>
      </c>
      <c r="Q24" s="52">
        <v>0.23975006109347685</v>
      </c>
      <c r="R24" s="20">
        <v>1.0447339726775917E-2</v>
      </c>
      <c r="S24" s="52">
        <v>1.0447339726775917E-2</v>
      </c>
      <c r="T24" s="20">
        <v>2.8118901938637975E-2</v>
      </c>
      <c r="U24" s="52">
        <v>2.8118901938637975E-2</v>
      </c>
      <c r="V24" s="20">
        <v>1.0447339726775917E-2</v>
      </c>
      <c r="W24" s="52">
        <v>1.0447339726775917E-2</v>
      </c>
      <c r="X24" s="20">
        <v>3.358322751310483E-3</v>
      </c>
      <c r="Y24" s="52">
        <v>3.358322751310483E-3</v>
      </c>
      <c r="Z24" s="20">
        <v>0.13397396530692202</v>
      </c>
      <c r="AA24" s="52">
        <v>0.13397396530692202</v>
      </c>
      <c r="AC24" s="58">
        <f t="shared" ref="AC24:AC27" si="1">AVERAGE(B24:AA24)</f>
        <v>0.21602804370369982</v>
      </c>
    </row>
    <row r="25" spans="1:33" x14ac:dyDescent="0.35">
      <c r="A25" s="60" t="s">
        <v>422</v>
      </c>
      <c r="B25" s="65">
        <v>0.31196423160426223</v>
      </c>
      <c r="C25" s="52">
        <v>0.31196423160426223</v>
      </c>
      <c r="D25" s="20">
        <v>0.52606110936087314</v>
      </c>
      <c r="E25" s="52">
        <v>0.52606110936087314</v>
      </c>
      <c r="F25" s="20">
        <v>0.31196423160426223</v>
      </c>
      <c r="G25" s="52">
        <v>0.31196423160426223</v>
      </c>
      <c r="H25" s="20">
        <v>5.4620374410363493E-2</v>
      </c>
      <c r="I25" s="52">
        <v>5.4620374410363493E-2</v>
      </c>
      <c r="J25" s="20">
        <v>0.14779143078017959</v>
      </c>
      <c r="K25" s="52">
        <v>0.14779143078017959</v>
      </c>
      <c r="L25" s="20">
        <v>5.4620374410363493E-2</v>
      </c>
      <c r="M25" s="52">
        <v>5.4620374410363493E-2</v>
      </c>
      <c r="N25" s="20">
        <v>9.742532430443468E-2</v>
      </c>
      <c r="O25" s="52">
        <v>9.742532430443468E-2</v>
      </c>
      <c r="P25" s="20">
        <v>9.742532430443468E-2</v>
      </c>
      <c r="Q25" s="52">
        <v>9.742532430443468E-2</v>
      </c>
      <c r="R25" s="20">
        <v>1.87095197777154E-3</v>
      </c>
      <c r="S25" s="52">
        <v>1.87095197777154E-3</v>
      </c>
      <c r="T25" s="20">
        <v>6.2369931676350965E-3</v>
      </c>
      <c r="U25" s="52">
        <v>6.2369931676350965E-3</v>
      </c>
      <c r="V25" s="20">
        <v>1.87095197777154E-3</v>
      </c>
      <c r="W25" s="52">
        <v>1.87095197777154E-3</v>
      </c>
      <c r="X25" s="20">
        <v>4.8371422512388795E-4</v>
      </c>
      <c r="Y25" s="52">
        <v>4.8371422512388795E-4</v>
      </c>
      <c r="Z25" s="20">
        <v>4.4843010885182277E-2</v>
      </c>
      <c r="AA25" s="52">
        <v>4.4843010885182277E-2</v>
      </c>
      <c r="AC25" s="58">
        <f t="shared" si="1"/>
        <v>0.12747523253943524</v>
      </c>
    </row>
    <row r="26" spans="1:33" x14ac:dyDescent="0.35">
      <c r="A26" s="61" t="s">
        <v>423</v>
      </c>
      <c r="B26" s="66">
        <f>(B22-B24)*100/B22</f>
        <v>19.076051955507324</v>
      </c>
      <c r="C26" s="66">
        <f t="shared" ref="C26:AA27" si="2">(C22-C24)*100/C22</f>
        <v>19.076051955507324</v>
      </c>
      <c r="D26" s="66">
        <f t="shared" si="2"/>
        <v>11.648982230128551</v>
      </c>
      <c r="E26" s="66">
        <f t="shared" si="2"/>
        <v>11.648982230128551</v>
      </c>
      <c r="F26" s="66">
        <f t="shared" si="2"/>
        <v>19.076051955507324</v>
      </c>
      <c r="G26" s="66">
        <f t="shared" si="2"/>
        <v>19.076051955507324</v>
      </c>
      <c r="H26" s="66">
        <f t="shared" si="2"/>
        <v>35.369721266060921</v>
      </c>
      <c r="I26" s="66">
        <f t="shared" si="2"/>
        <v>35.369721266060921</v>
      </c>
      <c r="J26" s="66">
        <f t="shared" si="2"/>
        <v>27.4520555623299</v>
      </c>
      <c r="K26" s="66">
        <f t="shared" si="2"/>
        <v>27.4520555623299</v>
      </c>
      <c r="L26" s="66">
        <f t="shared" si="2"/>
        <v>35.369721266060921</v>
      </c>
      <c r="M26" s="66">
        <f t="shared" si="2"/>
        <v>35.369721266060921</v>
      </c>
      <c r="N26" s="66">
        <f>(N22-N24)*100/N22</f>
        <v>22.080896389117289</v>
      </c>
      <c r="O26" s="66">
        <f t="shared" si="2"/>
        <v>22.080896389117289</v>
      </c>
      <c r="P26" s="66">
        <f t="shared" si="2"/>
        <v>22.080896389117289</v>
      </c>
      <c r="Q26" s="66">
        <f t="shared" si="2"/>
        <v>22.080896389117289</v>
      </c>
      <c r="R26" s="66">
        <f t="shared" si="2"/>
        <v>33.674178476140668</v>
      </c>
      <c r="S26" s="66">
        <f t="shared" si="2"/>
        <v>33.674178476140668</v>
      </c>
      <c r="T26" s="66">
        <f t="shared" si="2"/>
        <v>33.006138663274903</v>
      </c>
      <c r="U26" s="66">
        <f t="shared" si="2"/>
        <v>33.006138663274903</v>
      </c>
      <c r="V26" s="66">
        <f t="shared" si="2"/>
        <v>33.674178476140668</v>
      </c>
      <c r="W26" s="66">
        <f t="shared" si="2"/>
        <v>33.674178476140668</v>
      </c>
      <c r="X26" s="66">
        <f t="shared" si="2"/>
        <v>31.234117110008157</v>
      </c>
      <c r="Y26" s="66">
        <f t="shared" si="2"/>
        <v>31.234117110008157</v>
      </c>
      <c r="Z26" s="66">
        <f t="shared" si="2"/>
        <v>26.575174023345632</v>
      </c>
      <c r="AA26" s="66">
        <f t="shared" si="2"/>
        <v>26.575174023345632</v>
      </c>
      <c r="AC26" s="58">
        <f t="shared" si="1"/>
        <v>26.947551058672278</v>
      </c>
    </row>
    <row r="27" spans="1:33" x14ac:dyDescent="0.35">
      <c r="A27" s="61" t="s">
        <v>424</v>
      </c>
      <c r="B27" s="66">
        <f>(B23-B25)*100/B23</f>
        <v>15.326080400089044</v>
      </c>
      <c r="C27" s="66">
        <f t="shared" si="2"/>
        <v>15.326080400089044</v>
      </c>
      <c r="D27" s="66">
        <f t="shared" si="2"/>
        <v>10.176306011227004</v>
      </c>
      <c r="E27" s="66">
        <f t="shared" si="2"/>
        <v>10.176306011227004</v>
      </c>
      <c r="F27" s="66">
        <f t="shared" si="2"/>
        <v>15.326080400089044</v>
      </c>
      <c r="G27" s="66">
        <f t="shared" si="2"/>
        <v>15.326080400089044</v>
      </c>
      <c r="H27" s="66">
        <f t="shared" si="2"/>
        <v>22.621016270219069</v>
      </c>
      <c r="I27" s="66">
        <f t="shared" si="2"/>
        <v>22.621016270219069</v>
      </c>
      <c r="J27" s="66">
        <f t="shared" si="2"/>
        <v>20.174332145556448</v>
      </c>
      <c r="K27" s="66">
        <f t="shared" si="2"/>
        <v>20.174332145556448</v>
      </c>
      <c r="L27" s="66">
        <f t="shared" si="2"/>
        <v>22.621016270219069</v>
      </c>
      <c r="M27" s="66">
        <f t="shared" si="2"/>
        <v>22.621016270219069</v>
      </c>
      <c r="N27" s="66">
        <f t="shared" si="2"/>
        <v>46.605764288723066</v>
      </c>
      <c r="O27" s="66">
        <f t="shared" si="2"/>
        <v>46.605764288723066</v>
      </c>
      <c r="P27" s="66">
        <f t="shared" si="2"/>
        <v>46.605764288723066</v>
      </c>
      <c r="Q27" s="66">
        <f t="shared" si="2"/>
        <v>46.605764288723066</v>
      </c>
      <c r="R27" s="66">
        <f t="shared" si="2"/>
        <v>61.689904716266355</v>
      </c>
      <c r="S27" s="66">
        <f t="shared" si="2"/>
        <v>61.689904716266355</v>
      </c>
      <c r="T27" s="66">
        <f t="shared" si="2"/>
        <v>60.403920375837451</v>
      </c>
      <c r="U27" s="66">
        <f t="shared" si="2"/>
        <v>60.403920375837451</v>
      </c>
      <c r="V27" s="66">
        <f t="shared" si="2"/>
        <v>61.689904716266355</v>
      </c>
      <c r="W27" s="66">
        <f t="shared" si="2"/>
        <v>61.689904716266355</v>
      </c>
      <c r="X27" s="66">
        <f t="shared" si="2"/>
        <v>60.214645070155633</v>
      </c>
      <c r="Y27" s="66">
        <f t="shared" si="2"/>
        <v>60.214645070155633</v>
      </c>
      <c r="Z27" s="66">
        <f t="shared" si="2"/>
        <v>52.503846143843383</v>
      </c>
      <c r="AA27" s="66">
        <f t="shared" si="2"/>
        <v>52.503846143843383</v>
      </c>
      <c r="AC27" s="58">
        <f t="shared" si="1"/>
        <v>38.150660084401153</v>
      </c>
    </row>
    <row r="28" spans="1:33" x14ac:dyDescent="0.35">
      <c r="A28" s="43" t="s">
        <v>415</v>
      </c>
      <c r="B28" s="44"/>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7"/>
      <c r="AC28" s="47"/>
      <c r="AD28" s="47"/>
      <c r="AE28" s="47"/>
      <c r="AF28" s="47"/>
      <c r="AG28" s="47"/>
    </row>
    <row r="29" spans="1:33" x14ac:dyDescent="0.35">
      <c r="A29" s="45" t="s">
        <v>361</v>
      </c>
      <c r="B29" s="53">
        <f>VLOOKUP($A$29,'Sociodem statistics'!$B$2:$J$5,9,FALSE)</f>
        <v>1</v>
      </c>
      <c r="C29" s="53">
        <f>VLOOKUP($A$29,'Sociodem statistics'!$B$2:$J$5,9,FALSE)</f>
        <v>1</v>
      </c>
      <c r="D29" s="53">
        <f>VLOOKUP($A$29,'Sociodem statistics'!$B$2:$J$5,9,FALSE)</f>
        <v>1</v>
      </c>
      <c r="E29" s="53">
        <f>VLOOKUP($A$29,'Sociodem statistics'!$B$2:$J$5,9,FALSE)</f>
        <v>1</v>
      </c>
      <c r="F29" s="53">
        <f>VLOOKUP($A$29,'Sociodem statistics'!$B$2:$J$5,9,FALSE)</f>
        <v>1</v>
      </c>
      <c r="G29" s="53">
        <f>VLOOKUP($A$29,'Sociodem statistics'!$B$2:$J$5,9,FALSE)</f>
        <v>1</v>
      </c>
      <c r="H29" s="53">
        <f>VLOOKUP($A$29,'Sociodem statistics'!$B$2:$J$5,9,FALSE)</f>
        <v>1</v>
      </c>
      <c r="I29" s="53">
        <f>VLOOKUP($A$29,'Sociodem statistics'!$B$2:$J$5,9,FALSE)</f>
        <v>1</v>
      </c>
      <c r="J29" s="53">
        <f>VLOOKUP($A$29,'Sociodem statistics'!$B$2:$J$5,9,FALSE)</f>
        <v>1</v>
      </c>
      <c r="K29" s="53">
        <f>VLOOKUP($A$29,'Sociodem statistics'!$B$2:$J$5,9,FALSE)</f>
        <v>1</v>
      </c>
      <c r="L29" s="53">
        <f>VLOOKUP($A$29,'Sociodem statistics'!$B$2:$J$5,9,FALSE)</f>
        <v>1</v>
      </c>
      <c r="M29" s="53">
        <f>VLOOKUP($A$29,'Sociodem statistics'!$B$2:$J$5,9,FALSE)</f>
        <v>1</v>
      </c>
      <c r="N29" s="53">
        <f>VLOOKUP($A$29,'Sociodem statistics'!$B$2:$J$5,9,FALSE)</f>
        <v>1</v>
      </c>
      <c r="O29" s="53">
        <f>VLOOKUP($A$29,'Sociodem statistics'!$B$2:$J$5,9,FALSE)</f>
        <v>1</v>
      </c>
      <c r="P29" s="53">
        <f>VLOOKUP($A$29,'Sociodem statistics'!$B$2:$J$5,9,FALSE)</f>
        <v>1</v>
      </c>
      <c r="Q29" s="53">
        <f>VLOOKUP($A$29,'Sociodem statistics'!$B$2:$J$5,9,FALSE)</f>
        <v>1</v>
      </c>
      <c r="R29" s="53">
        <f>VLOOKUP($A$29,'Sociodem statistics'!$B$2:$J$5,9,FALSE)</f>
        <v>1</v>
      </c>
      <c r="S29" s="53">
        <f>VLOOKUP($A$29,'Sociodem statistics'!$B$2:$J$5,9,FALSE)</f>
        <v>1</v>
      </c>
      <c r="T29" s="53">
        <f>VLOOKUP($A$29,'Sociodem statistics'!$B$2:$J$5,9,FALSE)</f>
        <v>1</v>
      </c>
      <c r="U29" s="53">
        <f>VLOOKUP($A$29,'Sociodem statistics'!$B$2:$J$5,9,FALSE)</f>
        <v>1</v>
      </c>
      <c r="V29" s="53">
        <f>VLOOKUP($A$29,'Sociodem statistics'!$B$2:$J$5,9,FALSE)</f>
        <v>1</v>
      </c>
      <c r="W29" s="53">
        <f>VLOOKUP($A$29,'Sociodem statistics'!$B$2:$J$5,9,FALSE)</f>
        <v>1</v>
      </c>
      <c r="X29" s="53">
        <f>VLOOKUP($A$29,'Sociodem statistics'!$B$2:$J$5,9,FALSE)</f>
        <v>1</v>
      </c>
      <c r="Y29" s="53">
        <f>VLOOKUP($A$29,'Sociodem statistics'!$B$2:$J$5,9,FALSE)</f>
        <v>1</v>
      </c>
      <c r="Z29" s="53">
        <f>VLOOKUP($A$29,'Sociodem statistics'!$B$2:$J$5,9,FALSE)</f>
        <v>1</v>
      </c>
      <c r="AA29" s="53">
        <f>VLOOKUP($A$29,'Sociodem statistics'!$B$2:$J$5,9,FALSE)</f>
        <v>1</v>
      </c>
      <c r="AB29" s="47"/>
      <c r="AC29" s="47"/>
      <c r="AD29" s="47"/>
      <c r="AE29" s="47"/>
      <c r="AF29" s="47"/>
      <c r="AG29" s="47"/>
    </row>
    <row r="30" spans="1:33" x14ac:dyDescent="0.35">
      <c r="A30" s="45" t="s">
        <v>364</v>
      </c>
      <c r="B30" s="53">
        <f>VLOOKUP($A$30,'Sociodem statistics'!$B$6:$J$8,9,FALSE)</f>
        <v>0.51</v>
      </c>
      <c r="C30" s="53">
        <f>VLOOKUP($A$30,'Sociodem statistics'!$B$6:$J$8,9,FALSE)</f>
        <v>0.51</v>
      </c>
      <c r="D30" s="53">
        <f>VLOOKUP($A$30,'Sociodem statistics'!$B$6:$J$8,9,FALSE)</f>
        <v>0.51</v>
      </c>
      <c r="E30" s="53">
        <f>VLOOKUP($A$30,'Sociodem statistics'!$B$6:$J$8,9,FALSE)</f>
        <v>0.51</v>
      </c>
      <c r="F30" s="53">
        <f>VLOOKUP($A$30,'Sociodem statistics'!$B$6:$J$8,9,FALSE)</f>
        <v>0.51</v>
      </c>
      <c r="G30" s="53">
        <f>VLOOKUP($A$30,'Sociodem statistics'!$B$6:$J$8,9,FALSE)</f>
        <v>0.51</v>
      </c>
      <c r="H30" s="53">
        <f>VLOOKUP($A$30,'Sociodem statistics'!$B$6:$J$8,9,FALSE)</f>
        <v>0.51</v>
      </c>
      <c r="I30" s="53">
        <f>VLOOKUP($A$30,'Sociodem statistics'!$B$6:$J$8,9,FALSE)</f>
        <v>0.51</v>
      </c>
      <c r="J30" s="53">
        <f>VLOOKUP($A$30,'Sociodem statistics'!$B$6:$J$8,9,FALSE)</f>
        <v>0.51</v>
      </c>
      <c r="K30" s="53">
        <f>VLOOKUP($A$30,'Sociodem statistics'!$B$6:$J$8,9,FALSE)</f>
        <v>0.51</v>
      </c>
      <c r="L30" s="53">
        <f>VLOOKUP($A$30,'Sociodem statistics'!$B$6:$J$8,9,FALSE)</f>
        <v>0.51</v>
      </c>
      <c r="M30" s="53">
        <f>VLOOKUP($A$30,'Sociodem statistics'!$B$6:$J$8,9,FALSE)</f>
        <v>0.51</v>
      </c>
      <c r="N30" s="53">
        <f>VLOOKUP($A$30,'Sociodem statistics'!$B$6:$J$8,9,FALSE)</f>
        <v>0.51</v>
      </c>
      <c r="O30" s="53">
        <f>VLOOKUP($A$30,'Sociodem statistics'!$B$6:$J$8,9,FALSE)</f>
        <v>0.51</v>
      </c>
      <c r="P30" s="53">
        <f>VLOOKUP($A$30,'Sociodem statistics'!$B$6:$J$8,9,FALSE)</f>
        <v>0.51</v>
      </c>
      <c r="Q30" s="53">
        <f>VLOOKUP($A$30,'Sociodem statistics'!$B$6:$J$8,9,FALSE)</f>
        <v>0.51</v>
      </c>
      <c r="R30" s="53">
        <f>VLOOKUP($A$30,'Sociodem statistics'!$B$6:$J$8,9,FALSE)</f>
        <v>0.51</v>
      </c>
      <c r="S30" s="53">
        <f>VLOOKUP($A$30,'Sociodem statistics'!$B$6:$J$8,9,FALSE)</f>
        <v>0.51</v>
      </c>
      <c r="T30" s="53">
        <f>VLOOKUP($A$30,'Sociodem statistics'!$B$6:$J$8,9,FALSE)</f>
        <v>0.51</v>
      </c>
      <c r="U30" s="53">
        <f>VLOOKUP($A$30,'Sociodem statistics'!$B$6:$J$8,9,FALSE)</f>
        <v>0.51</v>
      </c>
      <c r="V30" s="53">
        <f>VLOOKUP($A$30,'Sociodem statistics'!$B$6:$J$8,9,FALSE)</f>
        <v>0.51</v>
      </c>
      <c r="W30" s="53">
        <f>VLOOKUP($A$30,'Sociodem statistics'!$B$6:$J$8,9,FALSE)</f>
        <v>0.51</v>
      </c>
      <c r="X30" s="53">
        <f>VLOOKUP($A$30,'Sociodem statistics'!$B$6:$J$8,9,FALSE)</f>
        <v>0.51</v>
      </c>
      <c r="Y30" s="53">
        <f>VLOOKUP($A$30,'Sociodem statistics'!$B$6:$J$8,9,FALSE)</f>
        <v>0.51</v>
      </c>
      <c r="Z30" s="53">
        <f>VLOOKUP($A$30,'Sociodem statistics'!$B$6:$J$8,9,FALSE)</f>
        <v>0.51</v>
      </c>
      <c r="AA30" s="53">
        <f>VLOOKUP($A$30,'Sociodem statistics'!$B$6:$J$8,9,FALSE)</f>
        <v>0.51</v>
      </c>
      <c r="AB30" s="47"/>
      <c r="AC30" s="47"/>
      <c r="AD30" s="47"/>
      <c r="AE30" s="47"/>
      <c r="AF30" s="47"/>
      <c r="AG30" s="47"/>
    </row>
    <row r="31" spans="1:33" x14ac:dyDescent="0.35">
      <c r="A31" s="45" t="s">
        <v>370</v>
      </c>
      <c r="B31" s="53">
        <f>VLOOKUP($A$31,'Sociodem statistics'!$B$9:$J$12,9,FALSE)</f>
        <v>1</v>
      </c>
      <c r="C31" s="53">
        <f>VLOOKUP($A$31,'Sociodem statistics'!$B$9:$J$12,9,FALSE)</f>
        <v>1</v>
      </c>
      <c r="D31" s="53">
        <f>VLOOKUP($A$31,'Sociodem statistics'!$B$9:$J$12,9,FALSE)</f>
        <v>1</v>
      </c>
      <c r="E31" s="53">
        <f>VLOOKUP($A$31,'Sociodem statistics'!$B$9:$J$12,9,FALSE)</f>
        <v>1</v>
      </c>
      <c r="F31" s="53">
        <f>VLOOKUP($A$31,'Sociodem statistics'!$B$9:$J$12,9,FALSE)</f>
        <v>1</v>
      </c>
      <c r="G31" s="53">
        <f>VLOOKUP($A$31,'Sociodem statistics'!$B$9:$J$12,9,FALSE)</f>
        <v>1</v>
      </c>
      <c r="H31" s="53">
        <f>VLOOKUP($A$31,'Sociodem statistics'!$B$9:$J$12,9,FALSE)</f>
        <v>1</v>
      </c>
      <c r="I31" s="53">
        <f>VLOOKUP($A$31,'Sociodem statistics'!$B$9:$J$12,9,FALSE)</f>
        <v>1</v>
      </c>
      <c r="J31" s="53">
        <f>VLOOKUP($A$31,'Sociodem statistics'!$B$9:$J$12,9,FALSE)</f>
        <v>1</v>
      </c>
      <c r="K31" s="53">
        <f>VLOOKUP($A$31,'Sociodem statistics'!$B$9:$J$12,9,FALSE)</f>
        <v>1</v>
      </c>
      <c r="L31" s="53">
        <f>VLOOKUP($A$31,'Sociodem statistics'!$B$9:$J$12,9,FALSE)</f>
        <v>1</v>
      </c>
      <c r="M31" s="53">
        <f>VLOOKUP($A$31,'Sociodem statistics'!$B$9:$J$12,9,FALSE)</f>
        <v>1</v>
      </c>
      <c r="N31" s="53">
        <f>VLOOKUP($A$31,'Sociodem statistics'!$B$9:$J$12,9,FALSE)</f>
        <v>1</v>
      </c>
      <c r="O31" s="53">
        <f>VLOOKUP($A$31,'Sociodem statistics'!$B$9:$J$12,9,FALSE)</f>
        <v>1</v>
      </c>
      <c r="P31" s="53">
        <f>VLOOKUP($A$31,'Sociodem statistics'!$B$9:$J$12,9,FALSE)</f>
        <v>1</v>
      </c>
      <c r="Q31" s="53">
        <f>VLOOKUP($A$31,'Sociodem statistics'!$B$9:$J$12,9,FALSE)</f>
        <v>1</v>
      </c>
      <c r="R31" s="53">
        <f>VLOOKUP($A$31,'Sociodem statistics'!$B$9:$J$12,9,FALSE)</f>
        <v>1</v>
      </c>
      <c r="S31" s="53">
        <f>VLOOKUP($A$31,'Sociodem statistics'!$B$9:$J$12,9,FALSE)</f>
        <v>1</v>
      </c>
      <c r="T31" s="53">
        <f>VLOOKUP($A$31,'Sociodem statistics'!$B$9:$J$12,9,FALSE)</f>
        <v>1</v>
      </c>
      <c r="U31" s="53">
        <f>VLOOKUP($A$31,'Sociodem statistics'!$B$9:$J$12,9,FALSE)</f>
        <v>1</v>
      </c>
      <c r="V31" s="53">
        <f>VLOOKUP($A$31,'Sociodem statistics'!$B$9:$J$12,9,FALSE)</f>
        <v>1</v>
      </c>
      <c r="W31" s="53">
        <f>VLOOKUP($A$31,'Sociodem statistics'!$B$9:$J$12,9,FALSE)</f>
        <v>1</v>
      </c>
      <c r="X31" s="53">
        <f>VLOOKUP($A$31,'Sociodem statistics'!$B$9:$J$12,9,FALSE)</f>
        <v>1</v>
      </c>
      <c r="Y31" s="53">
        <f>VLOOKUP($A$31,'Sociodem statistics'!$B$9:$J$12,9,FALSE)</f>
        <v>1</v>
      </c>
      <c r="Z31" s="53">
        <f>VLOOKUP($A$31,'Sociodem statistics'!$B$9:$J$12,9,FALSE)</f>
        <v>1</v>
      </c>
      <c r="AA31" s="53">
        <f>VLOOKUP($A$31,'Sociodem statistics'!$B$9:$J$12,9,FALSE)</f>
        <v>1</v>
      </c>
      <c r="AB31" s="47"/>
      <c r="AC31" s="47"/>
      <c r="AD31" s="47"/>
      <c r="AE31" s="47"/>
      <c r="AF31" s="47"/>
      <c r="AG31" s="47"/>
    </row>
    <row r="32" spans="1:33" x14ac:dyDescent="0.35">
      <c r="A32" s="45" t="s">
        <v>375</v>
      </c>
      <c r="B32" s="53">
        <f>VLOOKUP($A$32,'Sociodem statistics'!$B$13:$J$15,9,FALSE)</f>
        <v>1</v>
      </c>
      <c r="C32" s="53">
        <f>VLOOKUP($A$32,'Sociodem statistics'!$B$13:$J$15,9,FALSE)</f>
        <v>1</v>
      </c>
      <c r="D32" s="53">
        <f>VLOOKUP($A$32,'Sociodem statistics'!$B$13:$J$15,9,FALSE)</f>
        <v>1</v>
      </c>
      <c r="E32" s="53">
        <f>VLOOKUP($A$32,'Sociodem statistics'!$B$13:$J$15,9,FALSE)</f>
        <v>1</v>
      </c>
      <c r="F32" s="53">
        <f>VLOOKUP($A$32,'Sociodem statistics'!$B$13:$J$15,9,FALSE)</f>
        <v>1</v>
      </c>
      <c r="G32" s="53">
        <f>VLOOKUP($A$32,'Sociodem statistics'!$B$13:$J$15,9,FALSE)</f>
        <v>1</v>
      </c>
      <c r="H32" s="53">
        <f>VLOOKUP($A$32,'Sociodem statistics'!$B$13:$J$15,9,FALSE)</f>
        <v>1</v>
      </c>
      <c r="I32" s="53">
        <f>VLOOKUP($A$32,'Sociodem statistics'!$B$13:$J$15,9,FALSE)</f>
        <v>1</v>
      </c>
      <c r="J32" s="53">
        <f>VLOOKUP($A$32,'Sociodem statistics'!$B$13:$J$15,9,FALSE)</f>
        <v>1</v>
      </c>
      <c r="K32" s="53">
        <f>VLOOKUP($A$32,'Sociodem statistics'!$B$13:$J$15,9,FALSE)</f>
        <v>1</v>
      </c>
      <c r="L32" s="53">
        <f>VLOOKUP($A$32,'Sociodem statistics'!$B$13:$J$15,9,FALSE)</f>
        <v>1</v>
      </c>
      <c r="M32" s="53">
        <f>VLOOKUP($A$32,'Sociodem statistics'!$B$13:$J$15,9,FALSE)</f>
        <v>1</v>
      </c>
      <c r="N32" s="53">
        <f>VLOOKUP($A$32,'Sociodem statistics'!$B$13:$J$15,9,FALSE)</f>
        <v>1</v>
      </c>
      <c r="O32" s="53">
        <f>VLOOKUP($A$32,'Sociodem statistics'!$B$13:$J$15,9,FALSE)</f>
        <v>1</v>
      </c>
      <c r="P32" s="53">
        <f>VLOOKUP($A$32,'Sociodem statistics'!$B$13:$J$15,9,FALSE)</f>
        <v>1</v>
      </c>
      <c r="Q32" s="53">
        <f>VLOOKUP($A$32,'Sociodem statistics'!$B$13:$J$15,9,FALSE)</f>
        <v>1</v>
      </c>
      <c r="R32" s="53">
        <f>VLOOKUP($A$32,'Sociodem statistics'!$B$13:$J$15,9,FALSE)</f>
        <v>1</v>
      </c>
      <c r="S32" s="53">
        <f>VLOOKUP($A$32,'Sociodem statistics'!$B$13:$J$15,9,FALSE)</f>
        <v>1</v>
      </c>
      <c r="T32" s="53">
        <f>VLOOKUP($A$32,'Sociodem statistics'!$B$13:$J$15,9,FALSE)</f>
        <v>1</v>
      </c>
      <c r="U32" s="53">
        <f>VLOOKUP($A$32,'Sociodem statistics'!$B$13:$J$15,9,FALSE)</f>
        <v>1</v>
      </c>
      <c r="V32" s="53">
        <f>VLOOKUP($A$32,'Sociodem statistics'!$B$13:$J$15,9,FALSE)</f>
        <v>1</v>
      </c>
      <c r="W32" s="53">
        <f>VLOOKUP($A$32,'Sociodem statistics'!$B$13:$J$15,9,FALSE)</f>
        <v>1</v>
      </c>
      <c r="X32" s="53">
        <f>VLOOKUP($A$32,'Sociodem statistics'!$B$13:$J$15,9,FALSE)</f>
        <v>1</v>
      </c>
      <c r="Y32" s="53">
        <f>VLOOKUP($A$32,'Sociodem statistics'!$B$13:$J$15,9,FALSE)</f>
        <v>1</v>
      </c>
      <c r="Z32" s="53">
        <f>VLOOKUP($A$32,'Sociodem statistics'!$B$13:$J$15,9,FALSE)</f>
        <v>1</v>
      </c>
      <c r="AA32" s="53">
        <f>VLOOKUP($A$32,'Sociodem statistics'!$B$13:$J$15,9,FALSE)</f>
        <v>1</v>
      </c>
      <c r="AB32" s="47"/>
      <c r="AC32" s="47"/>
      <c r="AD32" s="47"/>
      <c r="AE32" s="47"/>
      <c r="AF32" s="47"/>
      <c r="AG32" s="47"/>
    </row>
    <row r="33" spans="1:33" x14ac:dyDescent="0.35">
      <c r="A33" s="45" t="s">
        <v>380</v>
      </c>
      <c r="B33" s="53">
        <f>VLOOKUP($A$33,'Sociodem statistics'!$B$16:$J$19,9,FALSE)</f>
        <v>0.36</v>
      </c>
      <c r="C33" s="53">
        <f>VLOOKUP($A$33,'Sociodem statistics'!$B$16:$J$19,9,FALSE)</f>
        <v>0.36</v>
      </c>
      <c r="D33" s="53">
        <f>VLOOKUP($A$33,'Sociodem statistics'!$B$16:$J$19,9,FALSE)</f>
        <v>0.36</v>
      </c>
      <c r="E33" s="53">
        <f>VLOOKUP($A$33,'Sociodem statistics'!$B$16:$J$19,9,FALSE)</f>
        <v>0.36</v>
      </c>
      <c r="F33" s="53">
        <f>VLOOKUP($A$33,'Sociodem statistics'!$B$16:$J$19,9,FALSE)</f>
        <v>0.36</v>
      </c>
      <c r="G33" s="53">
        <f>VLOOKUP($A$33,'Sociodem statistics'!$B$16:$J$19,9,FALSE)</f>
        <v>0.36</v>
      </c>
      <c r="H33" s="53">
        <f>VLOOKUP($A$33,'Sociodem statistics'!$B$16:$J$19,9,FALSE)</f>
        <v>0.36</v>
      </c>
      <c r="I33" s="53">
        <f>VLOOKUP($A$33,'Sociodem statistics'!$B$16:$J$19,9,FALSE)</f>
        <v>0.36</v>
      </c>
      <c r="J33" s="53">
        <f>VLOOKUP($A$33,'Sociodem statistics'!$B$16:$J$19,9,FALSE)</f>
        <v>0.36</v>
      </c>
      <c r="K33" s="53">
        <f>VLOOKUP($A$33,'Sociodem statistics'!$B$16:$J$19,9,FALSE)</f>
        <v>0.36</v>
      </c>
      <c r="L33" s="53">
        <f>VLOOKUP($A$33,'Sociodem statistics'!$B$16:$J$19,9,FALSE)</f>
        <v>0.36</v>
      </c>
      <c r="M33" s="53">
        <f>VLOOKUP($A$33,'Sociodem statistics'!$B$16:$J$19,9,FALSE)</f>
        <v>0.36</v>
      </c>
      <c r="N33" s="53">
        <f>VLOOKUP($A$33,'Sociodem statistics'!$B$16:$J$19,9,FALSE)</f>
        <v>0.36</v>
      </c>
      <c r="O33" s="53">
        <f>VLOOKUP($A$33,'Sociodem statistics'!$B$16:$J$19,9,FALSE)</f>
        <v>0.36</v>
      </c>
      <c r="P33" s="53">
        <f>VLOOKUP($A$33,'Sociodem statistics'!$B$16:$J$19,9,FALSE)</f>
        <v>0.36</v>
      </c>
      <c r="Q33" s="53">
        <f>VLOOKUP($A$33,'Sociodem statistics'!$B$16:$J$19,9,FALSE)</f>
        <v>0.36</v>
      </c>
      <c r="R33" s="53">
        <f>VLOOKUP($A$33,'Sociodem statistics'!$B$16:$J$19,9,FALSE)</f>
        <v>0.36</v>
      </c>
      <c r="S33" s="53">
        <f>VLOOKUP($A$33,'Sociodem statistics'!$B$16:$J$19,9,FALSE)</f>
        <v>0.36</v>
      </c>
      <c r="T33" s="53">
        <f>VLOOKUP($A$33,'Sociodem statistics'!$B$16:$J$19,9,FALSE)</f>
        <v>0.36</v>
      </c>
      <c r="U33" s="53">
        <f>VLOOKUP($A$33,'Sociodem statistics'!$B$16:$J$19,9,FALSE)</f>
        <v>0.36</v>
      </c>
      <c r="V33" s="53">
        <f>VLOOKUP($A$33,'Sociodem statistics'!$B$16:$J$19,9,FALSE)</f>
        <v>0.36</v>
      </c>
      <c r="W33" s="53">
        <f>VLOOKUP($A$33,'Sociodem statistics'!$B$16:$J$19,9,FALSE)</f>
        <v>0.36</v>
      </c>
      <c r="X33" s="53">
        <f>VLOOKUP($A$33,'Sociodem statistics'!$B$16:$J$19,9,FALSE)</f>
        <v>0.36</v>
      </c>
      <c r="Y33" s="53">
        <f>VLOOKUP($A$33,'Sociodem statistics'!$B$16:$J$19,9,FALSE)</f>
        <v>0.36</v>
      </c>
      <c r="Z33" s="53">
        <f>VLOOKUP($A$33,'Sociodem statistics'!$B$16:$J$19,9,FALSE)</f>
        <v>0.36</v>
      </c>
      <c r="AA33" s="53">
        <f>VLOOKUP($A$33,'Sociodem statistics'!$B$16:$J$19,9,FALSE)</f>
        <v>0.36</v>
      </c>
      <c r="AB33" s="47"/>
      <c r="AC33" s="47"/>
      <c r="AD33" s="47"/>
      <c r="AE33" s="47"/>
      <c r="AF33" s="47"/>
      <c r="AG33" s="47"/>
    </row>
    <row r="34" spans="1:33" x14ac:dyDescent="0.35">
      <c r="A34" s="45" t="s">
        <v>402</v>
      </c>
      <c r="B34" s="53">
        <f>VLOOKUP($A$34,'Sociodem statistics'!$B$29:$J$31,9,FALSE)</f>
        <v>1</v>
      </c>
      <c r="C34" s="53">
        <f>VLOOKUP($A$34,'Sociodem statistics'!$B$29:$J$31,9,FALSE)</f>
        <v>1</v>
      </c>
      <c r="D34" s="53">
        <f>VLOOKUP($A$34,'Sociodem statistics'!$B$29:$J$31,9,FALSE)</f>
        <v>1</v>
      </c>
      <c r="E34" s="53">
        <f>VLOOKUP($A$34,'Sociodem statistics'!$B$29:$J$31,9,FALSE)</f>
        <v>1</v>
      </c>
      <c r="F34" s="53">
        <f>VLOOKUP($A$34,'Sociodem statistics'!$B$29:$J$31,9,FALSE)</f>
        <v>1</v>
      </c>
      <c r="G34" s="53">
        <f>VLOOKUP($A$34,'Sociodem statistics'!$B$29:$J$31,9,FALSE)</f>
        <v>1</v>
      </c>
      <c r="H34" s="53">
        <f>VLOOKUP($A$34,'Sociodem statistics'!$B$29:$J$31,9,FALSE)</f>
        <v>1</v>
      </c>
      <c r="I34" s="53">
        <f>VLOOKUP($A$34,'Sociodem statistics'!$B$29:$J$31,9,FALSE)</f>
        <v>1</v>
      </c>
      <c r="J34" s="53">
        <f>VLOOKUP($A$34,'Sociodem statistics'!$B$29:$J$31,9,FALSE)</f>
        <v>1</v>
      </c>
      <c r="K34" s="53">
        <f>VLOOKUP($A$34,'Sociodem statistics'!$B$29:$J$31,9,FALSE)</f>
        <v>1</v>
      </c>
      <c r="L34" s="53">
        <f>VLOOKUP($A$34,'Sociodem statistics'!$B$29:$J$31,9,FALSE)</f>
        <v>1</v>
      </c>
      <c r="M34" s="53">
        <f>VLOOKUP($A$34,'Sociodem statistics'!$B$29:$J$31,9,FALSE)</f>
        <v>1</v>
      </c>
      <c r="N34" s="53">
        <f>VLOOKUP($A$34,'Sociodem statistics'!$B$29:$J$31,9,FALSE)</f>
        <v>1</v>
      </c>
      <c r="O34" s="53">
        <f>VLOOKUP($A$34,'Sociodem statistics'!$B$29:$J$31,9,FALSE)</f>
        <v>1</v>
      </c>
      <c r="P34" s="53">
        <f>VLOOKUP($A$34,'Sociodem statistics'!$B$29:$J$31,9,FALSE)</f>
        <v>1</v>
      </c>
      <c r="Q34" s="53">
        <f>VLOOKUP($A$34,'Sociodem statistics'!$B$29:$J$31,9,FALSE)</f>
        <v>1</v>
      </c>
      <c r="R34" s="53">
        <f>VLOOKUP($A$34,'Sociodem statistics'!$B$29:$J$31,9,FALSE)</f>
        <v>1</v>
      </c>
      <c r="S34" s="53">
        <f>VLOOKUP($A$34,'Sociodem statistics'!$B$29:$J$31,9,FALSE)</f>
        <v>1</v>
      </c>
      <c r="T34" s="53">
        <f>VLOOKUP($A$34,'Sociodem statistics'!$B$29:$J$31,9,FALSE)</f>
        <v>1</v>
      </c>
      <c r="U34" s="53">
        <f>VLOOKUP($A$34,'Sociodem statistics'!$B$29:$J$31,9,FALSE)</f>
        <v>1</v>
      </c>
      <c r="V34" s="53">
        <f>VLOOKUP($A$34,'Sociodem statistics'!$B$29:$J$31,9,FALSE)</f>
        <v>1</v>
      </c>
      <c r="W34" s="53">
        <f>VLOOKUP($A$34,'Sociodem statistics'!$B$29:$J$31,9,FALSE)</f>
        <v>1</v>
      </c>
      <c r="X34" s="53">
        <f>VLOOKUP($A$34,'Sociodem statistics'!$B$29:$J$31,9,FALSE)</f>
        <v>1</v>
      </c>
      <c r="Y34" s="53">
        <f>VLOOKUP($A$34,'Sociodem statistics'!$B$29:$J$31,9,FALSE)</f>
        <v>1</v>
      </c>
      <c r="Z34" s="53">
        <f>VLOOKUP($A$34,'Sociodem statistics'!$B$29:$J$31,9,FALSE)</f>
        <v>1</v>
      </c>
      <c r="AA34" s="53">
        <f>VLOOKUP($A$34,'Sociodem statistics'!$B$29:$J$31,9,FALSE)</f>
        <v>1</v>
      </c>
      <c r="AB34" s="47"/>
      <c r="AC34" s="47"/>
      <c r="AD34" s="47"/>
      <c r="AE34" s="47"/>
      <c r="AF34" s="47"/>
      <c r="AG34" s="47"/>
    </row>
    <row r="35" spans="1:33" x14ac:dyDescent="0.35">
      <c r="A35" s="45" t="s">
        <v>414</v>
      </c>
      <c r="B35" s="53">
        <f>VLOOKUP($A$35,'Sociodem statistics'!$B$39:$J$41,9,FALSE)</f>
        <v>1</v>
      </c>
      <c r="C35" s="53">
        <f>VLOOKUP($A$35,'Sociodem statistics'!$B$39:$J$41,9,FALSE)</f>
        <v>1</v>
      </c>
      <c r="D35" s="53">
        <f>VLOOKUP($A$35,'Sociodem statistics'!$B$39:$J$41,9,FALSE)</f>
        <v>1</v>
      </c>
      <c r="E35" s="53">
        <f>VLOOKUP($A$35,'Sociodem statistics'!$B$39:$J$41,9,FALSE)</f>
        <v>1</v>
      </c>
      <c r="F35" s="53">
        <f>VLOOKUP($A$35,'Sociodem statistics'!$B$39:$J$41,9,FALSE)</f>
        <v>1</v>
      </c>
      <c r="G35" s="53">
        <f>VLOOKUP($A$35,'Sociodem statistics'!$B$39:$J$41,9,FALSE)</f>
        <v>1</v>
      </c>
      <c r="H35" s="53">
        <f>VLOOKUP($A$35,'Sociodem statistics'!$B$39:$J$41,9,FALSE)</f>
        <v>1</v>
      </c>
      <c r="I35" s="53">
        <f>VLOOKUP($A$35,'Sociodem statistics'!$B$39:$J$41,9,FALSE)</f>
        <v>1</v>
      </c>
      <c r="J35" s="53">
        <f>VLOOKUP($A$35,'Sociodem statistics'!$B$39:$J$41,9,FALSE)</f>
        <v>1</v>
      </c>
      <c r="K35" s="53">
        <f>VLOOKUP($A$35,'Sociodem statistics'!$B$39:$J$41,9,FALSE)</f>
        <v>1</v>
      </c>
      <c r="L35" s="53">
        <f>VLOOKUP($A$35,'Sociodem statistics'!$B$39:$J$41,9,FALSE)</f>
        <v>1</v>
      </c>
      <c r="M35" s="53">
        <f>VLOOKUP($A$35,'Sociodem statistics'!$B$39:$J$41,9,FALSE)</f>
        <v>1</v>
      </c>
      <c r="N35" s="53">
        <f>VLOOKUP($A$35,'Sociodem statistics'!$B$39:$J$41,9,FALSE)</f>
        <v>1</v>
      </c>
      <c r="O35" s="53">
        <f>VLOOKUP($A$35,'Sociodem statistics'!$B$39:$J$41,9,FALSE)</f>
        <v>1</v>
      </c>
      <c r="P35" s="53">
        <f>VLOOKUP($A$35,'Sociodem statistics'!$B$39:$J$41,9,FALSE)</f>
        <v>1</v>
      </c>
      <c r="Q35" s="53">
        <f>VLOOKUP($A$35,'Sociodem statistics'!$B$39:$J$41,9,FALSE)</f>
        <v>1</v>
      </c>
      <c r="R35" s="53">
        <f>VLOOKUP($A$35,'Sociodem statistics'!$B$39:$J$41,9,FALSE)</f>
        <v>1</v>
      </c>
      <c r="S35" s="53">
        <f>VLOOKUP($A$35,'Sociodem statistics'!$B$39:$J$41,9,FALSE)</f>
        <v>1</v>
      </c>
      <c r="T35" s="53">
        <f>VLOOKUP($A$35,'Sociodem statistics'!$B$39:$J$41,9,FALSE)</f>
        <v>1</v>
      </c>
      <c r="U35" s="53">
        <f>VLOOKUP($A$35,'Sociodem statistics'!$B$39:$J$41,9,FALSE)</f>
        <v>1</v>
      </c>
      <c r="V35" s="53">
        <f>VLOOKUP($A$35,'Sociodem statistics'!$B$39:$J$41,9,FALSE)</f>
        <v>1</v>
      </c>
      <c r="W35" s="53">
        <f>VLOOKUP($A$35,'Sociodem statistics'!$B$39:$J$41,9,FALSE)</f>
        <v>1</v>
      </c>
      <c r="X35" s="53">
        <f>VLOOKUP($A$35,'Sociodem statistics'!$B$39:$J$41,9,FALSE)</f>
        <v>1</v>
      </c>
      <c r="Y35" s="53">
        <f>VLOOKUP($A$35,'Sociodem statistics'!$B$39:$J$41,9,FALSE)</f>
        <v>1</v>
      </c>
      <c r="Z35" s="53">
        <f>VLOOKUP($A$35,'Sociodem statistics'!$B$39:$J$41,9,FALSE)</f>
        <v>1</v>
      </c>
      <c r="AA35" s="53">
        <f>VLOOKUP($A$35,'Sociodem statistics'!$B$39:$J$41,9,FALSE)</f>
        <v>1</v>
      </c>
      <c r="AB35" s="47"/>
      <c r="AC35" s="47"/>
      <c r="AD35" s="47"/>
      <c r="AE35" s="47"/>
      <c r="AF35" s="47"/>
      <c r="AG35" s="47"/>
    </row>
    <row r="36" spans="1:33" x14ac:dyDescent="0.35">
      <c r="A36" s="46" t="s">
        <v>416</v>
      </c>
      <c r="B36" s="54">
        <f t="shared" ref="B36:AA36" si="3">B20*100/(500*PRODUCT(B29:B35))</f>
        <v>14.161220043572985</v>
      </c>
      <c r="C36" s="54">
        <f t="shared" si="3"/>
        <v>14.161220043572985</v>
      </c>
      <c r="D36" s="54">
        <f t="shared" si="3"/>
        <v>14.161220043572985</v>
      </c>
      <c r="E36" s="54">
        <f t="shared" si="3"/>
        <v>14.161220043572985</v>
      </c>
      <c r="F36" s="54">
        <f t="shared" si="3"/>
        <v>14.161220043572985</v>
      </c>
      <c r="G36" s="54">
        <f t="shared" si="3"/>
        <v>14.161220043572985</v>
      </c>
      <c r="H36" s="54">
        <f t="shared" si="3"/>
        <v>14.161220043572985</v>
      </c>
      <c r="I36" s="54">
        <f t="shared" si="3"/>
        <v>14.161220043572985</v>
      </c>
      <c r="J36" s="54">
        <f t="shared" si="3"/>
        <v>14.161220043572985</v>
      </c>
      <c r="K36" s="54">
        <f t="shared" si="3"/>
        <v>14.161220043572985</v>
      </c>
      <c r="L36" s="54">
        <f t="shared" si="3"/>
        <v>14.161220043572985</v>
      </c>
      <c r="M36" s="54">
        <f t="shared" si="3"/>
        <v>14.161220043572985</v>
      </c>
      <c r="N36" s="54">
        <f t="shared" si="3"/>
        <v>27.233115468409586</v>
      </c>
      <c r="O36" s="54">
        <f t="shared" si="3"/>
        <v>27.233115468409586</v>
      </c>
      <c r="P36" s="54">
        <f t="shared" si="3"/>
        <v>27.233115468409586</v>
      </c>
      <c r="Q36" s="54">
        <f t="shared" si="3"/>
        <v>27.233115468409586</v>
      </c>
      <c r="R36" s="54">
        <f t="shared" si="3"/>
        <v>27.233115468409586</v>
      </c>
      <c r="S36" s="54">
        <f t="shared" si="3"/>
        <v>27.233115468409586</v>
      </c>
      <c r="T36" s="54">
        <f t="shared" si="3"/>
        <v>27.233115468409586</v>
      </c>
      <c r="U36" s="54">
        <f t="shared" si="3"/>
        <v>27.233115468409586</v>
      </c>
      <c r="V36" s="54">
        <f t="shared" si="3"/>
        <v>27.233115468409586</v>
      </c>
      <c r="W36" s="54">
        <f t="shared" si="3"/>
        <v>27.233115468409586</v>
      </c>
      <c r="X36" s="54">
        <f t="shared" si="3"/>
        <v>27.233115468409586</v>
      </c>
      <c r="Y36" s="54">
        <f t="shared" si="3"/>
        <v>27.233115468409586</v>
      </c>
      <c r="Z36" s="55">
        <f t="shared" si="3"/>
        <v>27.233115468409586</v>
      </c>
      <c r="AA36" s="56">
        <f t="shared" si="3"/>
        <v>27.233115468409586</v>
      </c>
      <c r="AB36" s="47"/>
      <c r="AC36" s="57">
        <f>AVERAGE(B36:AA36)</f>
        <v>21.199932964638851</v>
      </c>
      <c r="AD36" s="47"/>
      <c r="AE36" s="47"/>
      <c r="AF36" s="47"/>
      <c r="AG36" s="47"/>
    </row>
    <row r="38" spans="1:33" x14ac:dyDescent="0.35">
      <c r="Y38" s="181" t="s">
        <v>426</v>
      </c>
      <c r="Z38" s="181"/>
      <c r="AA38" s="181"/>
      <c r="AB38" s="181"/>
      <c r="AC38" s="63">
        <f>AC22*AC36</f>
        <v>5.8136618940697913</v>
      </c>
    </row>
    <row r="39" spans="1:33" x14ac:dyDescent="0.35">
      <c r="Y39" s="182" t="s">
        <v>427</v>
      </c>
      <c r="Z39" s="182"/>
      <c r="AA39" s="182"/>
      <c r="AB39" s="182"/>
      <c r="AC39" s="63">
        <f>AC24*AC36</f>
        <v>4.5797800450005086</v>
      </c>
    </row>
    <row r="40" spans="1:33" x14ac:dyDescent="0.35">
      <c r="Y40" s="67"/>
      <c r="Z40" s="67"/>
      <c r="AA40" s="67"/>
      <c r="AB40" s="67"/>
      <c r="AC40" s="63"/>
    </row>
    <row r="41" spans="1:33" x14ac:dyDescent="0.35">
      <c r="Y41" s="67"/>
      <c r="Z41" s="67"/>
      <c r="AA41" s="67"/>
      <c r="AB41" s="67"/>
      <c r="AC41" s="63"/>
    </row>
    <row r="42" spans="1:33" ht="15" thickBot="1" x14ac:dyDescent="0.4">
      <c r="A42" s="174" t="s">
        <v>528</v>
      </c>
      <c r="B42" s="174"/>
      <c r="C42" s="174"/>
    </row>
    <row r="43" spans="1:33" ht="15.5" thickBot="1" x14ac:dyDescent="0.4">
      <c r="A43" s="83" t="s">
        <v>57</v>
      </c>
      <c r="B43" s="172" t="s">
        <v>26</v>
      </c>
      <c r="C43" s="172"/>
      <c r="D43" s="172"/>
      <c r="E43" s="172"/>
      <c r="F43" s="172"/>
      <c r="G43" s="131" t="s">
        <v>27</v>
      </c>
      <c r="H43" s="131" t="s">
        <v>28</v>
      </c>
      <c r="I43" s="131" t="s">
        <v>470</v>
      </c>
      <c r="J43" s="172" t="s">
        <v>26</v>
      </c>
      <c r="K43" s="172"/>
      <c r="L43" s="172"/>
      <c r="M43" s="172"/>
      <c r="N43" s="172"/>
      <c r="O43" s="131" t="s">
        <v>29</v>
      </c>
      <c r="P43" s="131" t="s">
        <v>30</v>
      </c>
      <c r="Q43" s="12" t="s">
        <v>31</v>
      </c>
      <c r="R43" s="13" t="s">
        <v>32</v>
      </c>
      <c r="V43" s="111"/>
      <c r="W43" s="100"/>
    </row>
    <row r="44" spans="1:33" ht="15.5" x14ac:dyDescent="0.35">
      <c r="A44" s="161" t="s">
        <v>33</v>
      </c>
      <c r="B44" s="163" t="s">
        <v>34</v>
      </c>
      <c r="C44" s="163"/>
      <c r="D44" s="163"/>
      <c r="E44" s="163"/>
      <c r="F44" s="163"/>
      <c r="G44" s="165">
        <v>0.32477150218818701</v>
      </c>
      <c r="H44" s="163">
        <f>RANK(G44,G44:G52)</f>
        <v>2</v>
      </c>
      <c r="I44" s="84" t="s">
        <v>35</v>
      </c>
      <c r="J44" s="163" t="s">
        <v>36</v>
      </c>
      <c r="K44" s="163"/>
      <c r="L44" s="163"/>
      <c r="M44" s="163"/>
      <c r="N44" s="163"/>
      <c r="O44" s="128">
        <v>0.43670240649158243</v>
      </c>
      <c r="P44" s="14">
        <f>RANK(O44,O44:O47)</f>
        <v>1</v>
      </c>
      <c r="Q44" s="15">
        <f>O44*G44</f>
        <v>0.1418284965654675</v>
      </c>
      <c r="R44" s="16">
        <f>RANK(Q44, $Q$44:$Q$52)</f>
        <v>3</v>
      </c>
      <c r="V44" s="112"/>
      <c r="W44" s="118"/>
    </row>
    <row r="45" spans="1:33" ht="15.5" x14ac:dyDescent="0.35">
      <c r="A45" s="169"/>
      <c r="B45" s="170"/>
      <c r="C45" s="170"/>
      <c r="D45" s="170"/>
      <c r="E45" s="170"/>
      <c r="F45" s="170"/>
      <c r="G45" s="173"/>
      <c r="H45" s="170"/>
      <c r="I45" s="85" t="s">
        <v>37</v>
      </c>
      <c r="J45" s="170" t="s">
        <v>38</v>
      </c>
      <c r="K45" s="170"/>
      <c r="L45" s="170"/>
      <c r="M45" s="170"/>
      <c r="N45" s="170"/>
      <c r="O45" s="129">
        <v>0.15190303321902937</v>
      </c>
      <c r="P45" s="16">
        <f>RANK(O45,O44:O47)</f>
        <v>4</v>
      </c>
      <c r="Q45" s="15">
        <f>O45*G44</f>
        <v>4.9333776285486242E-2</v>
      </c>
      <c r="R45" s="16">
        <f t="shared" ref="R45:R52" si="4">RANK(Q45, $Q$44:$Q$52)</f>
        <v>9</v>
      </c>
      <c r="V45" s="109"/>
      <c r="W45" s="118"/>
    </row>
    <row r="46" spans="1:33" ht="15.5" x14ac:dyDescent="0.35">
      <c r="A46" s="169"/>
      <c r="B46" s="170"/>
      <c r="C46" s="170"/>
      <c r="D46" s="170"/>
      <c r="E46" s="170"/>
      <c r="F46" s="170"/>
      <c r="G46" s="173"/>
      <c r="H46" s="170"/>
      <c r="I46" s="85" t="s">
        <v>39</v>
      </c>
      <c r="J46" s="170" t="s">
        <v>40</v>
      </c>
      <c r="K46" s="170"/>
      <c r="L46" s="170"/>
      <c r="M46" s="170"/>
      <c r="N46" s="170"/>
      <c r="O46" s="129">
        <v>0.20375185776632937</v>
      </c>
      <c r="P46" s="16">
        <f>RANK(O46,O44:O47)</f>
        <v>3</v>
      </c>
      <c r="Q46" s="15">
        <f>O46*G44</f>
        <v>6.6172796920404606E-2</v>
      </c>
      <c r="R46" s="16">
        <f t="shared" si="4"/>
        <v>6</v>
      </c>
      <c r="V46" s="109"/>
      <c r="W46" s="118"/>
    </row>
    <row r="47" spans="1:33" ht="16" thickBot="1" x14ac:dyDescent="0.4">
      <c r="A47" s="162"/>
      <c r="B47" s="164"/>
      <c r="C47" s="164"/>
      <c r="D47" s="164"/>
      <c r="E47" s="164"/>
      <c r="F47" s="164"/>
      <c r="G47" s="166"/>
      <c r="H47" s="164"/>
      <c r="I47" s="86" t="s">
        <v>41</v>
      </c>
      <c r="J47" s="164" t="s">
        <v>42</v>
      </c>
      <c r="K47" s="164"/>
      <c r="L47" s="164"/>
      <c r="M47" s="164"/>
      <c r="N47" s="164"/>
      <c r="O47" s="130">
        <v>0.20764270252305886</v>
      </c>
      <c r="P47" s="17">
        <f>RANK(O47,O44:O47)</f>
        <v>2</v>
      </c>
      <c r="Q47" s="15">
        <f>O47*G44</f>
        <v>6.7436432416828673E-2</v>
      </c>
      <c r="R47" s="16">
        <f t="shared" si="4"/>
        <v>5</v>
      </c>
      <c r="V47" s="109"/>
      <c r="W47" s="118"/>
    </row>
    <row r="48" spans="1:33" ht="15.5" x14ac:dyDescent="0.35">
      <c r="A48" s="161" t="s">
        <v>43</v>
      </c>
      <c r="B48" s="163" t="s">
        <v>44</v>
      </c>
      <c r="C48" s="163"/>
      <c r="D48" s="163"/>
      <c r="E48" s="163"/>
      <c r="F48" s="163"/>
      <c r="G48" s="165">
        <v>0.23760048359321503</v>
      </c>
      <c r="H48" s="163">
        <f>RANK(G48,G44:G52)</f>
        <v>3</v>
      </c>
      <c r="I48" s="84" t="s">
        <v>45</v>
      </c>
      <c r="J48" s="163" t="s">
        <v>46</v>
      </c>
      <c r="K48" s="163"/>
      <c r="L48" s="163"/>
      <c r="M48" s="163"/>
      <c r="N48" s="163"/>
      <c r="O48" s="128">
        <v>0.51010080312307193</v>
      </c>
      <c r="P48" s="14">
        <f>RANK(O48,O48:O50)</f>
        <v>1</v>
      </c>
      <c r="Q48" s="15">
        <f>O48*G48</f>
        <v>0.12120019750332926</v>
      </c>
      <c r="R48" s="16">
        <f t="shared" si="4"/>
        <v>4</v>
      </c>
      <c r="V48" s="109"/>
      <c r="W48" s="118"/>
    </row>
    <row r="49" spans="1:23" ht="15.5" x14ac:dyDescent="0.35">
      <c r="A49" s="169"/>
      <c r="B49" s="170"/>
      <c r="C49" s="170"/>
      <c r="D49" s="170"/>
      <c r="E49" s="170"/>
      <c r="F49" s="170"/>
      <c r="G49" s="173"/>
      <c r="H49" s="170"/>
      <c r="I49" s="85" t="s">
        <v>47</v>
      </c>
      <c r="J49" s="170" t="s">
        <v>48</v>
      </c>
      <c r="K49" s="170"/>
      <c r="L49" s="170"/>
      <c r="M49" s="170"/>
      <c r="N49" s="170"/>
      <c r="O49" s="129">
        <v>0.26242156942597572</v>
      </c>
      <c r="P49" s="16">
        <f>RANK(O49,O48:O50)</f>
        <v>2</v>
      </c>
      <c r="Q49" s="15">
        <f>O49*G48</f>
        <v>6.2351491800902284E-2</v>
      </c>
      <c r="R49" s="16">
        <f t="shared" si="4"/>
        <v>7</v>
      </c>
      <c r="V49" s="109"/>
      <c r="W49" s="118"/>
    </row>
    <row r="50" spans="1:23" ht="16" thickBot="1" x14ac:dyDescent="0.4">
      <c r="A50" s="162"/>
      <c r="B50" s="164"/>
      <c r="C50" s="164"/>
      <c r="D50" s="164"/>
      <c r="E50" s="164"/>
      <c r="F50" s="164"/>
      <c r="G50" s="166"/>
      <c r="H50" s="164"/>
      <c r="I50" s="86" t="s">
        <v>49</v>
      </c>
      <c r="J50" s="164" t="s">
        <v>50</v>
      </c>
      <c r="K50" s="164"/>
      <c r="L50" s="164"/>
      <c r="M50" s="164"/>
      <c r="N50" s="164"/>
      <c r="O50" s="130">
        <v>0.22747762745095254</v>
      </c>
      <c r="P50" s="17">
        <f>RANK(O50,O48:O50)</f>
        <v>3</v>
      </c>
      <c r="Q50" s="15">
        <f>O50*G48</f>
        <v>5.4048794288983529E-2</v>
      </c>
      <c r="R50" s="16">
        <f t="shared" si="4"/>
        <v>8</v>
      </c>
      <c r="V50" s="109"/>
      <c r="W50" s="118"/>
    </row>
    <row r="51" spans="1:23" ht="15.5" x14ac:dyDescent="0.35">
      <c r="A51" s="161" t="s">
        <v>51</v>
      </c>
      <c r="B51" s="163" t="s">
        <v>52</v>
      </c>
      <c r="C51" s="163"/>
      <c r="D51" s="163"/>
      <c r="E51" s="163"/>
      <c r="F51" s="163"/>
      <c r="G51" s="165">
        <v>0.43762801421859793</v>
      </c>
      <c r="H51" s="163">
        <f>RANK(G51,G44:G52)</f>
        <v>1</v>
      </c>
      <c r="I51" s="84" t="s">
        <v>53</v>
      </c>
      <c r="J51" s="163" t="s">
        <v>54</v>
      </c>
      <c r="K51" s="163"/>
      <c r="L51" s="163"/>
      <c r="M51" s="163"/>
      <c r="N51" s="163"/>
      <c r="O51" s="128">
        <v>0.4982523074473566</v>
      </c>
      <c r="P51" s="14">
        <f>RANK(O51,O51:O52)</f>
        <v>2</v>
      </c>
      <c r="Q51" s="15">
        <f>O51*G51</f>
        <v>0.21804916788802101</v>
      </c>
      <c r="R51" s="16">
        <f t="shared" si="4"/>
        <v>2</v>
      </c>
      <c r="V51" s="109"/>
      <c r="W51" s="118"/>
    </row>
    <row r="52" spans="1:23" ht="16" thickBot="1" x14ac:dyDescent="0.4">
      <c r="A52" s="162"/>
      <c r="B52" s="164"/>
      <c r="C52" s="164"/>
      <c r="D52" s="164"/>
      <c r="E52" s="164"/>
      <c r="F52" s="164"/>
      <c r="G52" s="166"/>
      <c r="H52" s="164"/>
      <c r="I52" s="18" t="s">
        <v>55</v>
      </c>
      <c r="J52" s="167" t="s">
        <v>56</v>
      </c>
      <c r="K52" s="168"/>
      <c r="L52" s="168"/>
      <c r="M52" s="168"/>
      <c r="N52" s="168"/>
      <c r="O52" s="130">
        <v>0.5017476925526434</v>
      </c>
      <c r="P52" s="17">
        <f>RANK(O52,O51:O52)</f>
        <v>1</v>
      </c>
      <c r="Q52" s="19">
        <f>O52*G51</f>
        <v>0.21957884633057692</v>
      </c>
      <c r="R52" s="16">
        <f t="shared" si="4"/>
        <v>1</v>
      </c>
      <c r="V52" s="109"/>
      <c r="W52" s="118"/>
    </row>
  </sheetData>
  <mergeCells count="28">
    <mergeCell ref="A51:A52"/>
    <mergeCell ref="B51:F52"/>
    <mergeCell ref="G51:G52"/>
    <mergeCell ref="H51:H52"/>
    <mergeCell ref="J51:N51"/>
    <mergeCell ref="J52:N52"/>
    <mergeCell ref="A48:A50"/>
    <mergeCell ref="B48:F50"/>
    <mergeCell ref="G48:G50"/>
    <mergeCell ref="H48:H50"/>
    <mergeCell ref="J48:N48"/>
    <mergeCell ref="J49:N49"/>
    <mergeCell ref="J50:N50"/>
    <mergeCell ref="A44:A47"/>
    <mergeCell ref="B44:F47"/>
    <mergeCell ref="G44:G47"/>
    <mergeCell ref="H44:H47"/>
    <mergeCell ref="J44:N44"/>
    <mergeCell ref="J45:N45"/>
    <mergeCell ref="J46:N46"/>
    <mergeCell ref="J47:N47"/>
    <mergeCell ref="B43:F43"/>
    <mergeCell ref="J43:N43"/>
    <mergeCell ref="A1:A2"/>
    <mergeCell ref="AB20:AC20"/>
    <mergeCell ref="Y38:AB38"/>
    <mergeCell ref="Y39:AB39"/>
    <mergeCell ref="A42:C4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CopyFilteredData">
                <anchor moveWithCells="1" sizeWithCells="1">
                  <from>
                    <xdr:col>5</xdr:col>
                    <xdr:colOff>12700</xdr:colOff>
                    <xdr:row>37</xdr:row>
                    <xdr:rowOff>12700</xdr:rowOff>
                  </from>
                  <to>
                    <xdr:col>6</xdr:col>
                    <xdr:colOff>850900</xdr:colOff>
                    <xdr:row>38</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promptTitle="Age" prompt="Select the age included in the study" xr:uid="{00000000-0002-0000-0700-000000000000}">
          <x14:formula1>
            <xm:f>'Sociodem statistics'!$B$2:$B$5</xm:f>
          </x14:formula1>
          <xm:sqref>A29</xm:sqref>
        </x14:dataValidation>
        <x14:dataValidation type="list" allowBlank="1" showInputMessage="1" showErrorMessage="1" promptTitle="Gender" prompt="Select the gender under evaluation" xr:uid="{00000000-0002-0000-0700-000001000000}">
          <x14:formula1>
            <xm:f>'Sociodem statistics'!$B$6:$B$8</xm:f>
          </x14:formula1>
          <xm:sqref>A30</xm:sqref>
        </x14:dataValidation>
        <x14:dataValidation type="list" allowBlank="1" showInputMessage="1" showErrorMessage="1" promptTitle="Education" prompt="Select the level of education:_x000a_- Low level: &lt; lower secundary education_x000a_- Medium level:between upper secondary and short-cycle tertiary education_x000a_- High level: degree or higher" xr:uid="{00000000-0002-0000-0700-000002000000}">
          <x14:formula1>
            <xm:f>'Sociodem statistics'!$B$9:$B$12</xm:f>
          </x14:formula1>
          <xm:sqref>A31</xm:sqref>
        </x14:dataValidation>
        <x14:dataValidation type="list" allowBlank="1" showInputMessage="1" showErrorMessage="1" promptTitle="Disability" prompt="Choose if you are considering people with or without disability_x000a_" xr:uid="{00000000-0002-0000-0700-000003000000}">
          <x14:formula1>
            <xm:f>'Sociodem statistics'!$B$13:$B$15</xm:f>
          </x14:formula1>
          <xm:sqref>A32</xm:sqref>
        </x14:dataValidation>
        <x14:dataValidation type="list" allowBlank="1" showInputMessage="1" showErrorMessage="1" promptTitle="Family" prompt="Select the family size" xr:uid="{00000000-0002-0000-0700-000004000000}">
          <x14:formula1>
            <xm:f>'Sociodem statistics'!$B$16:$B$19</xm:f>
          </x14:formula1>
          <xm:sqref>A33</xm:sqref>
        </x14:dataValidation>
        <x14:dataValidation type="list" allowBlank="1" showInputMessage="1" showErrorMessage="1" promptTitle="Sexual orientation" prompt="Select: heterosexual, LGTB or All" xr:uid="{00000000-0002-0000-0700-000005000000}">
          <x14:formula1>
            <xm:f>'Sociodem statistics'!$B$29:$B$31</xm:f>
          </x14:formula1>
          <xm:sqref>A34</xm:sqref>
        </x14:dataValidation>
        <x14:dataValidation type="list" allowBlank="1" showInputMessage="1" showErrorMessage="1" promptTitle="Economic level" prompt="Select the economic level._x000a_Note: Low wage earners are defined as employees who earn two thirds or less of national median gross hourly earnings. " xr:uid="{00000000-0002-0000-0700-000006000000}">
          <x14:formula1>
            <xm:f>'Sociodem statistics'!$B$39:$B$41</xm:f>
          </x14:formula1>
          <xm:sqref>A35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F54"/>
  <sheetViews>
    <sheetView topLeftCell="A32" workbookViewId="0">
      <selection activeCell="D39" sqref="D39"/>
    </sheetView>
  </sheetViews>
  <sheetFormatPr baseColWidth="10" defaultColWidth="8.7265625" defaultRowHeight="14.5" x14ac:dyDescent="0.35"/>
  <cols>
    <col min="1" max="1" width="39" bestFit="1" customWidth="1"/>
    <col min="9" max="9" width="9.54296875" bestFit="1" customWidth="1"/>
    <col min="14" max="14" width="9.54296875" bestFit="1" customWidth="1"/>
  </cols>
  <sheetData>
    <row r="1" spans="1:27" x14ac:dyDescent="0.35">
      <c r="A1" s="171" t="s">
        <v>418</v>
      </c>
      <c r="B1" s="1"/>
      <c r="C1" s="1"/>
      <c r="D1" s="1"/>
      <c r="E1" s="1"/>
      <c r="F1" s="1"/>
      <c r="G1" s="1"/>
      <c r="H1" s="1"/>
      <c r="I1" s="1"/>
      <c r="J1" s="1"/>
      <c r="K1" s="1"/>
      <c r="L1" s="1"/>
      <c r="M1" s="1"/>
      <c r="N1" s="1"/>
      <c r="O1" s="1"/>
      <c r="P1" s="1"/>
      <c r="Q1" s="1"/>
      <c r="R1" s="1"/>
      <c r="S1" s="1"/>
      <c r="T1" s="1"/>
      <c r="U1" s="1"/>
      <c r="V1" s="1"/>
      <c r="W1" s="1"/>
      <c r="X1" s="1"/>
      <c r="Y1" s="1"/>
      <c r="Z1" s="1"/>
      <c r="AA1" s="1"/>
    </row>
    <row r="2" spans="1:27" x14ac:dyDescent="0.35">
      <c r="A2" s="171"/>
      <c r="B2" s="2" t="s">
        <v>0</v>
      </c>
      <c r="C2" s="2" t="s">
        <v>1</v>
      </c>
      <c r="D2" s="2" t="s">
        <v>2</v>
      </c>
      <c r="E2" s="2" t="s">
        <v>3</v>
      </c>
      <c r="F2" s="2" t="s">
        <v>4</v>
      </c>
      <c r="G2" s="2" t="s">
        <v>5</v>
      </c>
      <c r="H2" s="2" t="s">
        <v>6</v>
      </c>
      <c r="I2" s="2" t="s">
        <v>7</v>
      </c>
      <c r="J2" s="2" t="s">
        <v>8</v>
      </c>
      <c r="K2" s="2" t="s">
        <v>9</v>
      </c>
      <c r="L2" s="2" t="s">
        <v>10</v>
      </c>
      <c r="M2" s="2" t="s">
        <v>11</v>
      </c>
      <c r="N2" s="2" t="s">
        <v>12</v>
      </c>
      <c r="O2" s="2" t="s">
        <v>13</v>
      </c>
      <c r="P2" s="2" t="s">
        <v>14</v>
      </c>
      <c r="Q2" s="2" t="s">
        <v>15</v>
      </c>
      <c r="R2" s="2" t="s">
        <v>16</v>
      </c>
      <c r="S2" s="2" t="s">
        <v>17</v>
      </c>
      <c r="T2" s="2" t="s">
        <v>18</v>
      </c>
      <c r="U2" s="2" t="s">
        <v>19</v>
      </c>
      <c r="V2" s="2" t="s">
        <v>20</v>
      </c>
      <c r="W2" s="2" t="s">
        <v>21</v>
      </c>
      <c r="X2" s="2" t="s">
        <v>22</v>
      </c>
      <c r="Y2" s="2" t="s">
        <v>23</v>
      </c>
      <c r="Z2" s="2" t="s">
        <v>24</v>
      </c>
      <c r="AA2" s="2" t="s">
        <v>25</v>
      </c>
    </row>
    <row r="3" spans="1:27" ht="15" x14ac:dyDescent="0.25">
      <c r="A3" s="3">
        <v>1</v>
      </c>
      <c r="B3" s="4">
        <v>4</v>
      </c>
      <c r="C3" s="49">
        <v>4</v>
      </c>
      <c r="D3" s="4">
        <v>7</v>
      </c>
      <c r="E3" s="49">
        <v>7</v>
      </c>
      <c r="F3" s="4">
        <v>3</v>
      </c>
      <c r="G3" s="49">
        <v>3</v>
      </c>
      <c r="H3" s="4">
        <v>7</v>
      </c>
      <c r="I3" s="49">
        <v>7</v>
      </c>
      <c r="J3" s="4">
        <v>6</v>
      </c>
      <c r="K3" s="49">
        <v>6</v>
      </c>
      <c r="L3" s="4">
        <v>3</v>
      </c>
      <c r="M3" s="49">
        <v>3</v>
      </c>
      <c r="N3" s="4">
        <v>20</v>
      </c>
      <c r="O3" s="49">
        <v>20</v>
      </c>
      <c r="P3" s="4">
        <v>24</v>
      </c>
      <c r="Q3" s="49">
        <v>24</v>
      </c>
      <c r="R3" s="4">
        <v>23</v>
      </c>
      <c r="S3" s="49">
        <v>23</v>
      </c>
      <c r="T3" s="4">
        <v>26</v>
      </c>
      <c r="U3" s="49">
        <v>26</v>
      </c>
      <c r="V3" s="4">
        <v>18</v>
      </c>
      <c r="W3" s="49">
        <v>18</v>
      </c>
      <c r="X3" s="4">
        <v>19</v>
      </c>
      <c r="Y3" s="49">
        <v>19</v>
      </c>
      <c r="Z3" s="4">
        <v>16</v>
      </c>
      <c r="AA3" s="49">
        <v>16</v>
      </c>
    </row>
    <row r="4" spans="1:27" ht="15" x14ac:dyDescent="0.25">
      <c r="A4" s="3">
        <v>2</v>
      </c>
      <c r="B4" s="4">
        <v>0</v>
      </c>
      <c r="C4" s="49">
        <v>0</v>
      </c>
      <c r="D4" s="4">
        <v>0</v>
      </c>
      <c r="E4" s="49">
        <v>0</v>
      </c>
      <c r="F4" s="4">
        <v>0</v>
      </c>
      <c r="G4" s="49">
        <v>0</v>
      </c>
      <c r="H4" s="4">
        <v>0</v>
      </c>
      <c r="I4" s="49">
        <v>0</v>
      </c>
      <c r="J4" s="4">
        <v>0</v>
      </c>
      <c r="K4" s="49">
        <v>0</v>
      </c>
      <c r="L4" s="4">
        <v>0</v>
      </c>
      <c r="M4" s="49">
        <v>0</v>
      </c>
      <c r="N4" s="4">
        <v>0</v>
      </c>
      <c r="O4" s="49">
        <v>0</v>
      </c>
      <c r="P4" s="4">
        <v>0</v>
      </c>
      <c r="Q4" s="49">
        <v>0</v>
      </c>
      <c r="R4" s="4">
        <v>0</v>
      </c>
      <c r="S4" s="49">
        <v>0</v>
      </c>
      <c r="T4" s="4">
        <v>1</v>
      </c>
      <c r="U4" s="49">
        <v>0</v>
      </c>
      <c r="V4" s="4">
        <v>0</v>
      </c>
      <c r="W4" s="49">
        <v>0</v>
      </c>
      <c r="X4" s="4">
        <v>0</v>
      </c>
      <c r="Y4" s="49">
        <v>0</v>
      </c>
      <c r="Z4" s="4">
        <v>0</v>
      </c>
      <c r="AA4" s="49">
        <v>0</v>
      </c>
    </row>
    <row r="5" spans="1:27" ht="15" x14ac:dyDescent="0.25">
      <c r="A5" s="3">
        <v>3</v>
      </c>
      <c r="B5" s="4">
        <v>0</v>
      </c>
      <c r="C5" s="49">
        <v>0</v>
      </c>
      <c r="D5" s="4">
        <v>0</v>
      </c>
      <c r="E5" s="49">
        <v>0</v>
      </c>
      <c r="F5" s="4">
        <v>1</v>
      </c>
      <c r="G5" s="49">
        <v>0</v>
      </c>
      <c r="H5" s="4">
        <v>0</v>
      </c>
      <c r="I5" s="49">
        <v>0</v>
      </c>
      <c r="J5" s="4">
        <v>0</v>
      </c>
      <c r="K5" s="49">
        <v>0</v>
      </c>
      <c r="L5" s="4">
        <v>0</v>
      </c>
      <c r="M5" s="49">
        <v>0</v>
      </c>
      <c r="N5" s="4">
        <v>1</v>
      </c>
      <c r="O5" s="49">
        <v>0</v>
      </c>
      <c r="P5" s="4">
        <v>1</v>
      </c>
      <c r="Q5" s="49">
        <v>0</v>
      </c>
      <c r="R5" s="4">
        <v>0</v>
      </c>
      <c r="S5" s="49">
        <v>0</v>
      </c>
      <c r="T5" s="4">
        <v>1</v>
      </c>
      <c r="U5" s="49">
        <v>0</v>
      </c>
      <c r="V5" s="4">
        <v>1</v>
      </c>
      <c r="W5" s="49">
        <v>0</v>
      </c>
      <c r="X5" s="4">
        <v>0</v>
      </c>
      <c r="Y5" s="49">
        <v>1</v>
      </c>
      <c r="Z5" s="4">
        <v>0</v>
      </c>
      <c r="AA5" s="49">
        <v>0</v>
      </c>
    </row>
    <row r="6" spans="1:27" ht="15" x14ac:dyDescent="0.25">
      <c r="A6" s="3">
        <v>4</v>
      </c>
      <c r="B6" s="4">
        <v>1</v>
      </c>
      <c r="C6" s="49">
        <v>0</v>
      </c>
      <c r="D6" s="4">
        <v>1</v>
      </c>
      <c r="E6" s="49">
        <v>0</v>
      </c>
      <c r="F6" s="4">
        <v>1</v>
      </c>
      <c r="G6" s="49">
        <v>0</v>
      </c>
      <c r="H6" s="4">
        <v>0</v>
      </c>
      <c r="I6" s="49">
        <v>1</v>
      </c>
      <c r="J6" s="4">
        <v>0</v>
      </c>
      <c r="K6" s="49">
        <v>2</v>
      </c>
      <c r="L6" s="4">
        <v>1</v>
      </c>
      <c r="M6" s="49">
        <v>0</v>
      </c>
      <c r="N6" s="4">
        <v>0</v>
      </c>
      <c r="O6" s="49">
        <v>0</v>
      </c>
      <c r="P6" s="4">
        <v>0</v>
      </c>
      <c r="Q6" s="49">
        <v>0</v>
      </c>
      <c r="R6" s="4">
        <v>0</v>
      </c>
      <c r="S6" s="49">
        <v>0</v>
      </c>
      <c r="T6" s="4">
        <v>0</v>
      </c>
      <c r="U6" s="49">
        <v>0</v>
      </c>
      <c r="V6" s="4">
        <v>1</v>
      </c>
      <c r="W6" s="49">
        <v>0</v>
      </c>
      <c r="X6" s="4">
        <v>0</v>
      </c>
      <c r="Y6" s="49">
        <v>2</v>
      </c>
      <c r="Z6" s="4">
        <v>0</v>
      </c>
      <c r="AA6" s="49">
        <v>0</v>
      </c>
    </row>
    <row r="7" spans="1:27" ht="15" x14ac:dyDescent="0.25">
      <c r="A7" s="3">
        <v>5</v>
      </c>
      <c r="B7" s="4">
        <v>0</v>
      </c>
      <c r="C7" s="49">
        <v>0</v>
      </c>
      <c r="D7" s="4">
        <v>2</v>
      </c>
      <c r="E7" s="49">
        <v>0</v>
      </c>
      <c r="F7" s="4">
        <v>3</v>
      </c>
      <c r="G7" s="49">
        <v>0</v>
      </c>
      <c r="H7" s="4">
        <v>0</v>
      </c>
      <c r="I7" s="49">
        <v>2</v>
      </c>
      <c r="J7" s="4">
        <v>1</v>
      </c>
      <c r="K7" s="49">
        <v>1</v>
      </c>
      <c r="L7" s="4">
        <v>2</v>
      </c>
      <c r="M7" s="49">
        <v>2</v>
      </c>
      <c r="N7" s="4">
        <v>0</v>
      </c>
      <c r="O7" s="49">
        <v>1</v>
      </c>
      <c r="P7" s="4">
        <v>2</v>
      </c>
      <c r="Q7" s="49">
        <v>0</v>
      </c>
      <c r="R7" s="4">
        <v>0</v>
      </c>
      <c r="S7" s="49">
        <v>0</v>
      </c>
      <c r="T7" s="4">
        <v>0</v>
      </c>
      <c r="U7" s="49">
        <v>0</v>
      </c>
      <c r="V7" s="4">
        <v>2</v>
      </c>
      <c r="W7" s="49">
        <v>1</v>
      </c>
      <c r="X7" s="4">
        <v>0</v>
      </c>
      <c r="Y7" s="49">
        <v>4</v>
      </c>
      <c r="Z7" s="4">
        <v>1</v>
      </c>
      <c r="AA7" s="49">
        <v>2</v>
      </c>
    </row>
    <row r="8" spans="1:27" ht="15" x14ac:dyDescent="0.25">
      <c r="A8" s="3">
        <v>6</v>
      </c>
      <c r="B8" s="4">
        <v>2</v>
      </c>
      <c r="C8" s="49">
        <v>0</v>
      </c>
      <c r="D8" s="4">
        <v>0</v>
      </c>
      <c r="E8" s="49">
        <v>0</v>
      </c>
      <c r="F8" s="4">
        <v>1</v>
      </c>
      <c r="G8" s="49">
        <v>0</v>
      </c>
      <c r="H8" s="4">
        <v>0</v>
      </c>
      <c r="I8" s="49">
        <v>2</v>
      </c>
      <c r="J8" s="4">
        <v>0</v>
      </c>
      <c r="K8" s="49">
        <v>0</v>
      </c>
      <c r="L8" s="4">
        <v>1</v>
      </c>
      <c r="M8" s="49">
        <v>0</v>
      </c>
      <c r="N8" s="4">
        <v>3</v>
      </c>
      <c r="O8" s="49">
        <v>0</v>
      </c>
      <c r="P8" s="4">
        <v>3</v>
      </c>
      <c r="Q8" s="49">
        <v>0</v>
      </c>
      <c r="R8" s="4">
        <v>3</v>
      </c>
      <c r="S8" s="49">
        <v>0</v>
      </c>
      <c r="T8" s="4">
        <v>0</v>
      </c>
      <c r="U8" s="49">
        <v>1</v>
      </c>
      <c r="V8" s="4">
        <v>2</v>
      </c>
      <c r="W8" s="49">
        <v>2</v>
      </c>
      <c r="X8" s="4">
        <v>2</v>
      </c>
      <c r="Y8" s="49">
        <v>1</v>
      </c>
      <c r="Z8" s="4">
        <v>3</v>
      </c>
      <c r="AA8" s="49">
        <v>2</v>
      </c>
    </row>
    <row r="9" spans="1:27" ht="15" x14ac:dyDescent="0.25">
      <c r="A9" s="3">
        <v>7</v>
      </c>
      <c r="B9" s="4">
        <v>5</v>
      </c>
      <c r="C9" s="49">
        <v>0</v>
      </c>
      <c r="D9" s="4">
        <v>2</v>
      </c>
      <c r="E9" s="49">
        <v>0</v>
      </c>
      <c r="F9" s="4">
        <v>1</v>
      </c>
      <c r="G9" s="49">
        <v>0</v>
      </c>
      <c r="H9" s="4">
        <v>1</v>
      </c>
      <c r="I9" s="49">
        <v>0</v>
      </c>
      <c r="J9" s="4">
        <v>0</v>
      </c>
      <c r="K9" s="49">
        <v>2</v>
      </c>
      <c r="L9" s="4">
        <v>2</v>
      </c>
      <c r="M9" s="49">
        <v>1</v>
      </c>
      <c r="N9" s="4">
        <v>4</v>
      </c>
      <c r="O9" s="49">
        <v>4</v>
      </c>
      <c r="P9" s="4">
        <v>5</v>
      </c>
      <c r="Q9" s="49">
        <v>0</v>
      </c>
      <c r="R9" s="4">
        <v>4</v>
      </c>
      <c r="S9" s="49">
        <v>2</v>
      </c>
      <c r="T9" s="4">
        <v>1</v>
      </c>
      <c r="U9" s="49">
        <v>4</v>
      </c>
      <c r="V9" s="4">
        <v>6</v>
      </c>
      <c r="W9" s="49">
        <v>0</v>
      </c>
      <c r="X9" s="4">
        <v>3</v>
      </c>
      <c r="Y9" s="49">
        <v>2</v>
      </c>
      <c r="Z9" s="4">
        <v>1</v>
      </c>
      <c r="AA9" s="49">
        <v>6</v>
      </c>
    </row>
    <row r="10" spans="1:27" ht="15" x14ac:dyDescent="0.25">
      <c r="A10" s="3">
        <v>8</v>
      </c>
      <c r="B10" s="4">
        <v>0</v>
      </c>
      <c r="C10" s="49">
        <v>0</v>
      </c>
      <c r="D10" s="4">
        <v>0</v>
      </c>
      <c r="E10" s="49">
        <v>0</v>
      </c>
      <c r="F10" s="4">
        <v>3</v>
      </c>
      <c r="G10" s="49">
        <v>0</v>
      </c>
      <c r="H10" s="4">
        <v>0</v>
      </c>
      <c r="I10" s="49">
        <v>0</v>
      </c>
      <c r="J10" s="4">
        <v>1</v>
      </c>
      <c r="K10" s="49">
        <v>0</v>
      </c>
      <c r="L10" s="4">
        <v>1</v>
      </c>
      <c r="M10" s="49">
        <v>0</v>
      </c>
      <c r="N10" s="4">
        <v>1</v>
      </c>
      <c r="O10" s="49">
        <v>2</v>
      </c>
      <c r="P10" s="4">
        <v>2</v>
      </c>
      <c r="Q10" s="49">
        <v>3</v>
      </c>
      <c r="R10" s="4">
        <v>4</v>
      </c>
      <c r="S10" s="49">
        <v>2</v>
      </c>
      <c r="T10" s="4">
        <v>1</v>
      </c>
      <c r="U10" s="49">
        <v>2</v>
      </c>
      <c r="V10" s="4">
        <v>2</v>
      </c>
      <c r="W10" s="49">
        <v>0</v>
      </c>
      <c r="X10" s="4">
        <v>1</v>
      </c>
      <c r="Y10" s="49">
        <v>2</v>
      </c>
      <c r="Z10" s="4">
        <v>0</v>
      </c>
      <c r="AA10" s="49">
        <v>5</v>
      </c>
    </row>
    <row r="11" spans="1:27" ht="15" x14ac:dyDescent="0.25">
      <c r="A11" s="3">
        <v>9</v>
      </c>
      <c r="B11" s="4">
        <v>1</v>
      </c>
      <c r="C11" s="49">
        <v>0</v>
      </c>
      <c r="D11" s="4">
        <v>0</v>
      </c>
      <c r="E11" s="49">
        <v>1</v>
      </c>
      <c r="F11" s="4">
        <v>0</v>
      </c>
      <c r="G11" s="49">
        <v>0</v>
      </c>
      <c r="H11" s="4">
        <v>0</v>
      </c>
      <c r="I11" s="49">
        <v>0</v>
      </c>
      <c r="J11" s="4">
        <v>0</v>
      </c>
      <c r="K11" s="49">
        <v>0</v>
      </c>
      <c r="L11" s="4">
        <v>0</v>
      </c>
      <c r="M11" s="49">
        <v>0</v>
      </c>
      <c r="N11" s="4">
        <v>4</v>
      </c>
      <c r="O11" s="49">
        <v>1</v>
      </c>
      <c r="P11" s="4">
        <v>1</v>
      </c>
      <c r="Q11" s="49">
        <v>0</v>
      </c>
      <c r="R11" s="4">
        <v>2</v>
      </c>
      <c r="S11" s="49">
        <v>1</v>
      </c>
      <c r="T11" s="4">
        <v>2</v>
      </c>
      <c r="U11" s="49">
        <v>2</v>
      </c>
      <c r="V11" s="4">
        <v>4</v>
      </c>
      <c r="W11" s="49">
        <v>0</v>
      </c>
      <c r="X11" s="4">
        <v>0</v>
      </c>
      <c r="Y11" s="49">
        <v>2</v>
      </c>
      <c r="Z11" s="4">
        <v>0</v>
      </c>
      <c r="AA11" s="49">
        <v>3</v>
      </c>
    </row>
    <row r="12" spans="1:27" ht="15" x14ac:dyDescent="0.25">
      <c r="A12" s="5">
        <v>0.5</v>
      </c>
      <c r="B12" s="4">
        <v>0</v>
      </c>
      <c r="C12" s="49">
        <v>0</v>
      </c>
      <c r="D12" s="4">
        <v>0</v>
      </c>
      <c r="E12" s="49">
        <v>0</v>
      </c>
      <c r="F12" s="4">
        <v>0</v>
      </c>
      <c r="G12" s="49">
        <v>0</v>
      </c>
      <c r="H12" s="4">
        <v>0</v>
      </c>
      <c r="I12" s="49">
        <v>0</v>
      </c>
      <c r="J12" s="4">
        <v>0</v>
      </c>
      <c r="K12" s="49">
        <v>0</v>
      </c>
      <c r="L12" s="4">
        <v>0</v>
      </c>
      <c r="M12" s="49">
        <v>0</v>
      </c>
      <c r="N12" s="4">
        <v>0</v>
      </c>
      <c r="O12" s="49">
        <v>0</v>
      </c>
      <c r="P12" s="4">
        <v>0</v>
      </c>
      <c r="Q12" s="49">
        <v>0</v>
      </c>
      <c r="R12" s="4">
        <v>0</v>
      </c>
      <c r="S12" s="49">
        <v>0</v>
      </c>
      <c r="T12" s="4">
        <v>0</v>
      </c>
      <c r="U12" s="49">
        <v>1</v>
      </c>
      <c r="V12" s="4">
        <v>0</v>
      </c>
      <c r="W12" s="49">
        <v>0</v>
      </c>
      <c r="X12" s="4">
        <v>0</v>
      </c>
      <c r="Y12" s="49">
        <v>0</v>
      </c>
      <c r="Z12" s="4">
        <v>0</v>
      </c>
      <c r="AA12" s="49">
        <v>0</v>
      </c>
    </row>
    <row r="13" spans="1:27" ht="15" x14ac:dyDescent="0.25">
      <c r="A13" s="5">
        <v>0.33333333333333331</v>
      </c>
      <c r="B13" s="4">
        <v>0</v>
      </c>
      <c r="C13" s="49">
        <v>0</v>
      </c>
      <c r="D13" s="4">
        <v>0</v>
      </c>
      <c r="E13" s="49">
        <v>0</v>
      </c>
      <c r="F13" s="4">
        <v>0</v>
      </c>
      <c r="G13" s="49">
        <v>1</v>
      </c>
      <c r="H13" s="4">
        <v>0</v>
      </c>
      <c r="I13" s="49">
        <v>0</v>
      </c>
      <c r="J13" s="4">
        <v>0</v>
      </c>
      <c r="K13" s="49">
        <v>0</v>
      </c>
      <c r="L13" s="4">
        <v>0</v>
      </c>
      <c r="M13" s="49">
        <v>0</v>
      </c>
      <c r="N13" s="4">
        <v>0</v>
      </c>
      <c r="O13" s="49">
        <v>1</v>
      </c>
      <c r="P13" s="4">
        <v>0</v>
      </c>
      <c r="Q13" s="49">
        <v>1</v>
      </c>
      <c r="R13" s="4">
        <v>0</v>
      </c>
      <c r="S13" s="49">
        <v>0</v>
      </c>
      <c r="T13" s="4">
        <v>0</v>
      </c>
      <c r="U13" s="49">
        <v>1</v>
      </c>
      <c r="V13" s="4">
        <v>0</v>
      </c>
      <c r="W13" s="49">
        <v>1</v>
      </c>
      <c r="X13" s="4">
        <v>1</v>
      </c>
      <c r="Y13" s="49">
        <v>0</v>
      </c>
      <c r="Z13" s="4">
        <v>0</v>
      </c>
      <c r="AA13" s="49">
        <v>0</v>
      </c>
    </row>
    <row r="14" spans="1:27" ht="15" x14ac:dyDescent="0.25">
      <c r="A14" s="5">
        <v>0.25</v>
      </c>
      <c r="B14" s="4">
        <v>0</v>
      </c>
      <c r="C14" s="49">
        <v>1</v>
      </c>
      <c r="D14" s="4">
        <v>0</v>
      </c>
      <c r="E14" s="49">
        <v>1</v>
      </c>
      <c r="F14" s="4">
        <v>0</v>
      </c>
      <c r="G14" s="49">
        <v>1</v>
      </c>
      <c r="H14" s="4">
        <v>1</v>
      </c>
      <c r="I14" s="49">
        <v>0</v>
      </c>
      <c r="J14" s="4">
        <v>2</v>
      </c>
      <c r="K14" s="49">
        <v>0</v>
      </c>
      <c r="L14" s="4">
        <v>0</v>
      </c>
      <c r="M14" s="49">
        <v>1</v>
      </c>
      <c r="N14" s="4">
        <v>0</v>
      </c>
      <c r="O14" s="49">
        <v>0</v>
      </c>
      <c r="P14" s="4">
        <v>0</v>
      </c>
      <c r="Q14" s="49">
        <v>0</v>
      </c>
      <c r="R14" s="4">
        <v>0</v>
      </c>
      <c r="S14" s="49">
        <v>0</v>
      </c>
      <c r="T14" s="4">
        <v>0</v>
      </c>
      <c r="U14" s="49">
        <v>0</v>
      </c>
      <c r="V14" s="4">
        <v>0</v>
      </c>
      <c r="W14" s="49">
        <v>1</v>
      </c>
      <c r="X14" s="4">
        <v>2</v>
      </c>
      <c r="Y14" s="49">
        <v>0</v>
      </c>
      <c r="Z14" s="4">
        <v>0</v>
      </c>
      <c r="AA14" s="49">
        <v>0</v>
      </c>
    </row>
    <row r="15" spans="1:27" ht="15" x14ac:dyDescent="0.25">
      <c r="A15" s="5">
        <v>0.2</v>
      </c>
      <c r="B15" s="4">
        <v>0</v>
      </c>
      <c r="C15" s="49">
        <v>0</v>
      </c>
      <c r="D15" s="4">
        <v>0</v>
      </c>
      <c r="E15" s="49">
        <v>2</v>
      </c>
      <c r="F15" s="4">
        <v>0</v>
      </c>
      <c r="G15" s="49">
        <v>3</v>
      </c>
      <c r="H15" s="4">
        <v>2</v>
      </c>
      <c r="I15" s="49">
        <v>0</v>
      </c>
      <c r="J15" s="4">
        <v>1</v>
      </c>
      <c r="K15" s="49">
        <v>1</v>
      </c>
      <c r="L15" s="4">
        <v>2</v>
      </c>
      <c r="M15" s="49">
        <v>2</v>
      </c>
      <c r="N15" s="4">
        <v>1</v>
      </c>
      <c r="O15" s="49">
        <v>0</v>
      </c>
      <c r="P15" s="4">
        <v>0</v>
      </c>
      <c r="Q15" s="49">
        <v>2</v>
      </c>
      <c r="R15" s="4">
        <v>0</v>
      </c>
      <c r="S15" s="49">
        <v>0</v>
      </c>
      <c r="T15" s="4">
        <v>0</v>
      </c>
      <c r="U15" s="49">
        <v>0</v>
      </c>
      <c r="V15" s="4">
        <v>1</v>
      </c>
      <c r="W15" s="49">
        <v>2</v>
      </c>
      <c r="X15" s="4">
        <v>4</v>
      </c>
      <c r="Y15" s="49">
        <v>0</v>
      </c>
      <c r="Z15" s="4">
        <v>2</v>
      </c>
      <c r="AA15" s="49">
        <v>1</v>
      </c>
    </row>
    <row r="16" spans="1:27" ht="15" x14ac:dyDescent="0.25">
      <c r="A16" s="5">
        <v>0.16666666666666666</v>
      </c>
      <c r="B16" s="4">
        <v>0</v>
      </c>
      <c r="C16" s="49">
        <v>2</v>
      </c>
      <c r="D16" s="4">
        <v>0</v>
      </c>
      <c r="E16" s="49">
        <v>0</v>
      </c>
      <c r="F16" s="4">
        <v>0</v>
      </c>
      <c r="G16" s="49">
        <v>1</v>
      </c>
      <c r="H16" s="4">
        <v>2</v>
      </c>
      <c r="I16" s="49">
        <v>0</v>
      </c>
      <c r="J16" s="4">
        <v>0</v>
      </c>
      <c r="K16" s="49">
        <v>0</v>
      </c>
      <c r="L16" s="4">
        <v>0</v>
      </c>
      <c r="M16" s="49">
        <v>1</v>
      </c>
      <c r="N16" s="4">
        <v>0</v>
      </c>
      <c r="O16" s="49">
        <v>3</v>
      </c>
      <c r="P16" s="4">
        <v>0</v>
      </c>
      <c r="Q16" s="49">
        <v>3</v>
      </c>
      <c r="R16" s="4">
        <v>0</v>
      </c>
      <c r="S16" s="49">
        <v>3</v>
      </c>
      <c r="T16" s="4">
        <v>1</v>
      </c>
      <c r="U16" s="49">
        <v>0</v>
      </c>
      <c r="V16" s="4">
        <v>2</v>
      </c>
      <c r="W16" s="49">
        <v>2</v>
      </c>
      <c r="X16" s="4">
        <v>1</v>
      </c>
      <c r="Y16" s="49">
        <v>2</v>
      </c>
      <c r="Z16" s="4">
        <v>2</v>
      </c>
      <c r="AA16" s="49">
        <v>3</v>
      </c>
    </row>
    <row r="17" spans="1:32" ht="15" x14ac:dyDescent="0.25">
      <c r="A17" s="5">
        <v>0.14285714285714285</v>
      </c>
      <c r="B17" s="4">
        <v>0</v>
      </c>
      <c r="C17" s="49">
        <v>5</v>
      </c>
      <c r="D17" s="4">
        <v>0</v>
      </c>
      <c r="E17" s="49">
        <v>2</v>
      </c>
      <c r="F17" s="4">
        <v>0</v>
      </c>
      <c r="G17" s="49">
        <v>1</v>
      </c>
      <c r="H17" s="4">
        <v>0</v>
      </c>
      <c r="I17" s="49">
        <v>1</v>
      </c>
      <c r="J17" s="4">
        <v>2</v>
      </c>
      <c r="K17" s="49">
        <v>0</v>
      </c>
      <c r="L17" s="4">
        <v>1</v>
      </c>
      <c r="M17" s="49">
        <v>2</v>
      </c>
      <c r="N17" s="4">
        <v>4</v>
      </c>
      <c r="O17" s="49">
        <v>4</v>
      </c>
      <c r="P17" s="4">
        <v>0</v>
      </c>
      <c r="Q17" s="49">
        <v>5</v>
      </c>
      <c r="R17" s="4">
        <v>2</v>
      </c>
      <c r="S17" s="49">
        <v>4</v>
      </c>
      <c r="T17" s="4">
        <v>4</v>
      </c>
      <c r="U17" s="49">
        <v>1</v>
      </c>
      <c r="V17" s="4">
        <v>0</v>
      </c>
      <c r="W17" s="49">
        <v>6</v>
      </c>
      <c r="X17" s="4">
        <v>2</v>
      </c>
      <c r="Y17" s="49">
        <v>3</v>
      </c>
      <c r="Z17" s="4">
        <v>6</v>
      </c>
      <c r="AA17" s="49">
        <v>1</v>
      </c>
    </row>
    <row r="18" spans="1:32" ht="15" x14ac:dyDescent="0.25">
      <c r="A18" s="5">
        <v>0.125</v>
      </c>
      <c r="B18" s="4">
        <v>0</v>
      </c>
      <c r="C18" s="49">
        <v>0</v>
      </c>
      <c r="D18" s="4">
        <v>0</v>
      </c>
      <c r="E18" s="49">
        <v>0</v>
      </c>
      <c r="F18" s="4">
        <v>0</v>
      </c>
      <c r="G18" s="49">
        <v>3</v>
      </c>
      <c r="H18" s="4">
        <v>0</v>
      </c>
      <c r="I18" s="49">
        <v>0</v>
      </c>
      <c r="J18" s="4">
        <v>0</v>
      </c>
      <c r="K18" s="49">
        <v>1</v>
      </c>
      <c r="L18" s="4">
        <v>0</v>
      </c>
      <c r="M18" s="49">
        <v>1</v>
      </c>
      <c r="N18" s="4">
        <v>2</v>
      </c>
      <c r="O18" s="49">
        <v>1</v>
      </c>
      <c r="P18" s="4">
        <v>3</v>
      </c>
      <c r="Q18" s="49">
        <v>2</v>
      </c>
      <c r="R18" s="4">
        <v>2</v>
      </c>
      <c r="S18" s="49">
        <v>4</v>
      </c>
      <c r="T18" s="4">
        <v>2</v>
      </c>
      <c r="U18" s="49">
        <v>1</v>
      </c>
      <c r="V18" s="4">
        <v>0</v>
      </c>
      <c r="W18" s="49">
        <v>2</v>
      </c>
      <c r="X18" s="4">
        <v>2</v>
      </c>
      <c r="Y18" s="49">
        <v>1</v>
      </c>
      <c r="Z18" s="4">
        <v>5</v>
      </c>
      <c r="AA18" s="49">
        <v>0</v>
      </c>
    </row>
    <row r="19" spans="1:32" ht="15.75" thickBot="1" x14ac:dyDescent="0.3">
      <c r="A19" s="6">
        <v>0.1111111111111111</v>
      </c>
      <c r="B19" s="7">
        <v>0</v>
      </c>
      <c r="C19" s="50">
        <v>1</v>
      </c>
      <c r="D19" s="7">
        <v>1</v>
      </c>
      <c r="E19" s="50">
        <v>0</v>
      </c>
      <c r="F19" s="7">
        <v>0</v>
      </c>
      <c r="G19" s="50">
        <v>0</v>
      </c>
      <c r="H19" s="7">
        <v>0</v>
      </c>
      <c r="I19" s="50">
        <v>0</v>
      </c>
      <c r="J19" s="7">
        <v>0</v>
      </c>
      <c r="K19" s="50">
        <v>0</v>
      </c>
      <c r="L19" s="7">
        <v>0</v>
      </c>
      <c r="M19" s="50">
        <v>0</v>
      </c>
      <c r="N19" s="7">
        <v>1</v>
      </c>
      <c r="O19" s="50">
        <v>4</v>
      </c>
      <c r="P19" s="7">
        <v>0</v>
      </c>
      <c r="Q19" s="50">
        <v>1</v>
      </c>
      <c r="R19" s="7">
        <v>1</v>
      </c>
      <c r="S19" s="50">
        <v>2</v>
      </c>
      <c r="T19" s="7">
        <v>2</v>
      </c>
      <c r="U19" s="50">
        <v>2</v>
      </c>
      <c r="V19" s="7">
        <v>0</v>
      </c>
      <c r="W19" s="50">
        <v>4</v>
      </c>
      <c r="X19" s="7">
        <v>2</v>
      </c>
      <c r="Y19" s="50">
        <v>0</v>
      </c>
      <c r="Z19" s="7">
        <v>3</v>
      </c>
      <c r="AA19" s="50">
        <v>0</v>
      </c>
    </row>
    <row r="20" spans="1:32" ht="15" x14ac:dyDescent="0.25">
      <c r="A20" s="8" t="s">
        <v>58</v>
      </c>
      <c r="B20" s="9">
        <f>SUM(B3:B19)</f>
        <v>13</v>
      </c>
      <c r="C20" s="51">
        <f t="shared" ref="C20:AA20" si="0">SUM(C3:C19)</f>
        <v>13</v>
      </c>
      <c r="D20" s="9">
        <f t="shared" si="0"/>
        <v>13</v>
      </c>
      <c r="E20" s="51">
        <f t="shared" si="0"/>
        <v>13</v>
      </c>
      <c r="F20" s="9">
        <f t="shared" si="0"/>
        <v>13</v>
      </c>
      <c r="G20" s="51">
        <f t="shared" si="0"/>
        <v>13</v>
      </c>
      <c r="H20" s="9">
        <f t="shared" si="0"/>
        <v>13</v>
      </c>
      <c r="I20" s="51">
        <f t="shared" si="0"/>
        <v>13</v>
      </c>
      <c r="J20" s="9">
        <f t="shared" si="0"/>
        <v>13</v>
      </c>
      <c r="K20" s="51">
        <f t="shared" si="0"/>
        <v>13</v>
      </c>
      <c r="L20" s="9">
        <f t="shared" si="0"/>
        <v>13</v>
      </c>
      <c r="M20" s="51">
        <f t="shared" si="0"/>
        <v>13</v>
      </c>
      <c r="N20" s="9">
        <f t="shared" si="0"/>
        <v>41</v>
      </c>
      <c r="O20" s="51">
        <f t="shared" si="0"/>
        <v>41</v>
      </c>
      <c r="P20" s="9">
        <f t="shared" si="0"/>
        <v>41</v>
      </c>
      <c r="Q20" s="51">
        <f t="shared" si="0"/>
        <v>41</v>
      </c>
      <c r="R20" s="9">
        <f t="shared" si="0"/>
        <v>41</v>
      </c>
      <c r="S20" s="51">
        <f t="shared" si="0"/>
        <v>41</v>
      </c>
      <c r="T20" s="9">
        <f t="shared" si="0"/>
        <v>41</v>
      </c>
      <c r="U20" s="51">
        <f t="shared" si="0"/>
        <v>41</v>
      </c>
      <c r="V20" s="9">
        <f t="shared" si="0"/>
        <v>39</v>
      </c>
      <c r="W20" s="51">
        <f t="shared" si="0"/>
        <v>39</v>
      </c>
      <c r="X20" s="9">
        <f t="shared" si="0"/>
        <v>39</v>
      </c>
      <c r="Y20" s="51">
        <f t="shared" si="0"/>
        <v>39</v>
      </c>
      <c r="Z20" s="9">
        <f t="shared" si="0"/>
        <v>39</v>
      </c>
      <c r="AA20" s="51">
        <f t="shared" si="0"/>
        <v>39</v>
      </c>
      <c r="AB20" s="179" t="s">
        <v>347</v>
      </c>
      <c r="AC20" s="180"/>
    </row>
    <row r="21" spans="1:32" ht="15" x14ac:dyDescent="0.25">
      <c r="A21" s="10" t="s">
        <v>417</v>
      </c>
      <c r="B21" s="20">
        <v>3.6683339203103635</v>
      </c>
      <c r="C21" s="52">
        <v>0.27260331848835445</v>
      </c>
      <c r="D21" s="20">
        <v>1.6235212109753068</v>
      </c>
      <c r="E21" s="52">
        <v>0.61594514025428992</v>
      </c>
      <c r="F21" s="20">
        <v>3.7808149701236968</v>
      </c>
      <c r="G21" s="52">
        <v>0.26449323965919525</v>
      </c>
      <c r="H21" s="20">
        <v>0.61865113026502161</v>
      </c>
      <c r="I21" s="52">
        <v>1.6164199030423072</v>
      </c>
      <c r="J21" s="20">
        <v>0.70279516237550765</v>
      </c>
      <c r="K21" s="52">
        <v>1.4228897031958994</v>
      </c>
      <c r="L21" s="20">
        <v>1.7403880698460332</v>
      </c>
      <c r="M21" s="52">
        <v>0.57458449487559793</v>
      </c>
      <c r="N21" s="20">
        <v>1.2569644323182225</v>
      </c>
      <c r="O21" s="52">
        <v>0.79556745941943441</v>
      </c>
      <c r="P21" s="20">
        <v>1.6105694502168806</v>
      </c>
      <c r="Q21" s="52">
        <v>0.62089840327304047</v>
      </c>
      <c r="R21" s="20">
        <v>1.4638263773747657</v>
      </c>
      <c r="S21" s="52">
        <v>0.68314112619927336</v>
      </c>
      <c r="T21" s="20">
        <v>0.82439808256351488</v>
      </c>
      <c r="U21" s="52">
        <v>1.2130062176884746</v>
      </c>
      <c r="V21" s="20">
        <v>2.0882959129704037</v>
      </c>
      <c r="W21" s="52">
        <v>0.47885933875031839</v>
      </c>
      <c r="X21" s="20">
        <v>0.71570183213108129</v>
      </c>
      <c r="Y21" s="52">
        <v>1.3972299009245086</v>
      </c>
      <c r="Z21" s="20">
        <v>0.5064077556279013</v>
      </c>
      <c r="AA21" s="52">
        <v>1.9746932958403989</v>
      </c>
    </row>
    <row r="22" spans="1:32" ht="15" x14ac:dyDescent="0.25">
      <c r="A22" s="59" t="s">
        <v>419</v>
      </c>
      <c r="B22" s="64">
        <v>0.97105077386995076</v>
      </c>
      <c r="C22" s="52">
        <v>0.97105077386995076</v>
      </c>
      <c r="D22" s="20">
        <v>0.36843012946407916</v>
      </c>
      <c r="E22" s="52">
        <v>0.36843012946407916</v>
      </c>
      <c r="F22" s="20">
        <v>0.99365332464084666</v>
      </c>
      <c r="G22" s="52">
        <v>0.99365332464084666</v>
      </c>
      <c r="H22" s="20">
        <v>0.36843012946407916</v>
      </c>
      <c r="I22" s="52">
        <v>0.36843012946407916</v>
      </c>
      <c r="J22" s="20">
        <v>0.36843012946407916</v>
      </c>
      <c r="K22" s="52">
        <v>0.36843012946407916</v>
      </c>
      <c r="L22" s="20">
        <v>0.77875250988943856</v>
      </c>
      <c r="M22" s="52">
        <v>0.77875250988943856</v>
      </c>
      <c r="N22" s="20">
        <v>3.3701610824274163E-2</v>
      </c>
      <c r="O22" s="52">
        <v>3.3701610824274163E-2</v>
      </c>
      <c r="P22" s="20">
        <v>6.5796773264728992E-2</v>
      </c>
      <c r="Q22" s="52">
        <v>6.5796773264728992E-2</v>
      </c>
      <c r="R22" s="20">
        <v>3.3701610824274163E-2</v>
      </c>
      <c r="S22" s="52">
        <v>3.3701610824274163E-2</v>
      </c>
      <c r="T22" s="20">
        <v>8.1091839845345479E-4</v>
      </c>
      <c r="U22" s="52">
        <v>8.1091839845345479E-4</v>
      </c>
      <c r="V22" s="20">
        <v>0.5200374352194107</v>
      </c>
      <c r="W22" s="52">
        <v>0.5200374352194107</v>
      </c>
      <c r="X22" s="20">
        <v>0.10765095257732213</v>
      </c>
      <c r="Y22" s="52">
        <v>0.10765095257732213</v>
      </c>
      <c r="Z22" s="20">
        <v>0.5200374352194107</v>
      </c>
      <c r="AA22" s="52">
        <v>0.5200374352194107</v>
      </c>
      <c r="AC22" s="58">
        <f>AVERAGEIF(B22:AA22,"&lt;65534")</f>
        <v>0.39465259485541149</v>
      </c>
      <c r="AE22" s="62" t="s">
        <v>425</v>
      </c>
      <c r="AF22" s="62"/>
    </row>
    <row r="23" spans="1:32" ht="15" x14ac:dyDescent="0.25">
      <c r="A23" s="59" t="s">
        <v>420</v>
      </c>
      <c r="B23" s="64">
        <v>0.90748109982680625</v>
      </c>
      <c r="C23" s="52">
        <v>0.90748109982680625</v>
      </c>
      <c r="D23" s="20">
        <v>0.18514274261966313</v>
      </c>
      <c r="E23" s="52">
        <v>0.18514274261966313</v>
      </c>
      <c r="F23" s="20">
        <v>0.97105077386995076</v>
      </c>
      <c r="G23" s="52">
        <v>0.97105077386995076</v>
      </c>
      <c r="H23" s="20">
        <v>0.18514274261966313</v>
      </c>
      <c r="I23" s="52">
        <v>0.18514274261966313</v>
      </c>
      <c r="J23" s="20">
        <v>0.18514274261966313</v>
      </c>
      <c r="K23" s="52">
        <v>0.18514274261966313</v>
      </c>
      <c r="L23" s="20">
        <v>0.58565962498338708</v>
      </c>
      <c r="M23" s="52">
        <v>0.58565962498338708</v>
      </c>
      <c r="N23" s="20">
        <v>1.5648081951518455E-2</v>
      </c>
      <c r="O23" s="52">
        <v>1.5648081951518455E-2</v>
      </c>
      <c r="P23" s="20">
        <v>3.3701610824274253E-2</v>
      </c>
      <c r="Q23" s="52">
        <v>3.3701610824274253E-2</v>
      </c>
      <c r="R23" s="20">
        <v>1.5648081951518455E-2</v>
      </c>
      <c r="S23" s="52">
        <v>1.5648081951518455E-2</v>
      </c>
      <c r="T23" s="20">
        <v>2.3593069986926896E-4</v>
      </c>
      <c r="U23" s="52">
        <v>2.3593069986926896E-4</v>
      </c>
      <c r="V23" s="20">
        <v>0.39353331364902788</v>
      </c>
      <c r="W23" s="52">
        <v>0.39353331364902788</v>
      </c>
      <c r="X23" s="20">
        <v>5.8634072378627611E-2</v>
      </c>
      <c r="Y23" s="52">
        <v>5.8634072378627611E-2</v>
      </c>
      <c r="Z23" s="20">
        <v>0.39353331364902788</v>
      </c>
      <c r="AA23" s="52">
        <v>0.39353331364902788</v>
      </c>
      <c r="AC23" s="58">
        <f>AVERAGEIF(B23:AA23,"&lt;65535")</f>
        <v>0.30235031781869215</v>
      </c>
    </row>
    <row r="24" spans="1:32" ht="15" x14ac:dyDescent="0.25">
      <c r="A24" s="60" t="s">
        <v>421</v>
      </c>
      <c r="B24" s="65">
        <v>0.94537962558963651</v>
      </c>
      <c r="C24" s="52">
        <v>0.94537962558963651</v>
      </c>
      <c r="D24" s="20">
        <v>0.26728848561523616</v>
      </c>
      <c r="E24" s="52">
        <v>0.26728848561523616</v>
      </c>
      <c r="F24" s="20">
        <v>0.98450797495077169</v>
      </c>
      <c r="G24" s="52">
        <v>0.98450797495077169</v>
      </c>
      <c r="H24" s="20">
        <v>0.26728848561523616</v>
      </c>
      <c r="I24" s="52">
        <v>0.26728848561523616</v>
      </c>
      <c r="J24" s="20">
        <v>0.26728848561523616</v>
      </c>
      <c r="K24" s="52">
        <v>0.26728848561523616</v>
      </c>
      <c r="L24" s="20">
        <v>0.68803576839573777</v>
      </c>
      <c r="M24" s="52">
        <v>0.68803576839573777</v>
      </c>
      <c r="N24" s="20">
        <v>2.4455755744098806E-2</v>
      </c>
      <c r="O24" s="52">
        <v>2.4455755744098806E-2</v>
      </c>
      <c r="P24" s="20">
        <v>4.8813045246768272E-2</v>
      </c>
      <c r="Q24" s="52">
        <v>4.8813045246768272E-2</v>
      </c>
      <c r="R24" s="20">
        <v>2.4455755744098806E-2</v>
      </c>
      <c r="S24" s="52">
        <v>2.4455755744098806E-2</v>
      </c>
      <c r="T24" s="20">
        <v>6.3890014661599492E-4</v>
      </c>
      <c r="U24" s="52">
        <v>6.3890014661599492E-4</v>
      </c>
      <c r="V24" s="20">
        <v>0.45492501637364247</v>
      </c>
      <c r="W24" s="52">
        <v>0.45492501637364247</v>
      </c>
      <c r="X24" s="20">
        <v>8.1285750597315409E-2</v>
      </c>
      <c r="Y24" s="52">
        <v>8.1285750597315409E-2</v>
      </c>
      <c r="Z24" s="20">
        <v>0.45492501637364247</v>
      </c>
      <c r="AA24" s="52">
        <v>0.45492501637364247</v>
      </c>
      <c r="AC24" s="58">
        <f t="shared" ref="AC24:AC27" si="1">AVERAGE(B24:AA24)</f>
        <v>0.34686831276984892</v>
      </c>
    </row>
    <row r="25" spans="1:32" ht="15" x14ac:dyDescent="0.25">
      <c r="A25" s="60" t="s">
        <v>422</v>
      </c>
      <c r="B25" s="65">
        <v>0.88034172938925237</v>
      </c>
      <c r="C25" s="52">
        <v>0.88034172938925237</v>
      </c>
      <c r="D25" s="20">
        <v>0.14779143078017959</v>
      </c>
      <c r="E25" s="52">
        <v>0.14779143078017959</v>
      </c>
      <c r="F25" s="20">
        <v>0.95839518565628401</v>
      </c>
      <c r="G25" s="52">
        <v>0.95839518565628401</v>
      </c>
      <c r="H25" s="20">
        <v>0.14779143078017959</v>
      </c>
      <c r="I25" s="52">
        <v>0.14779143078017959</v>
      </c>
      <c r="J25" s="20">
        <v>0.14779143078017959</v>
      </c>
      <c r="K25" s="52">
        <v>0.14779143078017959</v>
      </c>
      <c r="L25" s="20">
        <v>0.52606110936087314</v>
      </c>
      <c r="M25" s="52">
        <v>0.52606110936087314</v>
      </c>
      <c r="N25" s="20">
        <v>3.2250436290224838E-3</v>
      </c>
      <c r="O25" s="52">
        <v>3.2250436290224838E-3</v>
      </c>
      <c r="P25" s="20">
        <v>7.9524982054932081E-3</v>
      </c>
      <c r="Q25" s="52">
        <v>7.9524982054932081E-3</v>
      </c>
      <c r="R25" s="20">
        <v>3.2250436290224838E-3</v>
      </c>
      <c r="S25" s="52">
        <v>3.2250436290224838E-3</v>
      </c>
      <c r="T25" s="20">
        <v>3.5110616571132347E-5</v>
      </c>
      <c r="U25" s="52">
        <v>3.5110616571132347E-5</v>
      </c>
      <c r="V25" s="20">
        <v>0.19788284367277786</v>
      </c>
      <c r="W25" s="52">
        <v>0.19788284367277786</v>
      </c>
      <c r="X25" s="20">
        <v>1.6484726715799758E-2</v>
      </c>
      <c r="Y25" s="52">
        <v>1.6484726715799758E-2</v>
      </c>
      <c r="Z25" s="20">
        <v>0.19788284367277786</v>
      </c>
      <c r="AA25" s="52">
        <v>0.19788284367277786</v>
      </c>
      <c r="AC25" s="58">
        <f t="shared" si="1"/>
        <v>0.24883541745295484</v>
      </c>
    </row>
    <row r="26" spans="1:32" x14ac:dyDescent="0.35">
      <c r="A26" s="61" t="s">
        <v>423</v>
      </c>
      <c r="B26" s="66">
        <f>(B22-B24)*100/B22</f>
        <v>2.6436463438473394</v>
      </c>
      <c r="C26" s="66">
        <f t="shared" ref="C26:AA27" si="2">(C22-C24)*100/C22</f>
        <v>2.6436463438473394</v>
      </c>
      <c r="D26" s="66">
        <f t="shared" si="2"/>
        <v>27.4520555623299</v>
      </c>
      <c r="E26" s="66">
        <f t="shared" si="2"/>
        <v>27.4520555623299</v>
      </c>
      <c r="F26" s="66">
        <f t="shared" si="2"/>
        <v>0.9203762985828613</v>
      </c>
      <c r="G26" s="66">
        <f t="shared" si="2"/>
        <v>0.9203762985828613</v>
      </c>
      <c r="H26" s="66">
        <f t="shared" si="2"/>
        <v>27.4520555623299</v>
      </c>
      <c r="I26" s="66">
        <f t="shared" si="2"/>
        <v>27.4520555623299</v>
      </c>
      <c r="J26" s="66">
        <f t="shared" si="2"/>
        <v>27.4520555623299</v>
      </c>
      <c r="K26" s="66">
        <f t="shared" si="2"/>
        <v>27.4520555623299</v>
      </c>
      <c r="L26" s="66">
        <f t="shared" si="2"/>
        <v>11.648982230128551</v>
      </c>
      <c r="M26" s="66">
        <f t="shared" si="2"/>
        <v>11.648982230128551</v>
      </c>
      <c r="N26" s="66">
        <f>(N22-N24)*100/N22</f>
        <v>27.43446041313809</v>
      </c>
      <c r="O26" s="66">
        <f t="shared" si="2"/>
        <v>27.43446041313809</v>
      </c>
      <c r="P26" s="66">
        <f t="shared" si="2"/>
        <v>25.812402607689904</v>
      </c>
      <c r="Q26" s="66">
        <f t="shared" si="2"/>
        <v>25.812402607689904</v>
      </c>
      <c r="R26" s="66">
        <f t="shared" si="2"/>
        <v>27.43446041313809</v>
      </c>
      <c r="S26" s="66">
        <f t="shared" si="2"/>
        <v>27.43446041313809</v>
      </c>
      <c r="T26" s="66">
        <f t="shared" si="2"/>
        <v>21.21276964063523</v>
      </c>
      <c r="U26" s="66">
        <f t="shared" si="2"/>
        <v>21.21276964063523</v>
      </c>
      <c r="V26" s="66">
        <f t="shared" si="2"/>
        <v>12.520717632240542</v>
      </c>
      <c r="W26" s="66">
        <f t="shared" si="2"/>
        <v>12.520717632240542</v>
      </c>
      <c r="X26" s="66">
        <f t="shared" si="2"/>
        <v>24.491378244952791</v>
      </c>
      <c r="Y26" s="66">
        <f t="shared" si="2"/>
        <v>24.491378244952791</v>
      </c>
      <c r="Z26" s="66">
        <f t="shared" si="2"/>
        <v>12.520717632240542</v>
      </c>
      <c r="AA26" s="66">
        <f t="shared" si="2"/>
        <v>12.520717632240542</v>
      </c>
      <c r="AC26" s="58">
        <f t="shared" si="1"/>
        <v>19.153544472583349</v>
      </c>
    </row>
    <row r="27" spans="1:32" x14ac:dyDescent="0.35">
      <c r="A27" s="61" t="s">
        <v>424</v>
      </c>
      <c r="B27" s="66">
        <f>(B23-B25)*100/B23</f>
        <v>2.9906265202364497</v>
      </c>
      <c r="C27" s="66">
        <f t="shared" si="2"/>
        <v>2.9906265202364497</v>
      </c>
      <c r="D27" s="66">
        <f t="shared" si="2"/>
        <v>20.174332145556448</v>
      </c>
      <c r="E27" s="66">
        <f t="shared" si="2"/>
        <v>20.174332145556448</v>
      </c>
      <c r="F27" s="66">
        <f t="shared" si="2"/>
        <v>1.3032880004029184</v>
      </c>
      <c r="G27" s="66">
        <f t="shared" si="2"/>
        <v>1.3032880004029184</v>
      </c>
      <c r="H27" s="66">
        <f t="shared" si="2"/>
        <v>20.174332145556448</v>
      </c>
      <c r="I27" s="66">
        <f t="shared" si="2"/>
        <v>20.174332145556448</v>
      </c>
      <c r="J27" s="66">
        <f t="shared" si="2"/>
        <v>20.174332145556448</v>
      </c>
      <c r="K27" s="66">
        <f t="shared" si="2"/>
        <v>20.174332145556448</v>
      </c>
      <c r="L27" s="66">
        <f t="shared" si="2"/>
        <v>10.176306011227004</v>
      </c>
      <c r="M27" s="66">
        <f t="shared" si="2"/>
        <v>10.176306011227004</v>
      </c>
      <c r="N27" s="66">
        <f t="shared" si="2"/>
        <v>79.390166545558429</v>
      </c>
      <c r="O27" s="66">
        <f t="shared" si="2"/>
        <v>79.390166545558429</v>
      </c>
      <c r="P27" s="66">
        <f t="shared" si="2"/>
        <v>76.403210377809998</v>
      </c>
      <c r="Q27" s="66">
        <f t="shared" si="2"/>
        <v>76.403210377809998</v>
      </c>
      <c r="R27" s="66">
        <f t="shared" si="2"/>
        <v>79.390166545558429</v>
      </c>
      <c r="S27" s="66">
        <f t="shared" si="2"/>
        <v>79.390166545558429</v>
      </c>
      <c r="T27" s="66">
        <f t="shared" si="2"/>
        <v>85.118250151172603</v>
      </c>
      <c r="U27" s="66">
        <f t="shared" si="2"/>
        <v>85.118250151172603</v>
      </c>
      <c r="V27" s="66">
        <f t="shared" si="2"/>
        <v>49.716367888168328</v>
      </c>
      <c r="W27" s="66">
        <f t="shared" si="2"/>
        <v>49.716367888168328</v>
      </c>
      <c r="X27" s="66">
        <f t="shared" si="2"/>
        <v>71.885413980202216</v>
      </c>
      <c r="Y27" s="66">
        <f t="shared" si="2"/>
        <v>71.885413980202216</v>
      </c>
      <c r="Z27" s="66">
        <f t="shared" si="2"/>
        <v>49.716367888168328</v>
      </c>
      <c r="AA27" s="66">
        <f t="shared" si="2"/>
        <v>49.716367888168328</v>
      </c>
      <c r="AC27" s="58">
        <f t="shared" si="1"/>
        <v>43.585627718859541</v>
      </c>
    </row>
    <row r="28" spans="1:32" ht="15" x14ac:dyDescent="0.25">
      <c r="A28" s="43" t="s">
        <v>415</v>
      </c>
      <c r="B28" s="44"/>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7"/>
      <c r="AC28" s="47"/>
      <c r="AD28" s="47"/>
      <c r="AE28" s="47"/>
      <c r="AF28" s="47"/>
    </row>
    <row r="29" spans="1:32" ht="15" x14ac:dyDescent="0.25">
      <c r="A29" s="45" t="s">
        <v>361</v>
      </c>
      <c r="B29" s="53">
        <f>VLOOKUP($A$29,'Sociodem statistics'!$B$2:$J$5,9,FALSE)</f>
        <v>1</v>
      </c>
      <c r="C29" s="53">
        <f>VLOOKUP($A$29,'Sociodem statistics'!$B$2:$J$5,9,FALSE)</f>
        <v>1</v>
      </c>
      <c r="D29" s="53">
        <f>VLOOKUP($A$29,'Sociodem statistics'!$B$2:$J$5,9,FALSE)</f>
        <v>1</v>
      </c>
      <c r="E29" s="53">
        <f>VLOOKUP($A$29,'Sociodem statistics'!$B$2:$J$5,9,FALSE)</f>
        <v>1</v>
      </c>
      <c r="F29" s="53">
        <f>VLOOKUP($A$29,'Sociodem statistics'!$B$2:$J$5,9,FALSE)</f>
        <v>1</v>
      </c>
      <c r="G29" s="53">
        <f>VLOOKUP($A$29,'Sociodem statistics'!$B$2:$J$5,9,FALSE)</f>
        <v>1</v>
      </c>
      <c r="H29" s="53">
        <f>VLOOKUP($A$29,'Sociodem statistics'!$B$2:$J$5,9,FALSE)</f>
        <v>1</v>
      </c>
      <c r="I29" s="53">
        <f>VLOOKUP($A$29,'Sociodem statistics'!$B$2:$J$5,9,FALSE)</f>
        <v>1</v>
      </c>
      <c r="J29" s="53">
        <f>VLOOKUP($A$29,'Sociodem statistics'!$B$2:$J$5,9,FALSE)</f>
        <v>1</v>
      </c>
      <c r="K29" s="53">
        <f>VLOOKUP($A$29,'Sociodem statistics'!$B$2:$J$5,9,FALSE)</f>
        <v>1</v>
      </c>
      <c r="L29" s="53">
        <f>VLOOKUP($A$29,'Sociodem statistics'!$B$2:$J$5,9,FALSE)</f>
        <v>1</v>
      </c>
      <c r="M29" s="53">
        <f>VLOOKUP($A$29,'Sociodem statistics'!$B$2:$J$5,9,FALSE)</f>
        <v>1</v>
      </c>
      <c r="N29" s="53">
        <f>VLOOKUP($A$29,'Sociodem statistics'!$B$2:$J$5,9,FALSE)</f>
        <v>1</v>
      </c>
      <c r="O29" s="53">
        <f>VLOOKUP($A$29,'Sociodem statistics'!$B$2:$J$5,9,FALSE)</f>
        <v>1</v>
      </c>
      <c r="P29" s="53">
        <f>VLOOKUP($A$29,'Sociodem statistics'!$B$2:$J$5,9,FALSE)</f>
        <v>1</v>
      </c>
      <c r="Q29" s="53">
        <f>VLOOKUP($A$29,'Sociodem statistics'!$B$2:$J$5,9,FALSE)</f>
        <v>1</v>
      </c>
      <c r="R29" s="53">
        <f>VLOOKUP($A$29,'Sociodem statistics'!$B$2:$J$5,9,FALSE)</f>
        <v>1</v>
      </c>
      <c r="S29" s="53">
        <f>VLOOKUP($A$29,'Sociodem statistics'!$B$2:$J$5,9,FALSE)</f>
        <v>1</v>
      </c>
      <c r="T29" s="53">
        <f>VLOOKUP($A$29,'Sociodem statistics'!$B$2:$J$5,9,FALSE)</f>
        <v>1</v>
      </c>
      <c r="U29" s="53">
        <f>VLOOKUP($A$29,'Sociodem statistics'!$B$2:$J$5,9,FALSE)</f>
        <v>1</v>
      </c>
      <c r="V29" s="53">
        <f>VLOOKUP($A$29,'Sociodem statistics'!$B$2:$J$5,9,FALSE)</f>
        <v>1</v>
      </c>
      <c r="W29" s="53">
        <f>VLOOKUP($A$29,'Sociodem statistics'!$B$2:$J$5,9,FALSE)</f>
        <v>1</v>
      </c>
      <c r="X29" s="53">
        <f>VLOOKUP($A$29,'Sociodem statistics'!$B$2:$J$5,9,FALSE)</f>
        <v>1</v>
      </c>
      <c r="Y29" s="53">
        <f>VLOOKUP($A$29,'Sociodem statistics'!$B$2:$J$5,9,FALSE)</f>
        <v>1</v>
      </c>
      <c r="Z29" s="53">
        <f>VLOOKUP($A$29,'Sociodem statistics'!$B$2:$J$5,9,FALSE)</f>
        <v>1</v>
      </c>
      <c r="AA29" s="53">
        <f>VLOOKUP($A$29,'Sociodem statistics'!$B$2:$J$5,9,FALSE)</f>
        <v>1</v>
      </c>
      <c r="AB29" s="47"/>
      <c r="AC29" s="47"/>
      <c r="AD29" s="47"/>
      <c r="AE29" s="47"/>
      <c r="AF29" s="47"/>
    </row>
    <row r="30" spans="1:32" ht="15" x14ac:dyDescent="0.25">
      <c r="A30" s="45" t="s">
        <v>364</v>
      </c>
      <c r="B30" s="53">
        <f>VLOOKUP($A$30,'Sociodem statistics'!$B$6:$J$8,9,FALSE)</f>
        <v>0.51</v>
      </c>
      <c r="C30" s="53">
        <f>VLOOKUP($A$30,'Sociodem statistics'!$B$6:$J$8,9,FALSE)</f>
        <v>0.51</v>
      </c>
      <c r="D30" s="53">
        <f>VLOOKUP($A$30,'Sociodem statistics'!$B$6:$J$8,9,FALSE)</f>
        <v>0.51</v>
      </c>
      <c r="E30" s="53">
        <f>VLOOKUP($A$30,'Sociodem statistics'!$B$6:$J$8,9,FALSE)</f>
        <v>0.51</v>
      </c>
      <c r="F30" s="53">
        <f>VLOOKUP($A$30,'Sociodem statistics'!$B$6:$J$8,9,FALSE)</f>
        <v>0.51</v>
      </c>
      <c r="G30" s="53">
        <f>VLOOKUP($A$30,'Sociodem statistics'!$B$6:$J$8,9,FALSE)</f>
        <v>0.51</v>
      </c>
      <c r="H30" s="53">
        <f>VLOOKUP($A$30,'Sociodem statistics'!$B$6:$J$8,9,FALSE)</f>
        <v>0.51</v>
      </c>
      <c r="I30" s="53">
        <f>VLOOKUP($A$30,'Sociodem statistics'!$B$6:$J$8,9,FALSE)</f>
        <v>0.51</v>
      </c>
      <c r="J30" s="53">
        <f>VLOOKUP($A$30,'Sociodem statistics'!$B$6:$J$8,9,FALSE)</f>
        <v>0.51</v>
      </c>
      <c r="K30" s="53">
        <f>VLOOKUP($A$30,'Sociodem statistics'!$B$6:$J$8,9,FALSE)</f>
        <v>0.51</v>
      </c>
      <c r="L30" s="53">
        <f>VLOOKUP($A$30,'Sociodem statistics'!$B$6:$J$8,9,FALSE)</f>
        <v>0.51</v>
      </c>
      <c r="M30" s="53">
        <f>VLOOKUP($A$30,'Sociodem statistics'!$B$6:$J$8,9,FALSE)</f>
        <v>0.51</v>
      </c>
      <c r="N30" s="53">
        <f>VLOOKUP($A$30,'Sociodem statistics'!$B$6:$J$8,9,FALSE)</f>
        <v>0.51</v>
      </c>
      <c r="O30" s="53">
        <f>VLOOKUP($A$30,'Sociodem statistics'!$B$6:$J$8,9,FALSE)</f>
        <v>0.51</v>
      </c>
      <c r="P30" s="53">
        <f>VLOOKUP($A$30,'Sociodem statistics'!$B$6:$J$8,9,FALSE)</f>
        <v>0.51</v>
      </c>
      <c r="Q30" s="53">
        <f>VLOOKUP($A$30,'Sociodem statistics'!$B$6:$J$8,9,FALSE)</f>
        <v>0.51</v>
      </c>
      <c r="R30" s="53">
        <f>VLOOKUP($A$30,'Sociodem statistics'!$B$6:$J$8,9,FALSE)</f>
        <v>0.51</v>
      </c>
      <c r="S30" s="53">
        <f>VLOOKUP($A$30,'Sociodem statistics'!$B$6:$J$8,9,FALSE)</f>
        <v>0.51</v>
      </c>
      <c r="T30" s="53">
        <f>VLOOKUP($A$30,'Sociodem statistics'!$B$6:$J$8,9,FALSE)</f>
        <v>0.51</v>
      </c>
      <c r="U30" s="53">
        <f>VLOOKUP($A$30,'Sociodem statistics'!$B$6:$J$8,9,FALSE)</f>
        <v>0.51</v>
      </c>
      <c r="V30" s="53">
        <f>VLOOKUP($A$30,'Sociodem statistics'!$B$6:$J$8,9,FALSE)</f>
        <v>0.51</v>
      </c>
      <c r="W30" s="53">
        <f>VLOOKUP($A$30,'Sociodem statistics'!$B$6:$J$8,9,FALSE)</f>
        <v>0.51</v>
      </c>
      <c r="X30" s="53">
        <f>VLOOKUP($A$30,'Sociodem statistics'!$B$6:$J$8,9,FALSE)</f>
        <v>0.51</v>
      </c>
      <c r="Y30" s="53">
        <f>VLOOKUP($A$30,'Sociodem statistics'!$B$6:$J$8,9,FALSE)</f>
        <v>0.51</v>
      </c>
      <c r="Z30" s="53">
        <f>VLOOKUP($A$30,'Sociodem statistics'!$B$6:$J$8,9,FALSE)</f>
        <v>0.51</v>
      </c>
      <c r="AA30" s="53">
        <f>VLOOKUP($A$30,'Sociodem statistics'!$B$6:$J$8,9,FALSE)</f>
        <v>0.51</v>
      </c>
      <c r="AB30" s="47"/>
      <c r="AC30" s="47"/>
      <c r="AD30" s="47"/>
      <c r="AE30" s="47"/>
      <c r="AF30" s="47"/>
    </row>
    <row r="31" spans="1:32" ht="15" x14ac:dyDescent="0.25">
      <c r="A31" s="45" t="s">
        <v>370</v>
      </c>
      <c r="B31" s="53">
        <f>VLOOKUP($A$31,'Sociodem statistics'!$B$9:$J$12,9,FALSE)</f>
        <v>1</v>
      </c>
      <c r="C31" s="53">
        <f>VLOOKUP($A$31,'Sociodem statistics'!$B$9:$J$12,9,FALSE)</f>
        <v>1</v>
      </c>
      <c r="D31" s="53">
        <f>VLOOKUP($A$31,'Sociodem statistics'!$B$9:$J$12,9,FALSE)</f>
        <v>1</v>
      </c>
      <c r="E31" s="53">
        <f>VLOOKUP($A$31,'Sociodem statistics'!$B$9:$J$12,9,FALSE)</f>
        <v>1</v>
      </c>
      <c r="F31" s="53">
        <f>VLOOKUP($A$31,'Sociodem statistics'!$B$9:$J$12,9,FALSE)</f>
        <v>1</v>
      </c>
      <c r="G31" s="53">
        <f>VLOOKUP($A$31,'Sociodem statistics'!$B$9:$J$12,9,FALSE)</f>
        <v>1</v>
      </c>
      <c r="H31" s="53">
        <f>VLOOKUP($A$31,'Sociodem statistics'!$B$9:$J$12,9,FALSE)</f>
        <v>1</v>
      </c>
      <c r="I31" s="53">
        <f>VLOOKUP($A$31,'Sociodem statistics'!$B$9:$J$12,9,FALSE)</f>
        <v>1</v>
      </c>
      <c r="J31" s="53">
        <f>VLOOKUP($A$31,'Sociodem statistics'!$B$9:$J$12,9,FALSE)</f>
        <v>1</v>
      </c>
      <c r="K31" s="53">
        <f>VLOOKUP($A$31,'Sociodem statistics'!$B$9:$J$12,9,FALSE)</f>
        <v>1</v>
      </c>
      <c r="L31" s="53">
        <f>VLOOKUP($A$31,'Sociodem statistics'!$B$9:$J$12,9,FALSE)</f>
        <v>1</v>
      </c>
      <c r="M31" s="53">
        <f>VLOOKUP($A$31,'Sociodem statistics'!$B$9:$J$12,9,FALSE)</f>
        <v>1</v>
      </c>
      <c r="N31" s="53">
        <f>VLOOKUP($A$31,'Sociodem statistics'!$B$9:$J$12,9,FALSE)</f>
        <v>1</v>
      </c>
      <c r="O31" s="53">
        <f>VLOOKUP($A$31,'Sociodem statistics'!$B$9:$J$12,9,FALSE)</f>
        <v>1</v>
      </c>
      <c r="P31" s="53">
        <f>VLOOKUP($A$31,'Sociodem statistics'!$B$9:$J$12,9,FALSE)</f>
        <v>1</v>
      </c>
      <c r="Q31" s="53">
        <f>VLOOKUP($A$31,'Sociodem statistics'!$B$9:$J$12,9,FALSE)</f>
        <v>1</v>
      </c>
      <c r="R31" s="53">
        <f>VLOOKUP($A$31,'Sociodem statistics'!$B$9:$J$12,9,FALSE)</f>
        <v>1</v>
      </c>
      <c r="S31" s="53">
        <f>VLOOKUP($A$31,'Sociodem statistics'!$B$9:$J$12,9,FALSE)</f>
        <v>1</v>
      </c>
      <c r="T31" s="53">
        <f>VLOOKUP($A$31,'Sociodem statistics'!$B$9:$J$12,9,FALSE)</f>
        <v>1</v>
      </c>
      <c r="U31" s="53">
        <f>VLOOKUP($A$31,'Sociodem statistics'!$B$9:$J$12,9,FALSE)</f>
        <v>1</v>
      </c>
      <c r="V31" s="53">
        <f>VLOOKUP($A$31,'Sociodem statistics'!$B$9:$J$12,9,FALSE)</f>
        <v>1</v>
      </c>
      <c r="W31" s="53">
        <f>VLOOKUP($A$31,'Sociodem statistics'!$B$9:$J$12,9,FALSE)</f>
        <v>1</v>
      </c>
      <c r="X31" s="53">
        <f>VLOOKUP($A$31,'Sociodem statistics'!$B$9:$J$12,9,FALSE)</f>
        <v>1</v>
      </c>
      <c r="Y31" s="53">
        <f>VLOOKUP($A$31,'Sociodem statistics'!$B$9:$J$12,9,FALSE)</f>
        <v>1</v>
      </c>
      <c r="Z31" s="53">
        <f>VLOOKUP($A$31,'Sociodem statistics'!$B$9:$J$12,9,FALSE)</f>
        <v>1</v>
      </c>
      <c r="AA31" s="53">
        <f>VLOOKUP($A$31,'Sociodem statistics'!$B$9:$J$12,9,FALSE)</f>
        <v>1</v>
      </c>
      <c r="AB31" s="47"/>
      <c r="AC31" s="47"/>
      <c r="AD31" s="47"/>
      <c r="AE31" s="47"/>
      <c r="AF31" s="47"/>
    </row>
    <row r="32" spans="1:32" ht="15" x14ac:dyDescent="0.25">
      <c r="A32" s="45" t="s">
        <v>375</v>
      </c>
      <c r="B32" s="53">
        <f>VLOOKUP($A$32,'Sociodem statistics'!$B$13:$J$15,9,FALSE)</f>
        <v>1</v>
      </c>
      <c r="C32" s="53">
        <f>VLOOKUP($A$32,'Sociodem statistics'!$B$13:$J$15,9,FALSE)</f>
        <v>1</v>
      </c>
      <c r="D32" s="53">
        <f>VLOOKUP($A$32,'Sociodem statistics'!$B$13:$J$15,9,FALSE)</f>
        <v>1</v>
      </c>
      <c r="E32" s="53">
        <f>VLOOKUP($A$32,'Sociodem statistics'!$B$13:$J$15,9,FALSE)</f>
        <v>1</v>
      </c>
      <c r="F32" s="53">
        <f>VLOOKUP($A$32,'Sociodem statistics'!$B$13:$J$15,9,FALSE)</f>
        <v>1</v>
      </c>
      <c r="G32" s="53">
        <f>VLOOKUP($A$32,'Sociodem statistics'!$B$13:$J$15,9,FALSE)</f>
        <v>1</v>
      </c>
      <c r="H32" s="53">
        <f>VLOOKUP($A$32,'Sociodem statistics'!$B$13:$J$15,9,FALSE)</f>
        <v>1</v>
      </c>
      <c r="I32" s="53">
        <f>VLOOKUP($A$32,'Sociodem statistics'!$B$13:$J$15,9,FALSE)</f>
        <v>1</v>
      </c>
      <c r="J32" s="53">
        <f>VLOOKUP($A$32,'Sociodem statistics'!$B$13:$J$15,9,FALSE)</f>
        <v>1</v>
      </c>
      <c r="K32" s="53">
        <f>VLOOKUP($A$32,'Sociodem statistics'!$B$13:$J$15,9,FALSE)</f>
        <v>1</v>
      </c>
      <c r="L32" s="53">
        <f>VLOOKUP($A$32,'Sociodem statistics'!$B$13:$J$15,9,FALSE)</f>
        <v>1</v>
      </c>
      <c r="M32" s="53">
        <f>VLOOKUP($A$32,'Sociodem statistics'!$B$13:$J$15,9,FALSE)</f>
        <v>1</v>
      </c>
      <c r="N32" s="53">
        <f>VLOOKUP($A$32,'Sociodem statistics'!$B$13:$J$15,9,FALSE)</f>
        <v>1</v>
      </c>
      <c r="O32" s="53">
        <f>VLOOKUP($A$32,'Sociodem statistics'!$B$13:$J$15,9,FALSE)</f>
        <v>1</v>
      </c>
      <c r="P32" s="53">
        <f>VLOOKUP($A$32,'Sociodem statistics'!$B$13:$J$15,9,FALSE)</f>
        <v>1</v>
      </c>
      <c r="Q32" s="53">
        <f>VLOOKUP($A$32,'Sociodem statistics'!$B$13:$J$15,9,FALSE)</f>
        <v>1</v>
      </c>
      <c r="R32" s="53">
        <f>VLOOKUP($A$32,'Sociodem statistics'!$B$13:$J$15,9,FALSE)</f>
        <v>1</v>
      </c>
      <c r="S32" s="53">
        <f>VLOOKUP($A$32,'Sociodem statistics'!$B$13:$J$15,9,FALSE)</f>
        <v>1</v>
      </c>
      <c r="T32" s="53">
        <f>VLOOKUP($A$32,'Sociodem statistics'!$B$13:$J$15,9,FALSE)</f>
        <v>1</v>
      </c>
      <c r="U32" s="53">
        <f>VLOOKUP($A$32,'Sociodem statistics'!$B$13:$J$15,9,FALSE)</f>
        <v>1</v>
      </c>
      <c r="V32" s="53">
        <f>VLOOKUP($A$32,'Sociodem statistics'!$B$13:$J$15,9,FALSE)</f>
        <v>1</v>
      </c>
      <c r="W32" s="53">
        <f>VLOOKUP($A$32,'Sociodem statistics'!$B$13:$J$15,9,FALSE)</f>
        <v>1</v>
      </c>
      <c r="X32" s="53">
        <f>VLOOKUP($A$32,'Sociodem statistics'!$B$13:$J$15,9,FALSE)</f>
        <v>1</v>
      </c>
      <c r="Y32" s="53">
        <f>VLOOKUP($A$32,'Sociodem statistics'!$B$13:$J$15,9,FALSE)</f>
        <v>1</v>
      </c>
      <c r="Z32" s="53">
        <f>VLOOKUP($A$32,'Sociodem statistics'!$B$13:$J$15,9,FALSE)</f>
        <v>1</v>
      </c>
      <c r="AA32" s="53">
        <f>VLOOKUP($A$32,'Sociodem statistics'!$B$13:$J$15,9,FALSE)</f>
        <v>1</v>
      </c>
      <c r="AB32" s="47"/>
      <c r="AC32" s="47"/>
      <c r="AD32" s="47"/>
      <c r="AE32" s="47"/>
      <c r="AF32" s="47"/>
    </row>
    <row r="33" spans="1:32" ht="15" x14ac:dyDescent="0.25">
      <c r="A33" s="45" t="s">
        <v>377</v>
      </c>
      <c r="B33" s="53">
        <f>VLOOKUP($A$33,'Sociodem statistics'!$B$16:$J$19,9,FALSE)</f>
        <v>1</v>
      </c>
      <c r="C33" s="53">
        <f>VLOOKUP($A$33,'Sociodem statistics'!$B$16:$J$19,9,FALSE)</f>
        <v>1</v>
      </c>
      <c r="D33" s="53">
        <f>VLOOKUP($A$33,'Sociodem statistics'!$B$16:$J$19,9,FALSE)</f>
        <v>1</v>
      </c>
      <c r="E33" s="53">
        <f>VLOOKUP($A$33,'Sociodem statistics'!$B$16:$J$19,9,FALSE)</f>
        <v>1</v>
      </c>
      <c r="F33" s="53">
        <f>VLOOKUP($A$33,'Sociodem statistics'!$B$16:$J$19,9,FALSE)</f>
        <v>1</v>
      </c>
      <c r="G33" s="53">
        <f>VLOOKUP($A$33,'Sociodem statistics'!$B$16:$J$19,9,FALSE)</f>
        <v>1</v>
      </c>
      <c r="H33" s="53">
        <f>VLOOKUP($A$33,'Sociodem statistics'!$B$16:$J$19,9,FALSE)</f>
        <v>1</v>
      </c>
      <c r="I33" s="53">
        <f>VLOOKUP($A$33,'Sociodem statistics'!$B$16:$J$19,9,FALSE)</f>
        <v>1</v>
      </c>
      <c r="J33" s="53">
        <f>VLOOKUP($A$33,'Sociodem statistics'!$B$16:$J$19,9,FALSE)</f>
        <v>1</v>
      </c>
      <c r="K33" s="53">
        <f>VLOOKUP($A$33,'Sociodem statistics'!$B$16:$J$19,9,FALSE)</f>
        <v>1</v>
      </c>
      <c r="L33" s="53">
        <f>VLOOKUP($A$33,'Sociodem statistics'!$B$16:$J$19,9,FALSE)</f>
        <v>1</v>
      </c>
      <c r="M33" s="53">
        <f>VLOOKUP($A$33,'Sociodem statistics'!$B$16:$J$19,9,FALSE)</f>
        <v>1</v>
      </c>
      <c r="N33" s="53">
        <f>VLOOKUP($A$33,'Sociodem statistics'!$B$16:$J$19,9,FALSE)</f>
        <v>1</v>
      </c>
      <c r="O33" s="53">
        <f>VLOOKUP($A$33,'Sociodem statistics'!$B$16:$J$19,9,FALSE)</f>
        <v>1</v>
      </c>
      <c r="P33" s="53">
        <f>VLOOKUP($A$33,'Sociodem statistics'!$B$16:$J$19,9,FALSE)</f>
        <v>1</v>
      </c>
      <c r="Q33" s="53">
        <f>VLOOKUP($A$33,'Sociodem statistics'!$B$16:$J$19,9,FALSE)</f>
        <v>1</v>
      </c>
      <c r="R33" s="53">
        <f>VLOOKUP($A$33,'Sociodem statistics'!$B$16:$J$19,9,FALSE)</f>
        <v>1</v>
      </c>
      <c r="S33" s="53">
        <f>VLOOKUP($A$33,'Sociodem statistics'!$B$16:$J$19,9,FALSE)</f>
        <v>1</v>
      </c>
      <c r="T33" s="53">
        <f>VLOOKUP($A$33,'Sociodem statistics'!$B$16:$J$19,9,FALSE)</f>
        <v>1</v>
      </c>
      <c r="U33" s="53">
        <f>VLOOKUP($A$33,'Sociodem statistics'!$B$16:$J$19,9,FALSE)</f>
        <v>1</v>
      </c>
      <c r="V33" s="53">
        <f>VLOOKUP($A$33,'Sociodem statistics'!$B$16:$J$19,9,FALSE)</f>
        <v>1</v>
      </c>
      <c r="W33" s="53">
        <f>VLOOKUP($A$33,'Sociodem statistics'!$B$16:$J$19,9,FALSE)</f>
        <v>1</v>
      </c>
      <c r="X33" s="53">
        <f>VLOOKUP($A$33,'Sociodem statistics'!$B$16:$J$19,9,FALSE)</f>
        <v>1</v>
      </c>
      <c r="Y33" s="53">
        <f>VLOOKUP($A$33,'Sociodem statistics'!$B$16:$J$19,9,FALSE)</f>
        <v>1</v>
      </c>
      <c r="Z33" s="53">
        <f>VLOOKUP($A$33,'Sociodem statistics'!$B$16:$J$19,9,FALSE)</f>
        <v>1</v>
      </c>
      <c r="AA33" s="53">
        <f>VLOOKUP($A$33,'Sociodem statistics'!$B$16:$J$19,9,FALSE)</f>
        <v>1</v>
      </c>
      <c r="AB33" s="47"/>
      <c r="AC33" s="47"/>
      <c r="AD33" s="47"/>
      <c r="AE33" s="47"/>
      <c r="AF33" s="47"/>
    </row>
    <row r="34" spans="1:32" ht="15" x14ac:dyDescent="0.25">
      <c r="A34" s="45" t="s">
        <v>402</v>
      </c>
      <c r="B34" s="53">
        <f>VLOOKUP($A$34,'Sociodem statistics'!$B$29:$J$31,9,FALSE)</f>
        <v>1</v>
      </c>
      <c r="C34" s="53">
        <f>VLOOKUP($A$34,'Sociodem statistics'!$B$29:$J$31,9,FALSE)</f>
        <v>1</v>
      </c>
      <c r="D34" s="53">
        <f>VLOOKUP($A$34,'Sociodem statistics'!$B$29:$J$31,9,FALSE)</f>
        <v>1</v>
      </c>
      <c r="E34" s="53">
        <f>VLOOKUP($A$34,'Sociodem statistics'!$B$29:$J$31,9,FALSE)</f>
        <v>1</v>
      </c>
      <c r="F34" s="53">
        <f>VLOOKUP($A$34,'Sociodem statistics'!$B$29:$J$31,9,FALSE)</f>
        <v>1</v>
      </c>
      <c r="G34" s="53">
        <f>VLOOKUP($A$34,'Sociodem statistics'!$B$29:$J$31,9,FALSE)</f>
        <v>1</v>
      </c>
      <c r="H34" s="53">
        <f>VLOOKUP($A$34,'Sociodem statistics'!$B$29:$J$31,9,FALSE)</f>
        <v>1</v>
      </c>
      <c r="I34" s="53">
        <f>VLOOKUP($A$34,'Sociodem statistics'!$B$29:$J$31,9,FALSE)</f>
        <v>1</v>
      </c>
      <c r="J34" s="53">
        <f>VLOOKUP($A$34,'Sociodem statistics'!$B$29:$J$31,9,FALSE)</f>
        <v>1</v>
      </c>
      <c r="K34" s="53">
        <f>VLOOKUP($A$34,'Sociodem statistics'!$B$29:$J$31,9,FALSE)</f>
        <v>1</v>
      </c>
      <c r="L34" s="53">
        <f>VLOOKUP($A$34,'Sociodem statistics'!$B$29:$J$31,9,FALSE)</f>
        <v>1</v>
      </c>
      <c r="M34" s="53">
        <f>VLOOKUP($A$34,'Sociodem statistics'!$B$29:$J$31,9,FALSE)</f>
        <v>1</v>
      </c>
      <c r="N34" s="53">
        <f>VLOOKUP($A$34,'Sociodem statistics'!$B$29:$J$31,9,FALSE)</f>
        <v>1</v>
      </c>
      <c r="O34" s="53">
        <f>VLOOKUP($A$34,'Sociodem statistics'!$B$29:$J$31,9,FALSE)</f>
        <v>1</v>
      </c>
      <c r="P34" s="53">
        <f>VLOOKUP($A$34,'Sociodem statistics'!$B$29:$J$31,9,FALSE)</f>
        <v>1</v>
      </c>
      <c r="Q34" s="53">
        <f>VLOOKUP($A$34,'Sociodem statistics'!$B$29:$J$31,9,FALSE)</f>
        <v>1</v>
      </c>
      <c r="R34" s="53">
        <f>VLOOKUP($A$34,'Sociodem statistics'!$B$29:$J$31,9,FALSE)</f>
        <v>1</v>
      </c>
      <c r="S34" s="53">
        <f>VLOOKUP($A$34,'Sociodem statistics'!$B$29:$J$31,9,FALSE)</f>
        <v>1</v>
      </c>
      <c r="T34" s="53">
        <f>VLOOKUP($A$34,'Sociodem statistics'!$B$29:$J$31,9,FALSE)</f>
        <v>1</v>
      </c>
      <c r="U34" s="53">
        <f>VLOOKUP($A$34,'Sociodem statistics'!$B$29:$J$31,9,FALSE)</f>
        <v>1</v>
      </c>
      <c r="V34" s="53">
        <f>VLOOKUP($A$34,'Sociodem statistics'!$B$29:$J$31,9,FALSE)</f>
        <v>1</v>
      </c>
      <c r="W34" s="53">
        <f>VLOOKUP($A$34,'Sociodem statistics'!$B$29:$J$31,9,FALSE)</f>
        <v>1</v>
      </c>
      <c r="X34" s="53">
        <f>VLOOKUP($A$34,'Sociodem statistics'!$B$29:$J$31,9,FALSE)</f>
        <v>1</v>
      </c>
      <c r="Y34" s="53">
        <f>VLOOKUP($A$34,'Sociodem statistics'!$B$29:$J$31,9,FALSE)</f>
        <v>1</v>
      </c>
      <c r="Z34" s="53">
        <f>VLOOKUP($A$34,'Sociodem statistics'!$B$29:$J$31,9,FALSE)</f>
        <v>1</v>
      </c>
      <c r="AA34" s="53">
        <f>VLOOKUP($A$34,'Sociodem statistics'!$B$29:$J$31,9,FALSE)</f>
        <v>1</v>
      </c>
      <c r="AB34" s="47"/>
      <c r="AC34" s="47"/>
      <c r="AD34" s="47"/>
      <c r="AE34" s="47"/>
      <c r="AF34" s="47"/>
    </row>
    <row r="35" spans="1:32" ht="15" x14ac:dyDescent="0.25">
      <c r="A35" s="45" t="s">
        <v>413</v>
      </c>
      <c r="B35" s="53">
        <f>VLOOKUP($A$35,'Sociodem statistics'!$B$39:$J$41,9,FALSE)</f>
        <v>0.82809999999999995</v>
      </c>
      <c r="C35" s="53">
        <f>VLOOKUP($A$35,'Sociodem statistics'!$B$39:$J$41,9,FALSE)</f>
        <v>0.82809999999999995</v>
      </c>
      <c r="D35" s="53">
        <f>VLOOKUP($A$35,'Sociodem statistics'!$B$39:$J$41,9,FALSE)</f>
        <v>0.82809999999999995</v>
      </c>
      <c r="E35" s="53">
        <f>VLOOKUP($A$35,'Sociodem statistics'!$B$39:$J$41,9,FALSE)</f>
        <v>0.82809999999999995</v>
      </c>
      <c r="F35" s="53">
        <f>VLOOKUP($A$35,'Sociodem statistics'!$B$39:$J$41,9,FALSE)</f>
        <v>0.82809999999999995</v>
      </c>
      <c r="G35" s="53">
        <f>VLOOKUP($A$35,'Sociodem statistics'!$B$39:$J$41,9,FALSE)</f>
        <v>0.82809999999999995</v>
      </c>
      <c r="H35" s="53">
        <f>VLOOKUP($A$35,'Sociodem statistics'!$B$39:$J$41,9,FALSE)</f>
        <v>0.82809999999999995</v>
      </c>
      <c r="I35" s="53">
        <f>VLOOKUP($A$35,'Sociodem statistics'!$B$39:$J$41,9,FALSE)</f>
        <v>0.82809999999999995</v>
      </c>
      <c r="J35" s="53">
        <f>VLOOKUP($A$35,'Sociodem statistics'!$B$39:$J$41,9,FALSE)</f>
        <v>0.82809999999999995</v>
      </c>
      <c r="K35" s="53">
        <f>VLOOKUP($A$35,'Sociodem statistics'!$B$39:$J$41,9,FALSE)</f>
        <v>0.82809999999999995</v>
      </c>
      <c r="L35" s="53">
        <f>VLOOKUP($A$35,'Sociodem statistics'!$B$39:$J$41,9,FALSE)</f>
        <v>0.82809999999999995</v>
      </c>
      <c r="M35" s="53">
        <f>VLOOKUP($A$35,'Sociodem statistics'!$B$39:$J$41,9,FALSE)</f>
        <v>0.82809999999999995</v>
      </c>
      <c r="N35" s="53">
        <f>VLOOKUP($A$35,'Sociodem statistics'!$B$39:$J$41,9,FALSE)</f>
        <v>0.82809999999999995</v>
      </c>
      <c r="O35" s="53">
        <f>VLOOKUP($A$35,'Sociodem statistics'!$B$39:$J$41,9,FALSE)</f>
        <v>0.82809999999999995</v>
      </c>
      <c r="P35" s="53">
        <f>VLOOKUP($A$35,'Sociodem statistics'!$B$39:$J$41,9,FALSE)</f>
        <v>0.82809999999999995</v>
      </c>
      <c r="Q35" s="53">
        <f>VLOOKUP($A$35,'Sociodem statistics'!$B$39:$J$41,9,FALSE)</f>
        <v>0.82809999999999995</v>
      </c>
      <c r="R35" s="53">
        <f>VLOOKUP($A$35,'Sociodem statistics'!$B$39:$J$41,9,FALSE)</f>
        <v>0.82809999999999995</v>
      </c>
      <c r="S35" s="53">
        <f>VLOOKUP($A$35,'Sociodem statistics'!$B$39:$J$41,9,FALSE)</f>
        <v>0.82809999999999995</v>
      </c>
      <c r="T35" s="53">
        <f>VLOOKUP($A$35,'Sociodem statistics'!$B$39:$J$41,9,FALSE)</f>
        <v>0.82809999999999995</v>
      </c>
      <c r="U35" s="53">
        <f>VLOOKUP($A$35,'Sociodem statistics'!$B$39:$J$41,9,FALSE)</f>
        <v>0.82809999999999995</v>
      </c>
      <c r="V35" s="53">
        <f>VLOOKUP($A$35,'Sociodem statistics'!$B$39:$J$41,9,FALSE)</f>
        <v>0.82809999999999995</v>
      </c>
      <c r="W35" s="53">
        <f>VLOOKUP($A$35,'Sociodem statistics'!$B$39:$J$41,9,FALSE)</f>
        <v>0.82809999999999995</v>
      </c>
      <c r="X35" s="53">
        <f>VLOOKUP($A$35,'Sociodem statistics'!$B$39:$J$41,9,FALSE)</f>
        <v>0.82809999999999995</v>
      </c>
      <c r="Y35" s="53">
        <f>VLOOKUP($A$35,'Sociodem statistics'!$B$39:$J$41,9,FALSE)</f>
        <v>0.82809999999999995</v>
      </c>
      <c r="Z35" s="53">
        <f>VLOOKUP($A$35,'Sociodem statistics'!$B$39:$J$41,9,FALSE)</f>
        <v>0.82809999999999995</v>
      </c>
      <c r="AA35" s="53">
        <f>VLOOKUP($A$35,'Sociodem statistics'!$B$39:$J$41,9,FALSE)</f>
        <v>0.82809999999999995</v>
      </c>
      <c r="AB35" s="47"/>
      <c r="AC35" s="47"/>
      <c r="AD35" s="47"/>
      <c r="AE35" s="47"/>
      <c r="AF35" s="47"/>
    </row>
    <row r="36" spans="1:32" ht="90" x14ac:dyDescent="0.25">
      <c r="A36" s="46" t="s">
        <v>416</v>
      </c>
      <c r="B36" s="54">
        <f t="shared" ref="B36:AA36" si="3">B20*100/(500*PRODUCT(B29:B35))</f>
        <v>6.1563086773170816</v>
      </c>
      <c r="C36" s="54">
        <f t="shared" si="3"/>
        <v>6.1563086773170816</v>
      </c>
      <c r="D36" s="54">
        <f t="shared" si="3"/>
        <v>6.1563086773170816</v>
      </c>
      <c r="E36" s="54">
        <f t="shared" si="3"/>
        <v>6.1563086773170816</v>
      </c>
      <c r="F36" s="54">
        <f t="shared" si="3"/>
        <v>6.1563086773170816</v>
      </c>
      <c r="G36" s="54">
        <f t="shared" si="3"/>
        <v>6.1563086773170816</v>
      </c>
      <c r="H36" s="54">
        <f t="shared" si="3"/>
        <v>6.1563086773170816</v>
      </c>
      <c r="I36" s="54">
        <f t="shared" si="3"/>
        <v>6.1563086773170816</v>
      </c>
      <c r="J36" s="54">
        <f t="shared" si="3"/>
        <v>6.1563086773170816</v>
      </c>
      <c r="K36" s="54">
        <f t="shared" si="3"/>
        <v>6.1563086773170816</v>
      </c>
      <c r="L36" s="54">
        <f t="shared" si="3"/>
        <v>6.1563086773170816</v>
      </c>
      <c r="M36" s="54">
        <f t="shared" si="3"/>
        <v>6.1563086773170816</v>
      </c>
      <c r="N36" s="54">
        <f t="shared" si="3"/>
        <v>19.416050443846178</v>
      </c>
      <c r="O36" s="54">
        <f t="shared" si="3"/>
        <v>19.416050443846178</v>
      </c>
      <c r="P36" s="54">
        <f t="shared" si="3"/>
        <v>19.416050443846178</v>
      </c>
      <c r="Q36" s="54">
        <f t="shared" si="3"/>
        <v>19.416050443846178</v>
      </c>
      <c r="R36" s="54">
        <f t="shared" si="3"/>
        <v>19.416050443846178</v>
      </c>
      <c r="S36" s="54">
        <f t="shared" si="3"/>
        <v>19.416050443846178</v>
      </c>
      <c r="T36" s="54">
        <f t="shared" si="3"/>
        <v>19.416050443846178</v>
      </c>
      <c r="U36" s="54">
        <f t="shared" si="3"/>
        <v>19.416050443846178</v>
      </c>
      <c r="V36" s="54">
        <f t="shared" si="3"/>
        <v>18.468926031951245</v>
      </c>
      <c r="W36" s="54">
        <f t="shared" si="3"/>
        <v>18.468926031951245</v>
      </c>
      <c r="X36" s="54">
        <f t="shared" si="3"/>
        <v>18.468926031951245</v>
      </c>
      <c r="Y36" s="54">
        <f t="shared" si="3"/>
        <v>18.468926031951245</v>
      </c>
      <c r="Z36" s="55">
        <f t="shared" si="3"/>
        <v>18.468926031951245</v>
      </c>
      <c r="AA36" s="56">
        <f t="shared" si="3"/>
        <v>18.468926031951245</v>
      </c>
      <c r="AB36" s="47"/>
      <c r="AC36" s="57">
        <f>AVERAGE(B36:AA36)</f>
        <v>13.077602456549304</v>
      </c>
      <c r="AD36" s="47"/>
      <c r="AE36" s="47"/>
      <c r="AF36" s="47"/>
    </row>
    <row r="38" spans="1:32" ht="15" x14ac:dyDescent="0.25">
      <c r="Y38" s="181" t="s">
        <v>426</v>
      </c>
      <c r="Z38" s="181"/>
      <c r="AA38" s="181"/>
      <c r="AB38" s="181"/>
      <c r="AC38" s="63">
        <f>AC22*AC36</f>
        <v>5.161109743964686</v>
      </c>
    </row>
    <row r="39" spans="1:32" ht="15" x14ac:dyDescent="0.25">
      <c r="Y39" s="182" t="s">
        <v>427</v>
      </c>
      <c r="Z39" s="182"/>
      <c r="AA39" s="182"/>
      <c r="AB39" s="182"/>
      <c r="AC39" s="63">
        <f>AC24*AC36</f>
        <v>4.5362058991780883</v>
      </c>
    </row>
    <row r="40" spans="1:32" ht="15" x14ac:dyDescent="0.25">
      <c r="Y40" s="67"/>
      <c r="Z40" s="67"/>
      <c r="AA40" s="67"/>
      <c r="AB40" s="67"/>
      <c r="AC40" s="63"/>
    </row>
    <row r="41" spans="1:32" ht="15" x14ac:dyDescent="0.25">
      <c r="Y41" s="67"/>
      <c r="Z41" s="67"/>
      <c r="AA41" s="67"/>
      <c r="AB41" s="67"/>
      <c r="AC41" s="63"/>
    </row>
    <row r="42" spans="1:32" ht="15" thickBot="1" x14ac:dyDescent="0.4">
      <c r="A42" s="174" t="s">
        <v>529</v>
      </c>
      <c r="B42" s="174"/>
      <c r="C42" s="174"/>
    </row>
    <row r="43" spans="1:32" ht="16.5" thickBot="1" x14ac:dyDescent="0.3">
      <c r="A43" s="83" t="s">
        <v>57</v>
      </c>
      <c r="B43" s="172" t="s">
        <v>26</v>
      </c>
      <c r="C43" s="172"/>
      <c r="D43" s="172"/>
      <c r="E43" s="172"/>
      <c r="F43" s="172"/>
      <c r="G43" s="134" t="s">
        <v>27</v>
      </c>
      <c r="H43" s="134" t="s">
        <v>28</v>
      </c>
      <c r="I43" s="134" t="s">
        <v>470</v>
      </c>
      <c r="J43" s="172" t="s">
        <v>26</v>
      </c>
      <c r="K43" s="172"/>
      <c r="L43" s="172"/>
      <c r="M43" s="172"/>
      <c r="N43" s="172"/>
      <c r="O43" s="134" t="s">
        <v>29</v>
      </c>
      <c r="P43" s="134" t="s">
        <v>30</v>
      </c>
      <c r="Q43" s="12" t="s">
        <v>31</v>
      </c>
      <c r="R43" s="13" t="s">
        <v>32</v>
      </c>
      <c r="V43" s="111"/>
      <c r="W43" s="100"/>
    </row>
    <row r="44" spans="1:32" ht="15.5" x14ac:dyDescent="0.35">
      <c r="A44" s="161" t="s">
        <v>33</v>
      </c>
      <c r="B44" s="163" t="s">
        <v>34</v>
      </c>
      <c r="C44" s="163"/>
      <c r="D44" s="163"/>
      <c r="E44" s="163"/>
      <c r="F44" s="163"/>
      <c r="G44" s="165">
        <v>0.36074651508466166</v>
      </c>
      <c r="H44" s="163">
        <f>RANK(G44,G44:G52)</f>
        <v>2</v>
      </c>
      <c r="I44" s="84" t="s">
        <v>35</v>
      </c>
      <c r="J44" s="163" t="s">
        <v>36</v>
      </c>
      <c r="K44" s="163"/>
      <c r="L44" s="163"/>
      <c r="M44" s="163"/>
      <c r="N44" s="163"/>
      <c r="O44" s="132">
        <v>0.47228229818407963</v>
      </c>
      <c r="P44" s="14">
        <f>RANK(O44,O44:O47)</f>
        <v>1</v>
      </c>
      <c r="Q44" s="15">
        <f>O44*G44</f>
        <v>0.17037419320608177</v>
      </c>
      <c r="R44" s="16">
        <f>RANK(Q44, $Q$44:$Q$52)</f>
        <v>3</v>
      </c>
      <c r="V44" s="112"/>
      <c r="W44" s="118"/>
    </row>
    <row r="45" spans="1:32" ht="15.5" x14ac:dyDescent="0.35">
      <c r="A45" s="169"/>
      <c r="B45" s="170"/>
      <c r="C45" s="170"/>
      <c r="D45" s="170"/>
      <c r="E45" s="170"/>
      <c r="F45" s="170"/>
      <c r="G45" s="173"/>
      <c r="H45" s="170"/>
      <c r="I45" s="85" t="s">
        <v>37</v>
      </c>
      <c r="J45" s="170" t="s">
        <v>38</v>
      </c>
      <c r="K45" s="170"/>
      <c r="L45" s="170"/>
      <c r="M45" s="170"/>
      <c r="N45" s="170"/>
      <c r="O45" s="135">
        <v>0.12893220056258992</v>
      </c>
      <c r="P45" s="16">
        <f>RANK(O45,O44:O47)</f>
        <v>4</v>
      </c>
      <c r="Q45" s="15">
        <f>O45*G44</f>
        <v>4.6511842035150963E-2</v>
      </c>
      <c r="R45" s="16">
        <f t="shared" ref="R45:R52" si="4">RANK(Q45, $Q$44:$Q$52)</f>
        <v>9</v>
      </c>
      <c r="V45" s="109"/>
      <c r="W45" s="118"/>
    </row>
    <row r="46" spans="1:32" ht="15.5" x14ac:dyDescent="0.35">
      <c r="A46" s="169"/>
      <c r="B46" s="170"/>
      <c r="C46" s="170"/>
      <c r="D46" s="170"/>
      <c r="E46" s="170"/>
      <c r="F46" s="170"/>
      <c r="G46" s="173"/>
      <c r="H46" s="170"/>
      <c r="I46" s="85" t="s">
        <v>39</v>
      </c>
      <c r="J46" s="170" t="s">
        <v>40</v>
      </c>
      <c r="K46" s="170"/>
      <c r="L46" s="170"/>
      <c r="M46" s="170"/>
      <c r="N46" s="170"/>
      <c r="O46" s="135">
        <v>0.24967949374033552</v>
      </c>
      <c r="P46" s="16">
        <f>RANK(O46,O44:O47)</f>
        <v>2</v>
      </c>
      <c r="Q46" s="15">
        <f>O46*G44</f>
        <v>9.0071007254928628E-2</v>
      </c>
      <c r="R46" s="16">
        <f t="shared" si="4"/>
        <v>4</v>
      </c>
      <c r="V46" s="109"/>
      <c r="W46" s="118"/>
    </row>
    <row r="47" spans="1:32" ht="16" thickBot="1" x14ac:dyDescent="0.4">
      <c r="A47" s="162"/>
      <c r="B47" s="164"/>
      <c r="C47" s="164"/>
      <c r="D47" s="164"/>
      <c r="E47" s="164"/>
      <c r="F47" s="164"/>
      <c r="G47" s="166"/>
      <c r="H47" s="164"/>
      <c r="I47" s="86" t="s">
        <v>41</v>
      </c>
      <c r="J47" s="164" t="s">
        <v>42</v>
      </c>
      <c r="K47" s="164"/>
      <c r="L47" s="164"/>
      <c r="M47" s="164"/>
      <c r="N47" s="164"/>
      <c r="O47" s="133">
        <v>0.14910600751299496</v>
      </c>
      <c r="P47" s="17">
        <f>RANK(O47,O44:O47)</f>
        <v>3</v>
      </c>
      <c r="Q47" s="15">
        <f>O47*G44</f>
        <v>5.3789472588500309E-2</v>
      </c>
      <c r="R47" s="16">
        <f t="shared" si="4"/>
        <v>7</v>
      </c>
      <c r="V47" s="109"/>
      <c r="W47" s="118"/>
    </row>
    <row r="48" spans="1:32" ht="15.5" x14ac:dyDescent="0.35">
      <c r="A48" s="161" t="s">
        <v>43</v>
      </c>
      <c r="B48" s="163" t="s">
        <v>44</v>
      </c>
      <c r="C48" s="163"/>
      <c r="D48" s="163"/>
      <c r="E48" s="163"/>
      <c r="F48" s="163"/>
      <c r="G48" s="165">
        <v>0.1973011696514072</v>
      </c>
      <c r="H48" s="163">
        <f>RANK(G48,G44:G52)</f>
        <v>3</v>
      </c>
      <c r="I48" s="84" t="s">
        <v>45</v>
      </c>
      <c r="J48" s="163" t="s">
        <v>46</v>
      </c>
      <c r="K48" s="163"/>
      <c r="L48" s="163"/>
      <c r="M48" s="163"/>
      <c r="N48" s="163"/>
      <c r="O48" s="132">
        <v>0.41221381182675554</v>
      </c>
      <c r="P48" s="14">
        <f>RANK(O48,O48:O50)</f>
        <v>1</v>
      </c>
      <c r="Q48" s="15">
        <f>O48*G48</f>
        <v>8.1330267219883942E-2</v>
      </c>
      <c r="R48" s="16">
        <f t="shared" si="4"/>
        <v>5</v>
      </c>
      <c r="V48" s="109"/>
      <c r="W48" s="118"/>
    </row>
    <row r="49" spans="1:28" ht="15.5" x14ac:dyDescent="0.35">
      <c r="A49" s="169"/>
      <c r="B49" s="170"/>
      <c r="C49" s="170"/>
      <c r="D49" s="170"/>
      <c r="E49" s="170"/>
      <c r="F49" s="170"/>
      <c r="G49" s="173"/>
      <c r="H49" s="170"/>
      <c r="I49" s="85" t="s">
        <v>47</v>
      </c>
      <c r="J49" s="170" t="s">
        <v>48</v>
      </c>
      <c r="K49" s="170"/>
      <c r="L49" s="170"/>
      <c r="M49" s="170"/>
      <c r="N49" s="170"/>
      <c r="O49" s="135">
        <v>0.34287533019712263</v>
      </c>
      <c r="P49" s="16">
        <f>RANK(O49,O48:O50)</f>
        <v>2</v>
      </c>
      <c r="Q49" s="15">
        <f>O49*G48</f>
        <v>6.7649703692504753E-2</v>
      </c>
      <c r="R49" s="16">
        <f t="shared" si="4"/>
        <v>6</v>
      </c>
      <c r="V49" s="109"/>
      <c r="W49" s="118"/>
    </row>
    <row r="50" spans="1:28" ht="16" thickBot="1" x14ac:dyDescent="0.4">
      <c r="A50" s="162"/>
      <c r="B50" s="164"/>
      <c r="C50" s="164"/>
      <c r="D50" s="164"/>
      <c r="E50" s="164"/>
      <c r="F50" s="164"/>
      <c r="G50" s="166"/>
      <c r="H50" s="164"/>
      <c r="I50" s="86" t="s">
        <v>49</v>
      </c>
      <c r="J50" s="164" t="s">
        <v>50</v>
      </c>
      <c r="K50" s="164"/>
      <c r="L50" s="164"/>
      <c r="M50" s="164"/>
      <c r="N50" s="164"/>
      <c r="O50" s="133">
        <v>0.24491085797612189</v>
      </c>
      <c r="P50" s="17">
        <f>RANK(O50,O48:O50)</f>
        <v>3</v>
      </c>
      <c r="Q50" s="15">
        <f>O50*G48</f>
        <v>4.8321198739018523E-2</v>
      </c>
      <c r="R50" s="16">
        <f t="shared" si="4"/>
        <v>8</v>
      </c>
      <c r="V50" s="109"/>
      <c r="W50" s="118"/>
    </row>
    <row r="51" spans="1:28" ht="15.5" x14ac:dyDescent="0.35">
      <c r="A51" s="161" t="s">
        <v>51</v>
      </c>
      <c r="B51" s="163" t="s">
        <v>52</v>
      </c>
      <c r="C51" s="163"/>
      <c r="D51" s="163"/>
      <c r="E51" s="163"/>
      <c r="F51" s="163"/>
      <c r="G51" s="165">
        <v>0.44195231526393114</v>
      </c>
      <c r="H51" s="163">
        <f>RANK(G51,G44:G52)</f>
        <v>1</v>
      </c>
      <c r="I51" s="84" t="s">
        <v>53</v>
      </c>
      <c r="J51" s="163" t="s">
        <v>54</v>
      </c>
      <c r="K51" s="163"/>
      <c r="L51" s="163"/>
      <c r="M51" s="163"/>
      <c r="N51" s="163"/>
      <c r="O51" s="132">
        <v>0.45187401282790718</v>
      </c>
      <c r="P51" s="14">
        <f>RANK(O51,O51:O52)</f>
        <v>2</v>
      </c>
      <c r="Q51" s="15">
        <f>O51*G51</f>
        <v>0.19970676617689689</v>
      </c>
      <c r="R51" s="16">
        <f t="shared" si="4"/>
        <v>2</v>
      </c>
      <c r="V51" s="109"/>
      <c r="W51" s="118"/>
    </row>
    <row r="52" spans="1:28" ht="16" thickBot="1" x14ac:dyDescent="0.4">
      <c r="A52" s="162"/>
      <c r="B52" s="164"/>
      <c r="C52" s="164"/>
      <c r="D52" s="164"/>
      <c r="E52" s="164"/>
      <c r="F52" s="164"/>
      <c r="G52" s="166"/>
      <c r="H52" s="164"/>
      <c r="I52" s="18" t="s">
        <v>55</v>
      </c>
      <c r="J52" s="167" t="s">
        <v>56</v>
      </c>
      <c r="K52" s="168"/>
      <c r="L52" s="168"/>
      <c r="M52" s="168"/>
      <c r="N52" s="168"/>
      <c r="O52" s="133">
        <v>0.54812598717209293</v>
      </c>
      <c r="P52" s="17">
        <f>RANK(O52,O51:O52)</f>
        <v>1</v>
      </c>
      <c r="Q52" s="19">
        <f>O52*G51</f>
        <v>0.2422455490870343</v>
      </c>
      <c r="R52" s="16">
        <f t="shared" si="4"/>
        <v>1</v>
      </c>
      <c r="V52" s="109"/>
      <c r="W52" s="118"/>
    </row>
    <row r="54" spans="1:28" x14ac:dyDescent="0.35">
      <c r="A54" s="119"/>
      <c r="B54" s="119"/>
      <c r="C54" s="119"/>
      <c r="D54" s="99"/>
      <c r="E54" s="99"/>
      <c r="F54" s="99"/>
      <c r="G54" s="99"/>
      <c r="H54" s="99"/>
      <c r="I54" s="99"/>
      <c r="J54" s="99"/>
      <c r="K54" s="99"/>
      <c r="L54" s="99"/>
      <c r="M54" s="99"/>
      <c r="N54" s="99"/>
      <c r="O54" s="99"/>
      <c r="P54" s="99"/>
      <c r="Q54" s="99"/>
      <c r="R54" s="99"/>
      <c r="S54" s="99"/>
      <c r="T54" s="99"/>
      <c r="U54" s="99"/>
      <c r="V54" s="99"/>
      <c r="W54" s="99"/>
      <c r="X54" s="99"/>
      <c r="Y54" s="99"/>
      <c r="Z54" s="99"/>
      <c r="AA54" s="99"/>
      <c r="AB54" s="99"/>
    </row>
  </sheetData>
  <mergeCells count="28">
    <mergeCell ref="B43:F43"/>
    <mergeCell ref="J43:N43"/>
    <mergeCell ref="A1:A2"/>
    <mergeCell ref="AB20:AC20"/>
    <mergeCell ref="Y38:AB38"/>
    <mergeCell ref="Y39:AB39"/>
    <mergeCell ref="A42:C42"/>
    <mergeCell ref="A44:A47"/>
    <mergeCell ref="B44:F47"/>
    <mergeCell ref="G44:G47"/>
    <mergeCell ref="H44:H47"/>
    <mergeCell ref="J44:N44"/>
    <mergeCell ref="J45:N45"/>
    <mergeCell ref="J46:N46"/>
    <mergeCell ref="J47:N47"/>
    <mergeCell ref="A48:A50"/>
    <mergeCell ref="B48:F50"/>
    <mergeCell ref="G48:G50"/>
    <mergeCell ref="H48:H50"/>
    <mergeCell ref="J48:N48"/>
    <mergeCell ref="J49:N49"/>
    <mergeCell ref="J50:N50"/>
    <mergeCell ref="A51:A52"/>
    <mergeCell ref="B51:F52"/>
    <mergeCell ref="G51:G52"/>
    <mergeCell ref="H51:H52"/>
    <mergeCell ref="J51:N51"/>
    <mergeCell ref="J52:N5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opyFilteredData">
                <anchor moveWithCells="1" sizeWithCells="1">
                  <from>
                    <xdr:col>5</xdr:col>
                    <xdr:colOff>12700</xdr:colOff>
                    <xdr:row>37</xdr:row>
                    <xdr:rowOff>12700</xdr:rowOff>
                  </from>
                  <to>
                    <xdr:col>6</xdr:col>
                    <xdr:colOff>850900</xdr:colOff>
                    <xdr:row>38</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promptTitle="Age" prompt="Select the age included in the study" xr:uid="{00000000-0002-0000-0800-000000000000}">
          <x14:formula1>
            <xm:f>'Sociodem statistics'!$B$2:$B$5</xm:f>
          </x14:formula1>
          <xm:sqref>A29</xm:sqref>
        </x14:dataValidation>
        <x14:dataValidation type="list" allowBlank="1" showInputMessage="1" showErrorMessage="1" promptTitle="Gender" prompt="Select the gender under evaluation" xr:uid="{00000000-0002-0000-0800-000001000000}">
          <x14:formula1>
            <xm:f>'Sociodem statistics'!$B$6:$B$8</xm:f>
          </x14:formula1>
          <xm:sqref>A30</xm:sqref>
        </x14:dataValidation>
        <x14:dataValidation type="list" allowBlank="1" showInputMessage="1" showErrorMessage="1" promptTitle="Education" prompt="Select the level of education:_x000a_- Low level: &lt; lower secundary education_x000a_- Medium level:between upper secondary and short-cycle tertiary education_x000a_- High level: degree or higher" xr:uid="{00000000-0002-0000-0800-000002000000}">
          <x14:formula1>
            <xm:f>'Sociodem statistics'!$B$9:$B$12</xm:f>
          </x14:formula1>
          <xm:sqref>A31</xm:sqref>
        </x14:dataValidation>
        <x14:dataValidation type="list" allowBlank="1" showInputMessage="1" showErrorMessage="1" promptTitle="Disability" prompt="Choose if you are considering people with or without disability_x000a_" xr:uid="{00000000-0002-0000-0800-000003000000}">
          <x14:formula1>
            <xm:f>'Sociodem statistics'!$B$13:$B$15</xm:f>
          </x14:formula1>
          <xm:sqref>A32</xm:sqref>
        </x14:dataValidation>
        <x14:dataValidation type="list" allowBlank="1" showInputMessage="1" showErrorMessage="1" promptTitle="Family" prompt="Select the family size" xr:uid="{00000000-0002-0000-0800-000004000000}">
          <x14:formula1>
            <xm:f>'Sociodem statistics'!$B$16:$B$19</xm:f>
          </x14:formula1>
          <xm:sqref>A33</xm:sqref>
        </x14:dataValidation>
        <x14:dataValidation type="list" allowBlank="1" showInputMessage="1" showErrorMessage="1" promptTitle="Sexual orientation" prompt="Select: heterosexual, LGTB or All" xr:uid="{00000000-0002-0000-0800-000005000000}">
          <x14:formula1>
            <xm:f>'Sociodem statistics'!$B$29:$B$31</xm:f>
          </x14:formula1>
          <xm:sqref>A34</xm:sqref>
        </x14:dataValidation>
        <x14:dataValidation type="list" allowBlank="1" showInputMessage="1" showErrorMessage="1" promptTitle="Economic level" prompt="Select the economic level._x000a_Note: Low wage earners are defined as employees who earn two thirds or less of national median gross hourly earnings. " xr:uid="{00000000-0002-0000-0800-000006000000}">
          <x14:formula1>
            <xm:f>'Sociodem statistics'!$B$39:$B$41</xm:f>
          </x14:formula1>
          <xm:sqref>A35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F52"/>
  <sheetViews>
    <sheetView workbookViewId="0">
      <selection activeCell="F41" sqref="F41"/>
    </sheetView>
  </sheetViews>
  <sheetFormatPr baseColWidth="10" defaultColWidth="8.7265625" defaultRowHeight="14.5" x14ac:dyDescent="0.35"/>
  <cols>
    <col min="1" max="1" width="39" bestFit="1" customWidth="1"/>
  </cols>
  <sheetData>
    <row r="1" spans="1:27" x14ac:dyDescent="0.35">
      <c r="A1" s="171" t="s">
        <v>418</v>
      </c>
      <c r="B1" s="1"/>
      <c r="C1" s="1"/>
      <c r="D1" s="1"/>
      <c r="E1" s="1"/>
      <c r="F1" s="1"/>
      <c r="G1" s="1"/>
      <c r="H1" s="1"/>
      <c r="I1" s="1"/>
      <c r="J1" s="1"/>
      <c r="K1" s="1"/>
      <c r="L1" s="1"/>
      <c r="M1" s="1"/>
      <c r="N1" s="1"/>
      <c r="O1" s="1"/>
      <c r="P1" s="1"/>
      <c r="Q1" s="1"/>
      <c r="R1" s="1"/>
      <c r="S1" s="1"/>
      <c r="T1" s="1"/>
      <c r="U1" s="1"/>
      <c r="V1" s="1"/>
      <c r="W1" s="1"/>
      <c r="X1" s="1"/>
      <c r="Y1" s="1"/>
      <c r="Z1" s="1"/>
      <c r="AA1" s="1"/>
    </row>
    <row r="2" spans="1:27" x14ac:dyDescent="0.35">
      <c r="A2" s="171"/>
      <c r="B2" s="2" t="s">
        <v>0</v>
      </c>
      <c r="C2" s="2" t="s">
        <v>1</v>
      </c>
      <c r="D2" s="2" t="s">
        <v>2</v>
      </c>
      <c r="E2" s="2" t="s">
        <v>3</v>
      </c>
      <c r="F2" s="2" t="s">
        <v>4</v>
      </c>
      <c r="G2" s="2" t="s">
        <v>5</v>
      </c>
      <c r="H2" s="2" t="s">
        <v>6</v>
      </c>
      <c r="I2" s="2" t="s">
        <v>7</v>
      </c>
      <c r="J2" s="2" t="s">
        <v>8</v>
      </c>
      <c r="K2" s="2" t="s">
        <v>9</v>
      </c>
      <c r="L2" s="2" t="s">
        <v>10</v>
      </c>
      <c r="M2" s="2" t="s">
        <v>11</v>
      </c>
      <c r="N2" s="2" t="s">
        <v>12</v>
      </c>
      <c r="O2" s="2" t="s">
        <v>13</v>
      </c>
      <c r="P2" s="2" t="s">
        <v>14</v>
      </c>
      <c r="Q2" s="2" t="s">
        <v>15</v>
      </c>
      <c r="R2" s="2" t="s">
        <v>16</v>
      </c>
      <c r="S2" s="2" t="s">
        <v>17</v>
      </c>
      <c r="T2" s="2" t="s">
        <v>18</v>
      </c>
      <c r="U2" s="2" t="s">
        <v>19</v>
      </c>
      <c r="V2" s="2" t="s">
        <v>20</v>
      </c>
      <c r="W2" s="2" t="s">
        <v>21</v>
      </c>
      <c r="X2" s="2" t="s">
        <v>22</v>
      </c>
      <c r="Y2" s="2" t="s">
        <v>23</v>
      </c>
      <c r="Z2" s="2" t="s">
        <v>24</v>
      </c>
      <c r="AA2" s="2" t="s">
        <v>25</v>
      </c>
    </row>
    <row r="3" spans="1:27" ht="15" x14ac:dyDescent="0.25">
      <c r="A3" s="3">
        <v>1</v>
      </c>
      <c r="B3" s="4">
        <v>3</v>
      </c>
      <c r="C3" s="49">
        <v>3</v>
      </c>
      <c r="D3" s="4">
        <v>1</v>
      </c>
      <c r="E3" s="49">
        <v>1</v>
      </c>
      <c r="F3" s="4">
        <v>1</v>
      </c>
      <c r="G3" s="49">
        <v>1</v>
      </c>
      <c r="H3" s="4">
        <v>3</v>
      </c>
      <c r="I3" s="49">
        <v>3</v>
      </c>
      <c r="J3" s="4">
        <v>1</v>
      </c>
      <c r="K3" s="49">
        <v>1</v>
      </c>
      <c r="L3" s="4">
        <v>1</v>
      </c>
      <c r="M3" s="49">
        <v>1</v>
      </c>
      <c r="N3" s="4">
        <v>16</v>
      </c>
      <c r="O3" s="49">
        <v>16</v>
      </c>
      <c r="P3" s="4">
        <v>14</v>
      </c>
      <c r="Q3" s="49">
        <v>14</v>
      </c>
      <c r="R3" s="4">
        <v>15</v>
      </c>
      <c r="S3" s="49">
        <v>15</v>
      </c>
      <c r="T3" s="4">
        <v>12</v>
      </c>
      <c r="U3" s="49">
        <v>12</v>
      </c>
      <c r="V3" s="4">
        <v>6</v>
      </c>
      <c r="W3" s="49">
        <v>6</v>
      </c>
      <c r="X3" s="4">
        <v>8</v>
      </c>
      <c r="Y3" s="49">
        <v>8</v>
      </c>
      <c r="Z3" s="4">
        <v>3</v>
      </c>
      <c r="AA3" s="49">
        <v>3</v>
      </c>
    </row>
    <row r="4" spans="1:27" ht="15" x14ac:dyDescent="0.25">
      <c r="A4" s="3">
        <v>2</v>
      </c>
      <c r="B4" s="4">
        <v>0</v>
      </c>
      <c r="C4" s="49">
        <v>0</v>
      </c>
      <c r="D4" s="4">
        <v>0</v>
      </c>
      <c r="E4" s="49">
        <v>0</v>
      </c>
      <c r="F4" s="4">
        <v>0</v>
      </c>
      <c r="G4" s="49">
        <v>0</v>
      </c>
      <c r="H4" s="4">
        <v>0</v>
      </c>
      <c r="I4" s="49">
        <v>0</v>
      </c>
      <c r="J4" s="4">
        <v>0</v>
      </c>
      <c r="K4" s="49">
        <v>0</v>
      </c>
      <c r="L4" s="4">
        <v>0</v>
      </c>
      <c r="M4" s="49">
        <v>0</v>
      </c>
      <c r="N4" s="4">
        <v>0</v>
      </c>
      <c r="O4" s="49">
        <v>0</v>
      </c>
      <c r="P4" s="4">
        <v>0</v>
      </c>
      <c r="Q4" s="49">
        <v>0</v>
      </c>
      <c r="R4" s="4">
        <v>0</v>
      </c>
      <c r="S4" s="49">
        <v>0</v>
      </c>
      <c r="T4" s="4">
        <v>1</v>
      </c>
      <c r="U4" s="49">
        <v>0</v>
      </c>
      <c r="V4" s="4">
        <v>0</v>
      </c>
      <c r="W4" s="49">
        <v>0</v>
      </c>
      <c r="X4" s="4">
        <v>0</v>
      </c>
      <c r="Y4" s="49">
        <v>0</v>
      </c>
      <c r="Z4" s="4">
        <v>0</v>
      </c>
      <c r="AA4" s="49">
        <v>0</v>
      </c>
    </row>
    <row r="5" spans="1:27" ht="15" x14ac:dyDescent="0.25">
      <c r="A5" s="3">
        <v>3</v>
      </c>
      <c r="B5" s="4">
        <v>0</v>
      </c>
      <c r="C5" s="49">
        <v>0</v>
      </c>
      <c r="D5" s="4">
        <v>0</v>
      </c>
      <c r="E5" s="49">
        <v>0</v>
      </c>
      <c r="F5" s="4">
        <v>1</v>
      </c>
      <c r="G5" s="49">
        <v>0</v>
      </c>
      <c r="H5" s="4">
        <v>0</v>
      </c>
      <c r="I5" s="49">
        <v>0</v>
      </c>
      <c r="J5" s="4">
        <v>0</v>
      </c>
      <c r="K5" s="49">
        <v>0</v>
      </c>
      <c r="L5" s="4">
        <v>0</v>
      </c>
      <c r="M5" s="49">
        <v>0</v>
      </c>
      <c r="N5" s="4">
        <v>0</v>
      </c>
      <c r="O5" s="49">
        <v>0</v>
      </c>
      <c r="P5" s="4">
        <v>0</v>
      </c>
      <c r="Q5" s="49">
        <v>0</v>
      </c>
      <c r="R5" s="4">
        <v>0</v>
      </c>
      <c r="S5" s="49">
        <v>0</v>
      </c>
      <c r="T5" s="4">
        <v>1</v>
      </c>
      <c r="U5" s="49">
        <v>0</v>
      </c>
      <c r="V5" s="4">
        <v>0</v>
      </c>
      <c r="W5" s="49">
        <v>0</v>
      </c>
      <c r="X5" s="4">
        <v>0</v>
      </c>
      <c r="Y5" s="49">
        <v>1</v>
      </c>
      <c r="Z5" s="4">
        <v>0</v>
      </c>
      <c r="AA5" s="49">
        <v>0</v>
      </c>
    </row>
    <row r="6" spans="1:27" ht="15" x14ac:dyDescent="0.25">
      <c r="A6" s="3">
        <v>4</v>
      </c>
      <c r="B6" s="4">
        <v>0</v>
      </c>
      <c r="C6" s="49">
        <v>0</v>
      </c>
      <c r="D6" s="4">
        <v>1</v>
      </c>
      <c r="E6" s="49">
        <v>0</v>
      </c>
      <c r="F6" s="4">
        <v>1</v>
      </c>
      <c r="G6" s="49">
        <v>0</v>
      </c>
      <c r="H6" s="4">
        <v>0</v>
      </c>
      <c r="I6" s="49">
        <v>1</v>
      </c>
      <c r="J6" s="4">
        <v>0</v>
      </c>
      <c r="K6" s="49">
        <v>1</v>
      </c>
      <c r="L6" s="4">
        <v>1</v>
      </c>
      <c r="M6" s="49">
        <v>0</v>
      </c>
      <c r="N6" s="4">
        <v>0</v>
      </c>
      <c r="O6" s="49">
        <v>0</v>
      </c>
      <c r="P6" s="4">
        <v>0</v>
      </c>
      <c r="Q6" s="49">
        <v>0</v>
      </c>
      <c r="R6" s="4">
        <v>0</v>
      </c>
      <c r="S6" s="49">
        <v>0</v>
      </c>
      <c r="T6" s="4">
        <v>0</v>
      </c>
      <c r="U6" s="49">
        <v>0</v>
      </c>
      <c r="V6" s="4">
        <v>0</v>
      </c>
      <c r="W6" s="49">
        <v>0</v>
      </c>
      <c r="X6" s="4">
        <v>0</v>
      </c>
      <c r="Y6" s="49">
        <v>1</v>
      </c>
      <c r="Z6" s="4">
        <v>0</v>
      </c>
      <c r="AA6" s="49">
        <v>0</v>
      </c>
    </row>
    <row r="7" spans="1:27" ht="15" x14ac:dyDescent="0.25">
      <c r="A7" s="3">
        <v>5</v>
      </c>
      <c r="B7" s="4">
        <v>0</v>
      </c>
      <c r="C7" s="49">
        <v>0</v>
      </c>
      <c r="D7" s="4">
        <v>1</v>
      </c>
      <c r="E7" s="49">
        <v>0</v>
      </c>
      <c r="F7" s="4">
        <v>2</v>
      </c>
      <c r="G7" s="49">
        <v>0</v>
      </c>
      <c r="H7" s="4">
        <v>0</v>
      </c>
      <c r="I7" s="49">
        <v>3</v>
      </c>
      <c r="J7" s="4">
        <v>1</v>
      </c>
      <c r="K7" s="49">
        <v>1</v>
      </c>
      <c r="L7" s="4">
        <v>2</v>
      </c>
      <c r="M7" s="49">
        <v>1</v>
      </c>
      <c r="N7" s="4">
        <v>0</v>
      </c>
      <c r="O7" s="49">
        <v>2</v>
      </c>
      <c r="P7" s="4">
        <v>1</v>
      </c>
      <c r="Q7" s="49">
        <v>0</v>
      </c>
      <c r="R7" s="4">
        <v>0</v>
      </c>
      <c r="S7" s="49">
        <v>0</v>
      </c>
      <c r="T7" s="4">
        <v>0</v>
      </c>
      <c r="U7" s="49">
        <v>0</v>
      </c>
      <c r="V7" s="4">
        <v>1</v>
      </c>
      <c r="W7" s="49">
        <v>0</v>
      </c>
      <c r="X7" s="4">
        <v>0</v>
      </c>
      <c r="Y7" s="49">
        <v>2</v>
      </c>
      <c r="Z7" s="4">
        <v>1</v>
      </c>
      <c r="AA7" s="49">
        <v>1</v>
      </c>
    </row>
    <row r="8" spans="1:27" ht="15" x14ac:dyDescent="0.25">
      <c r="A8" s="3">
        <v>6</v>
      </c>
      <c r="B8" s="4">
        <v>1</v>
      </c>
      <c r="C8" s="49">
        <v>1</v>
      </c>
      <c r="D8" s="4">
        <v>1</v>
      </c>
      <c r="E8" s="49">
        <v>0</v>
      </c>
      <c r="F8" s="4">
        <v>0</v>
      </c>
      <c r="G8" s="49">
        <v>0</v>
      </c>
      <c r="H8" s="4">
        <v>0</v>
      </c>
      <c r="I8" s="49">
        <v>0</v>
      </c>
      <c r="J8" s="4">
        <v>0</v>
      </c>
      <c r="K8" s="49">
        <v>0</v>
      </c>
      <c r="L8" s="4">
        <v>0</v>
      </c>
      <c r="M8" s="49">
        <v>0</v>
      </c>
      <c r="N8" s="4">
        <v>2</v>
      </c>
      <c r="O8" s="49">
        <v>0</v>
      </c>
      <c r="P8" s="4">
        <v>2</v>
      </c>
      <c r="Q8" s="49">
        <v>0</v>
      </c>
      <c r="R8" s="4">
        <v>2</v>
      </c>
      <c r="S8" s="49">
        <v>0</v>
      </c>
      <c r="T8" s="4">
        <v>0</v>
      </c>
      <c r="U8" s="49">
        <v>2</v>
      </c>
      <c r="V8" s="4">
        <v>2</v>
      </c>
      <c r="W8" s="49">
        <v>1</v>
      </c>
      <c r="X8" s="4">
        <v>0</v>
      </c>
      <c r="Y8" s="49">
        <v>0</v>
      </c>
      <c r="Z8" s="4">
        <v>0</v>
      </c>
      <c r="AA8" s="49">
        <v>2</v>
      </c>
    </row>
    <row r="9" spans="1:27" ht="15" x14ac:dyDescent="0.25">
      <c r="A9" s="3">
        <v>7</v>
      </c>
      <c r="B9" s="4">
        <v>3</v>
      </c>
      <c r="C9" s="49">
        <v>0</v>
      </c>
      <c r="D9" s="4">
        <v>2</v>
      </c>
      <c r="E9" s="49">
        <v>1</v>
      </c>
      <c r="F9" s="4">
        <v>2</v>
      </c>
      <c r="G9" s="49">
        <v>0</v>
      </c>
      <c r="H9" s="4">
        <v>0</v>
      </c>
      <c r="I9" s="49">
        <v>0</v>
      </c>
      <c r="J9" s="4">
        <v>2</v>
      </c>
      <c r="K9" s="49">
        <v>1</v>
      </c>
      <c r="L9" s="4">
        <v>0</v>
      </c>
      <c r="M9" s="49">
        <v>0</v>
      </c>
      <c r="N9" s="4">
        <v>1</v>
      </c>
      <c r="O9" s="49">
        <v>0</v>
      </c>
      <c r="P9" s="4">
        <v>2</v>
      </c>
      <c r="Q9" s="49">
        <v>0</v>
      </c>
      <c r="R9" s="4">
        <v>2</v>
      </c>
      <c r="S9" s="49">
        <v>0</v>
      </c>
      <c r="T9" s="4">
        <v>1</v>
      </c>
      <c r="U9" s="49">
        <v>3</v>
      </c>
      <c r="V9" s="4">
        <v>2</v>
      </c>
      <c r="W9" s="49">
        <v>0</v>
      </c>
      <c r="X9" s="4">
        <v>0</v>
      </c>
      <c r="Y9" s="49">
        <v>0</v>
      </c>
      <c r="Z9" s="4">
        <v>0</v>
      </c>
      <c r="AA9" s="49">
        <v>5</v>
      </c>
    </row>
    <row r="10" spans="1:27" ht="15" x14ac:dyDescent="0.25">
      <c r="A10" s="3">
        <v>8</v>
      </c>
      <c r="B10" s="4">
        <v>0</v>
      </c>
      <c r="C10" s="49">
        <v>0</v>
      </c>
      <c r="D10" s="4">
        <v>1</v>
      </c>
      <c r="E10" s="49">
        <v>0</v>
      </c>
      <c r="F10" s="4">
        <v>1</v>
      </c>
      <c r="G10" s="49">
        <v>0</v>
      </c>
      <c r="H10" s="4">
        <v>1</v>
      </c>
      <c r="I10" s="49">
        <v>0</v>
      </c>
      <c r="J10" s="4">
        <v>1</v>
      </c>
      <c r="K10" s="49">
        <v>0</v>
      </c>
      <c r="L10" s="4">
        <v>2</v>
      </c>
      <c r="M10" s="49">
        <v>0</v>
      </c>
      <c r="N10" s="4">
        <v>0</v>
      </c>
      <c r="O10" s="49">
        <v>0</v>
      </c>
      <c r="P10" s="4">
        <v>0</v>
      </c>
      <c r="Q10" s="49">
        <v>2</v>
      </c>
      <c r="R10" s="4">
        <v>1</v>
      </c>
      <c r="S10" s="49">
        <v>1</v>
      </c>
      <c r="T10" s="4">
        <v>0</v>
      </c>
      <c r="U10" s="49">
        <v>1</v>
      </c>
      <c r="V10" s="4">
        <v>0</v>
      </c>
      <c r="W10" s="49">
        <v>0</v>
      </c>
      <c r="X10" s="4">
        <v>0</v>
      </c>
      <c r="Y10" s="49">
        <v>0</v>
      </c>
      <c r="Z10" s="4">
        <v>0</v>
      </c>
      <c r="AA10" s="49">
        <v>0</v>
      </c>
    </row>
    <row r="11" spans="1:27" ht="15" x14ac:dyDescent="0.25">
      <c r="A11" s="3">
        <v>9</v>
      </c>
      <c r="B11" s="4">
        <v>0</v>
      </c>
      <c r="C11" s="49">
        <v>0</v>
      </c>
      <c r="D11" s="4">
        <v>0</v>
      </c>
      <c r="E11" s="49">
        <v>0</v>
      </c>
      <c r="F11" s="4">
        <v>0</v>
      </c>
      <c r="G11" s="49">
        <v>0</v>
      </c>
      <c r="H11" s="4">
        <v>0</v>
      </c>
      <c r="I11" s="49">
        <v>0</v>
      </c>
      <c r="J11" s="4">
        <v>0</v>
      </c>
      <c r="K11" s="49">
        <v>0</v>
      </c>
      <c r="L11" s="4">
        <v>1</v>
      </c>
      <c r="M11" s="49">
        <v>0</v>
      </c>
      <c r="N11" s="4">
        <v>0</v>
      </c>
      <c r="O11" s="49">
        <v>0</v>
      </c>
      <c r="P11" s="4">
        <v>0</v>
      </c>
      <c r="Q11" s="49">
        <v>0</v>
      </c>
      <c r="R11" s="4">
        <v>0</v>
      </c>
      <c r="S11" s="49">
        <v>0</v>
      </c>
      <c r="T11" s="4">
        <v>0</v>
      </c>
      <c r="U11" s="49">
        <v>0</v>
      </c>
      <c r="V11" s="4">
        <v>0</v>
      </c>
      <c r="W11" s="49">
        <v>0</v>
      </c>
      <c r="X11" s="4">
        <v>0</v>
      </c>
      <c r="Y11" s="49">
        <v>0</v>
      </c>
      <c r="Z11" s="4">
        <v>0</v>
      </c>
      <c r="AA11" s="49">
        <v>0</v>
      </c>
    </row>
    <row r="12" spans="1:27" ht="15" x14ac:dyDescent="0.25">
      <c r="A12" s="5">
        <v>0.5</v>
      </c>
      <c r="B12" s="4">
        <v>0</v>
      </c>
      <c r="C12" s="49">
        <v>0</v>
      </c>
      <c r="D12" s="4">
        <v>0</v>
      </c>
      <c r="E12" s="49">
        <v>0</v>
      </c>
      <c r="F12" s="4">
        <v>0</v>
      </c>
      <c r="G12" s="49">
        <v>0</v>
      </c>
      <c r="H12" s="4">
        <v>0</v>
      </c>
      <c r="I12" s="49">
        <v>0</v>
      </c>
      <c r="J12" s="4">
        <v>0</v>
      </c>
      <c r="K12" s="49">
        <v>0</v>
      </c>
      <c r="L12" s="4">
        <v>0</v>
      </c>
      <c r="M12" s="49">
        <v>0</v>
      </c>
      <c r="N12" s="4">
        <v>0</v>
      </c>
      <c r="O12" s="49">
        <v>0</v>
      </c>
      <c r="P12" s="4">
        <v>0</v>
      </c>
      <c r="Q12" s="49">
        <v>0</v>
      </c>
      <c r="R12" s="4">
        <v>0</v>
      </c>
      <c r="S12" s="49">
        <v>0</v>
      </c>
      <c r="T12" s="4">
        <v>0</v>
      </c>
      <c r="U12" s="49">
        <v>1</v>
      </c>
      <c r="V12" s="4">
        <v>0</v>
      </c>
      <c r="W12" s="49">
        <v>0</v>
      </c>
      <c r="X12" s="4">
        <v>0</v>
      </c>
      <c r="Y12" s="49">
        <v>0</v>
      </c>
      <c r="Z12" s="4">
        <v>0</v>
      </c>
      <c r="AA12" s="49">
        <v>0</v>
      </c>
    </row>
    <row r="13" spans="1:27" ht="15" x14ac:dyDescent="0.25">
      <c r="A13" s="5">
        <v>0.33333333333333331</v>
      </c>
      <c r="B13" s="4">
        <v>0</v>
      </c>
      <c r="C13" s="49">
        <v>0</v>
      </c>
      <c r="D13" s="4">
        <v>0</v>
      </c>
      <c r="E13" s="49">
        <v>0</v>
      </c>
      <c r="F13" s="4">
        <v>0</v>
      </c>
      <c r="G13" s="49">
        <v>1</v>
      </c>
      <c r="H13" s="4">
        <v>0</v>
      </c>
      <c r="I13" s="49">
        <v>0</v>
      </c>
      <c r="J13" s="4">
        <v>0</v>
      </c>
      <c r="K13" s="49">
        <v>0</v>
      </c>
      <c r="L13" s="4">
        <v>0</v>
      </c>
      <c r="M13" s="49">
        <v>0</v>
      </c>
      <c r="N13" s="4">
        <v>0</v>
      </c>
      <c r="O13" s="49">
        <v>0</v>
      </c>
      <c r="P13" s="4">
        <v>0</v>
      </c>
      <c r="Q13" s="49">
        <v>0</v>
      </c>
      <c r="R13" s="4">
        <v>0</v>
      </c>
      <c r="S13" s="49">
        <v>0</v>
      </c>
      <c r="T13" s="4">
        <v>0</v>
      </c>
      <c r="U13" s="49">
        <v>1</v>
      </c>
      <c r="V13" s="4">
        <v>0</v>
      </c>
      <c r="W13" s="49">
        <v>0</v>
      </c>
      <c r="X13" s="4">
        <v>1</v>
      </c>
      <c r="Y13" s="49">
        <v>0</v>
      </c>
      <c r="Z13" s="4">
        <v>0</v>
      </c>
      <c r="AA13" s="49">
        <v>0</v>
      </c>
    </row>
    <row r="14" spans="1:27" ht="15" x14ac:dyDescent="0.25">
      <c r="A14" s="5">
        <v>0.25</v>
      </c>
      <c r="B14" s="4">
        <v>0</v>
      </c>
      <c r="C14" s="49">
        <v>0</v>
      </c>
      <c r="D14" s="4">
        <v>0</v>
      </c>
      <c r="E14" s="49">
        <v>1</v>
      </c>
      <c r="F14" s="4">
        <v>0</v>
      </c>
      <c r="G14" s="49">
        <v>1</v>
      </c>
      <c r="H14" s="4">
        <v>1</v>
      </c>
      <c r="I14" s="49">
        <v>0</v>
      </c>
      <c r="J14" s="4">
        <v>1</v>
      </c>
      <c r="K14" s="49">
        <v>0</v>
      </c>
      <c r="L14" s="4">
        <v>0</v>
      </c>
      <c r="M14" s="49">
        <v>1</v>
      </c>
      <c r="N14" s="4">
        <v>0</v>
      </c>
      <c r="O14" s="49">
        <v>0</v>
      </c>
      <c r="P14" s="4">
        <v>0</v>
      </c>
      <c r="Q14" s="49">
        <v>0</v>
      </c>
      <c r="R14" s="4">
        <v>0</v>
      </c>
      <c r="S14" s="49">
        <v>0</v>
      </c>
      <c r="T14" s="4">
        <v>0</v>
      </c>
      <c r="U14" s="49">
        <v>0</v>
      </c>
      <c r="V14" s="4">
        <v>0</v>
      </c>
      <c r="W14" s="49">
        <v>0</v>
      </c>
      <c r="X14" s="4">
        <v>1</v>
      </c>
      <c r="Y14" s="49">
        <v>0</v>
      </c>
      <c r="Z14" s="4">
        <v>0</v>
      </c>
      <c r="AA14" s="49">
        <v>0</v>
      </c>
    </row>
    <row r="15" spans="1:27" ht="15" x14ac:dyDescent="0.25">
      <c r="A15" s="5">
        <v>0.2</v>
      </c>
      <c r="B15" s="4">
        <v>0</v>
      </c>
      <c r="C15" s="49">
        <v>0</v>
      </c>
      <c r="D15" s="4">
        <v>0</v>
      </c>
      <c r="E15" s="49">
        <v>1</v>
      </c>
      <c r="F15" s="4">
        <v>0</v>
      </c>
      <c r="G15" s="49">
        <v>2</v>
      </c>
      <c r="H15" s="4">
        <v>3</v>
      </c>
      <c r="I15" s="49">
        <v>0</v>
      </c>
      <c r="J15" s="4">
        <v>1</v>
      </c>
      <c r="K15" s="49">
        <v>1</v>
      </c>
      <c r="L15" s="4">
        <v>1</v>
      </c>
      <c r="M15" s="49">
        <v>2</v>
      </c>
      <c r="N15" s="4">
        <v>2</v>
      </c>
      <c r="O15" s="49">
        <v>0</v>
      </c>
      <c r="P15" s="4">
        <v>0</v>
      </c>
      <c r="Q15" s="49">
        <v>1</v>
      </c>
      <c r="R15" s="4">
        <v>0</v>
      </c>
      <c r="S15" s="49">
        <v>0</v>
      </c>
      <c r="T15" s="4">
        <v>0</v>
      </c>
      <c r="U15" s="49">
        <v>0</v>
      </c>
      <c r="V15" s="4">
        <v>0</v>
      </c>
      <c r="W15" s="49">
        <v>1</v>
      </c>
      <c r="X15" s="4">
        <v>2</v>
      </c>
      <c r="Y15" s="49">
        <v>0</v>
      </c>
      <c r="Z15" s="4">
        <v>1</v>
      </c>
      <c r="AA15" s="49">
        <v>1</v>
      </c>
    </row>
    <row r="16" spans="1:27" ht="15" x14ac:dyDescent="0.25">
      <c r="A16" s="5">
        <v>0.16666666666666666</v>
      </c>
      <c r="B16" s="4">
        <v>1</v>
      </c>
      <c r="C16" s="49">
        <v>1</v>
      </c>
      <c r="D16" s="4">
        <v>0</v>
      </c>
      <c r="E16" s="49">
        <v>1</v>
      </c>
      <c r="F16" s="4">
        <v>0</v>
      </c>
      <c r="G16" s="49">
        <v>0</v>
      </c>
      <c r="H16" s="4">
        <v>0</v>
      </c>
      <c r="I16" s="49">
        <v>0</v>
      </c>
      <c r="J16" s="4">
        <v>0</v>
      </c>
      <c r="K16" s="49">
        <v>0</v>
      </c>
      <c r="L16" s="4">
        <v>0</v>
      </c>
      <c r="M16" s="49">
        <v>0</v>
      </c>
      <c r="N16" s="4">
        <v>0</v>
      </c>
      <c r="O16" s="49">
        <v>2</v>
      </c>
      <c r="P16" s="4">
        <v>0</v>
      </c>
      <c r="Q16" s="49">
        <v>2</v>
      </c>
      <c r="R16" s="4">
        <v>0</v>
      </c>
      <c r="S16" s="49">
        <v>2</v>
      </c>
      <c r="T16" s="4">
        <v>2</v>
      </c>
      <c r="U16" s="49">
        <v>0</v>
      </c>
      <c r="V16" s="4">
        <v>1</v>
      </c>
      <c r="W16" s="49">
        <v>2</v>
      </c>
      <c r="X16" s="4">
        <v>0</v>
      </c>
      <c r="Y16" s="49">
        <v>0</v>
      </c>
      <c r="Z16" s="4">
        <v>2</v>
      </c>
      <c r="AA16" s="49">
        <v>0</v>
      </c>
    </row>
    <row r="17" spans="1:32" ht="15" x14ac:dyDescent="0.25">
      <c r="A17" s="5">
        <v>0.14285714285714285</v>
      </c>
      <c r="B17" s="4">
        <v>0</v>
      </c>
      <c r="C17" s="49">
        <v>3</v>
      </c>
      <c r="D17" s="4">
        <v>1</v>
      </c>
      <c r="E17" s="49">
        <v>2</v>
      </c>
      <c r="F17" s="4">
        <v>0</v>
      </c>
      <c r="G17" s="49">
        <v>2</v>
      </c>
      <c r="H17" s="4">
        <v>0</v>
      </c>
      <c r="I17" s="49">
        <v>0</v>
      </c>
      <c r="J17" s="4">
        <v>1</v>
      </c>
      <c r="K17" s="49">
        <v>2</v>
      </c>
      <c r="L17" s="4">
        <v>0</v>
      </c>
      <c r="M17" s="49">
        <v>0</v>
      </c>
      <c r="N17" s="4">
        <v>0</v>
      </c>
      <c r="O17" s="49">
        <v>1</v>
      </c>
      <c r="P17" s="4">
        <v>0</v>
      </c>
      <c r="Q17" s="49">
        <v>2</v>
      </c>
      <c r="R17" s="4">
        <v>0</v>
      </c>
      <c r="S17" s="49">
        <v>2</v>
      </c>
      <c r="T17" s="4">
        <v>3</v>
      </c>
      <c r="U17" s="49">
        <v>1</v>
      </c>
      <c r="V17" s="4">
        <v>0</v>
      </c>
      <c r="W17" s="49">
        <v>2</v>
      </c>
      <c r="X17" s="4">
        <v>0</v>
      </c>
      <c r="Y17" s="49">
        <v>0</v>
      </c>
      <c r="Z17" s="4">
        <v>5</v>
      </c>
      <c r="AA17" s="49">
        <v>0</v>
      </c>
    </row>
    <row r="18" spans="1:32" ht="15" x14ac:dyDescent="0.25">
      <c r="A18" s="5">
        <v>0.125</v>
      </c>
      <c r="B18" s="4">
        <v>0</v>
      </c>
      <c r="C18" s="49">
        <v>0</v>
      </c>
      <c r="D18" s="4">
        <v>0</v>
      </c>
      <c r="E18" s="49">
        <v>1</v>
      </c>
      <c r="F18" s="4">
        <v>0</v>
      </c>
      <c r="G18" s="49">
        <v>1</v>
      </c>
      <c r="H18" s="4">
        <v>0</v>
      </c>
      <c r="I18" s="49">
        <v>1</v>
      </c>
      <c r="J18" s="4">
        <v>0</v>
      </c>
      <c r="K18" s="49">
        <v>1</v>
      </c>
      <c r="L18" s="4">
        <v>0</v>
      </c>
      <c r="M18" s="49">
        <v>2</v>
      </c>
      <c r="N18" s="4">
        <v>0</v>
      </c>
      <c r="O18" s="49">
        <v>0</v>
      </c>
      <c r="P18" s="4">
        <v>2</v>
      </c>
      <c r="Q18" s="49">
        <v>0</v>
      </c>
      <c r="R18" s="4">
        <v>1</v>
      </c>
      <c r="S18" s="49">
        <v>1</v>
      </c>
      <c r="T18" s="4">
        <v>1</v>
      </c>
      <c r="U18" s="49">
        <v>0</v>
      </c>
      <c r="V18" s="4">
        <v>0</v>
      </c>
      <c r="W18" s="49">
        <v>0</v>
      </c>
      <c r="X18" s="4">
        <v>0</v>
      </c>
      <c r="Y18" s="49">
        <v>0</v>
      </c>
      <c r="Z18" s="4">
        <v>0</v>
      </c>
      <c r="AA18" s="49">
        <v>0</v>
      </c>
    </row>
    <row r="19" spans="1:32" ht="15.75" thickBot="1" x14ac:dyDescent="0.3">
      <c r="A19" s="6">
        <v>0.1111111111111111</v>
      </c>
      <c r="B19" s="7">
        <v>0</v>
      </c>
      <c r="C19" s="50">
        <v>0</v>
      </c>
      <c r="D19" s="7">
        <v>0</v>
      </c>
      <c r="E19" s="50">
        <v>0</v>
      </c>
      <c r="F19" s="7">
        <v>0</v>
      </c>
      <c r="G19" s="50">
        <v>0</v>
      </c>
      <c r="H19" s="7">
        <v>0</v>
      </c>
      <c r="I19" s="50">
        <v>0</v>
      </c>
      <c r="J19" s="7">
        <v>0</v>
      </c>
      <c r="K19" s="50">
        <v>0</v>
      </c>
      <c r="L19" s="7">
        <v>0</v>
      </c>
      <c r="M19" s="50">
        <v>1</v>
      </c>
      <c r="N19" s="7">
        <v>0</v>
      </c>
      <c r="O19" s="50">
        <v>0</v>
      </c>
      <c r="P19" s="7">
        <v>0</v>
      </c>
      <c r="Q19" s="50">
        <v>0</v>
      </c>
      <c r="R19" s="7">
        <v>0</v>
      </c>
      <c r="S19" s="50">
        <v>0</v>
      </c>
      <c r="T19" s="7">
        <v>0</v>
      </c>
      <c r="U19" s="50">
        <v>0</v>
      </c>
      <c r="V19" s="7">
        <v>0</v>
      </c>
      <c r="W19" s="50">
        <v>0</v>
      </c>
      <c r="X19" s="7">
        <v>0</v>
      </c>
      <c r="Y19" s="50">
        <v>0</v>
      </c>
      <c r="Z19" s="7">
        <v>0</v>
      </c>
      <c r="AA19" s="50">
        <v>0</v>
      </c>
    </row>
    <row r="20" spans="1:32" x14ac:dyDescent="0.35">
      <c r="A20" s="8" t="s">
        <v>58</v>
      </c>
      <c r="B20" s="9">
        <f>SUM(B3:B19)</f>
        <v>8</v>
      </c>
      <c r="C20" s="51">
        <f t="shared" ref="C20:AA20" si="0">SUM(C3:C19)</f>
        <v>8</v>
      </c>
      <c r="D20" s="9">
        <f t="shared" si="0"/>
        <v>8</v>
      </c>
      <c r="E20" s="51">
        <f t="shared" si="0"/>
        <v>8</v>
      </c>
      <c r="F20" s="9">
        <f t="shared" si="0"/>
        <v>8</v>
      </c>
      <c r="G20" s="51">
        <f t="shared" si="0"/>
        <v>8</v>
      </c>
      <c r="H20" s="9">
        <f t="shared" si="0"/>
        <v>8</v>
      </c>
      <c r="I20" s="51">
        <f t="shared" si="0"/>
        <v>8</v>
      </c>
      <c r="J20" s="9">
        <f t="shared" si="0"/>
        <v>8</v>
      </c>
      <c r="K20" s="51">
        <f t="shared" si="0"/>
        <v>8</v>
      </c>
      <c r="L20" s="9">
        <f t="shared" si="0"/>
        <v>8</v>
      </c>
      <c r="M20" s="51">
        <f t="shared" si="0"/>
        <v>8</v>
      </c>
      <c r="N20" s="9">
        <f t="shared" si="0"/>
        <v>21</v>
      </c>
      <c r="O20" s="51">
        <f t="shared" si="0"/>
        <v>21</v>
      </c>
      <c r="P20" s="9">
        <f t="shared" si="0"/>
        <v>21</v>
      </c>
      <c r="Q20" s="51">
        <f t="shared" si="0"/>
        <v>21</v>
      </c>
      <c r="R20" s="9">
        <f t="shared" si="0"/>
        <v>21</v>
      </c>
      <c r="S20" s="51">
        <f t="shared" si="0"/>
        <v>21</v>
      </c>
      <c r="T20" s="9">
        <f t="shared" si="0"/>
        <v>21</v>
      </c>
      <c r="U20" s="51">
        <f t="shared" si="0"/>
        <v>21</v>
      </c>
      <c r="V20" s="9">
        <f t="shared" si="0"/>
        <v>12</v>
      </c>
      <c r="W20" s="51">
        <f t="shared" si="0"/>
        <v>12</v>
      </c>
      <c r="X20" s="9">
        <f t="shared" si="0"/>
        <v>12</v>
      </c>
      <c r="Y20" s="51">
        <f t="shared" si="0"/>
        <v>12</v>
      </c>
      <c r="Z20" s="9">
        <f t="shared" si="0"/>
        <v>12</v>
      </c>
      <c r="AA20" s="51">
        <f t="shared" si="0"/>
        <v>12</v>
      </c>
      <c r="AB20" s="179" t="s">
        <v>347</v>
      </c>
      <c r="AC20" s="180"/>
    </row>
    <row r="21" spans="1:32" x14ac:dyDescent="0.35">
      <c r="A21" s="10" t="s">
        <v>417</v>
      </c>
      <c r="B21" s="20">
        <v>2.0744920030356466</v>
      </c>
      <c r="C21" s="52">
        <v>0.48204572422389641</v>
      </c>
      <c r="D21" s="20">
        <v>3.0089928733175388</v>
      </c>
      <c r="E21" s="52">
        <v>0.33233711148589684</v>
      </c>
      <c r="F21" s="20">
        <v>4.3032929816624206</v>
      </c>
      <c r="G21" s="52">
        <v>0.23238018054110882</v>
      </c>
      <c r="H21" s="20">
        <v>0.5963689143540134</v>
      </c>
      <c r="I21" s="52">
        <v>1.6768144280008284</v>
      </c>
      <c r="J21" s="20">
        <v>1.3908042350624581</v>
      </c>
      <c r="K21" s="52">
        <v>0.71900845193722907</v>
      </c>
      <c r="L21" s="20">
        <v>3.2187078550942467</v>
      </c>
      <c r="M21" s="52">
        <v>0.31068367960680265</v>
      </c>
      <c r="N21" s="20">
        <v>1.116307480129892</v>
      </c>
      <c r="O21" s="52">
        <v>0.89581053410449374</v>
      </c>
      <c r="P21" s="20">
        <v>1.2643604030497202</v>
      </c>
      <c r="Q21" s="52">
        <v>0.79091372806988769</v>
      </c>
      <c r="R21" s="20">
        <v>1.4275626294055355</v>
      </c>
      <c r="S21" s="52">
        <v>0.70049466090074042</v>
      </c>
      <c r="T21" s="20">
        <v>0.69096391266070933</v>
      </c>
      <c r="U21" s="52">
        <v>1.4472535854286208</v>
      </c>
      <c r="V21" s="20">
        <v>1.8362977886763567</v>
      </c>
      <c r="W21" s="52">
        <v>0.5445739825896222</v>
      </c>
      <c r="X21" s="20">
        <v>0.62168906531669499</v>
      </c>
      <c r="Y21" s="52">
        <v>1.6085211334553382</v>
      </c>
      <c r="Z21" s="20">
        <v>0.32974934503152215</v>
      </c>
      <c r="AA21" s="52">
        <v>3.0326064784280491</v>
      </c>
    </row>
    <row r="22" spans="1:32" x14ac:dyDescent="0.35">
      <c r="A22" s="59" t="s">
        <v>419</v>
      </c>
      <c r="B22" s="64">
        <v>0.69895232141286256</v>
      </c>
      <c r="C22" s="52">
        <v>0.69895232141286256</v>
      </c>
      <c r="D22" s="20">
        <v>0.97594925548673472</v>
      </c>
      <c r="E22" s="52">
        <v>0.97594925548673472</v>
      </c>
      <c r="F22" s="20">
        <v>0.99759492554867346</v>
      </c>
      <c r="G22" s="52">
        <v>0.99759492554867346</v>
      </c>
      <c r="H22" s="20">
        <v>0.69895232141286256</v>
      </c>
      <c r="I22" s="52">
        <v>0.69895232141286256</v>
      </c>
      <c r="J22" s="20">
        <v>0.69895232141286256</v>
      </c>
      <c r="K22" s="52">
        <v>0.69895232141286256</v>
      </c>
      <c r="L22" s="20">
        <v>0.97594925548673472</v>
      </c>
      <c r="M22" s="52">
        <v>0.97594925548673472</v>
      </c>
      <c r="N22" s="20">
        <v>1.7732286503642815E-3</v>
      </c>
      <c r="O22" s="52">
        <v>1.7732286503642815E-3</v>
      </c>
      <c r="P22" s="20">
        <v>2.5573695469256759E-2</v>
      </c>
      <c r="Q22" s="52">
        <v>2.5573695469256759E-2</v>
      </c>
      <c r="R22" s="20">
        <v>2.5573695469256759E-2</v>
      </c>
      <c r="S22" s="52">
        <v>2.5573695469256759E-2</v>
      </c>
      <c r="T22" s="20">
        <v>6.7963559023920178E-2</v>
      </c>
      <c r="U22" s="52">
        <v>6.7963559023920178E-2</v>
      </c>
      <c r="V22" s="20">
        <v>0.46868989662683669</v>
      </c>
      <c r="W22" s="52">
        <v>0.46868989662683669</v>
      </c>
      <c r="X22" s="20">
        <v>0.25563789140597698</v>
      </c>
      <c r="Y22" s="52">
        <v>0.25563789140597698</v>
      </c>
      <c r="Z22" s="20">
        <v>0.95149087416436784</v>
      </c>
      <c r="AA22" s="52">
        <v>0.95149087416436784</v>
      </c>
      <c r="AC22" s="58">
        <f>AVERAGEIF(B22:AA22,"&lt;65534")</f>
        <v>0.52638871089005446</v>
      </c>
      <c r="AE22" s="62" t="s">
        <v>425</v>
      </c>
      <c r="AF22" s="62"/>
    </row>
    <row r="23" spans="1:32" x14ac:dyDescent="0.35">
      <c r="A23" s="59" t="s">
        <v>420</v>
      </c>
      <c r="B23" s="64">
        <v>0.42927982549959764</v>
      </c>
      <c r="C23" s="52">
        <v>0.42927982549959764</v>
      </c>
      <c r="D23" s="20">
        <v>0.890719429617851</v>
      </c>
      <c r="E23" s="52">
        <v>0.890719429617851</v>
      </c>
      <c r="F23" s="20">
        <v>0.97594925548673472</v>
      </c>
      <c r="G23" s="52">
        <v>0.97594925548673472</v>
      </c>
      <c r="H23" s="20">
        <v>0.42927982549959764</v>
      </c>
      <c r="I23" s="52">
        <v>0.42927982549959764</v>
      </c>
      <c r="J23" s="20">
        <v>0.42927982549959764</v>
      </c>
      <c r="K23" s="52">
        <v>0.42927982549959764</v>
      </c>
      <c r="L23" s="20">
        <v>0.890719429617851</v>
      </c>
      <c r="M23" s="52">
        <v>0.890719429617851</v>
      </c>
      <c r="N23" s="20">
        <v>2.939178674220555E-4</v>
      </c>
      <c r="O23" s="52">
        <v>2.939178674220555E-4</v>
      </c>
      <c r="P23" s="20">
        <v>7.6904717821331126E-3</v>
      </c>
      <c r="Q23" s="52">
        <v>7.6904717821331126E-3</v>
      </c>
      <c r="R23" s="20">
        <v>7.6904717821331126E-3</v>
      </c>
      <c r="S23" s="52">
        <v>7.6904717821331126E-3</v>
      </c>
      <c r="T23" s="20">
        <v>2.5573695469256807E-2</v>
      </c>
      <c r="U23" s="52">
        <v>2.5573695469256807E-2</v>
      </c>
      <c r="V23" s="20">
        <v>0.25563789140597692</v>
      </c>
      <c r="W23" s="52">
        <v>0.25563789140597692</v>
      </c>
      <c r="X23" s="20">
        <v>0.10583570023505995</v>
      </c>
      <c r="Y23" s="52">
        <v>0.10583570023505995</v>
      </c>
      <c r="Z23" s="20">
        <v>0.85797010369704951</v>
      </c>
      <c r="AA23" s="52">
        <v>0.85797010369704951</v>
      </c>
      <c r="AC23" s="58">
        <f>AVERAGEIF(B23:AA23,"&lt;65535")</f>
        <v>0.40814768026617398</v>
      </c>
    </row>
    <row r="24" spans="1:32" x14ac:dyDescent="0.35">
      <c r="A24" s="60" t="s">
        <v>421</v>
      </c>
      <c r="B24" s="65">
        <v>0.56618383261090366</v>
      </c>
      <c r="C24" s="52">
        <v>0.56618383261090366</v>
      </c>
      <c r="D24" s="20">
        <v>0.94332724539023705</v>
      </c>
      <c r="E24" s="52">
        <v>0.94332724539023705</v>
      </c>
      <c r="F24" s="20">
        <v>0.9890375573508291</v>
      </c>
      <c r="G24" s="52">
        <v>0.9890375573508291</v>
      </c>
      <c r="H24" s="20">
        <v>0.56618383261090366</v>
      </c>
      <c r="I24" s="52">
        <v>0.56618383261090366</v>
      </c>
      <c r="J24" s="20">
        <v>0.56618383261090366</v>
      </c>
      <c r="K24" s="52">
        <v>0.56618383261090366</v>
      </c>
      <c r="L24" s="20">
        <v>0.94332724539023705</v>
      </c>
      <c r="M24" s="52">
        <v>0.94332724539023705</v>
      </c>
      <c r="N24" s="20">
        <v>1.3109108845453243E-3</v>
      </c>
      <c r="O24" s="52">
        <v>1.3109108845453243E-3</v>
      </c>
      <c r="P24" s="20">
        <v>1.6399723613601203E-2</v>
      </c>
      <c r="Q24" s="52">
        <v>1.6399723613601203E-2</v>
      </c>
      <c r="R24" s="20">
        <v>1.6399723613601203E-2</v>
      </c>
      <c r="S24" s="52">
        <v>1.6399723613601203E-2</v>
      </c>
      <c r="T24" s="20">
        <v>4.4816497133944477E-2</v>
      </c>
      <c r="U24" s="52">
        <v>4.4816497133944477E-2</v>
      </c>
      <c r="V24" s="20">
        <v>0.35411749592580283</v>
      </c>
      <c r="W24" s="52">
        <v>0.35411749592580283</v>
      </c>
      <c r="X24" s="20">
        <v>0.17040162344304238</v>
      </c>
      <c r="Y24" s="52">
        <v>0.17040162344304238</v>
      </c>
      <c r="Z24" s="20">
        <v>0.91321591672203928</v>
      </c>
      <c r="AA24" s="52">
        <v>0.91321591672203928</v>
      </c>
      <c r="AC24" s="58">
        <f t="shared" ref="AC24:AC27" si="1">AVERAGE(B24:AA24)</f>
        <v>0.46853118748466061</v>
      </c>
    </row>
    <row r="25" spans="1:32" x14ac:dyDescent="0.35">
      <c r="A25" s="60" t="s">
        <v>422</v>
      </c>
      <c r="B25" s="65">
        <v>0.43381616738909634</v>
      </c>
      <c r="C25" s="52">
        <v>0.43381616738909634</v>
      </c>
      <c r="D25" s="20">
        <v>0.89435022633314476</v>
      </c>
      <c r="E25" s="52">
        <v>0.89435022633314476</v>
      </c>
      <c r="F25" s="20">
        <v>0.97490454406048499</v>
      </c>
      <c r="G25" s="52">
        <v>0.97490454406048499</v>
      </c>
      <c r="H25" s="20">
        <v>0.43381616738909634</v>
      </c>
      <c r="I25" s="52">
        <v>0.43381616738909634</v>
      </c>
      <c r="J25" s="20">
        <v>0.43381616738909634</v>
      </c>
      <c r="K25" s="52">
        <v>0.43381616738909634</v>
      </c>
      <c r="L25" s="20">
        <v>0.89435022633314476</v>
      </c>
      <c r="M25" s="52">
        <v>0.89435022633314476</v>
      </c>
      <c r="N25" s="20">
        <v>1.9336539295278232E-4</v>
      </c>
      <c r="O25" s="52">
        <v>1.9336539295278232E-4</v>
      </c>
      <c r="P25" s="20">
        <v>3.7410189136216077E-3</v>
      </c>
      <c r="Q25" s="52">
        <v>3.7410189136216077E-3</v>
      </c>
      <c r="R25" s="20">
        <v>3.7410189136216077E-3</v>
      </c>
      <c r="S25" s="52">
        <v>3.7410189136216077E-3</v>
      </c>
      <c r="T25" s="20">
        <v>1.2630150816006214E-2</v>
      </c>
      <c r="U25" s="52">
        <v>1.2630150816006214E-2</v>
      </c>
      <c r="V25" s="20">
        <v>0.21696747457845511</v>
      </c>
      <c r="W25" s="52">
        <v>0.21696747457845511</v>
      </c>
      <c r="X25" s="20">
        <v>8.6784083277960777E-2</v>
      </c>
      <c r="Y25" s="52">
        <v>8.6784083277960777E-2</v>
      </c>
      <c r="Z25" s="20">
        <v>0.82959837655695767</v>
      </c>
      <c r="AA25" s="52">
        <v>0.82959837655695767</v>
      </c>
      <c r="AC25" s="58">
        <f t="shared" si="1"/>
        <v>0.40143915287258769</v>
      </c>
    </row>
    <row r="26" spans="1:32" x14ac:dyDescent="0.35">
      <c r="A26" s="61" t="s">
        <v>423</v>
      </c>
      <c r="B26" s="66">
        <f>(B22-B24)*100/B22</f>
        <v>18.995357012847546</v>
      </c>
      <c r="C26" s="66">
        <f t="shared" ref="C26:AA27" si="2">(C22-C24)*100/C22</f>
        <v>18.995357012847546</v>
      </c>
      <c r="D26" s="66">
        <f t="shared" si="2"/>
        <v>3.3425928564521645</v>
      </c>
      <c r="E26" s="66">
        <f t="shared" si="2"/>
        <v>3.3425928564521645</v>
      </c>
      <c r="F26" s="66">
        <f t="shared" si="2"/>
        <v>0.85779989238997389</v>
      </c>
      <c r="G26" s="66">
        <f t="shared" si="2"/>
        <v>0.85779989238997389</v>
      </c>
      <c r="H26" s="66">
        <f t="shared" si="2"/>
        <v>18.995357012847546</v>
      </c>
      <c r="I26" s="66">
        <f t="shared" si="2"/>
        <v>18.995357012847546</v>
      </c>
      <c r="J26" s="66">
        <f t="shared" si="2"/>
        <v>18.995357012847546</v>
      </c>
      <c r="K26" s="66">
        <f t="shared" si="2"/>
        <v>18.995357012847546</v>
      </c>
      <c r="L26" s="66">
        <f t="shared" si="2"/>
        <v>3.3425928564521645</v>
      </c>
      <c r="M26" s="66">
        <f t="shared" si="2"/>
        <v>3.3425928564521645</v>
      </c>
      <c r="N26" s="66">
        <f>(N22-N24)*100/N22</f>
        <v>26.072089785148766</v>
      </c>
      <c r="O26" s="66">
        <f t="shared" si="2"/>
        <v>26.072089785148766</v>
      </c>
      <c r="P26" s="66">
        <f t="shared" si="2"/>
        <v>35.872687491270014</v>
      </c>
      <c r="Q26" s="66">
        <f t="shared" si="2"/>
        <v>35.872687491270014</v>
      </c>
      <c r="R26" s="66">
        <f t="shared" si="2"/>
        <v>35.872687491270014</v>
      </c>
      <c r="S26" s="66">
        <f t="shared" si="2"/>
        <v>35.872687491270014</v>
      </c>
      <c r="T26" s="66">
        <f t="shared" si="2"/>
        <v>34.058048493059282</v>
      </c>
      <c r="U26" s="66">
        <f t="shared" si="2"/>
        <v>34.058048493059282</v>
      </c>
      <c r="V26" s="66">
        <f t="shared" si="2"/>
        <v>24.445246532005907</v>
      </c>
      <c r="W26" s="66">
        <f t="shared" si="2"/>
        <v>24.445246532005907</v>
      </c>
      <c r="X26" s="66">
        <f t="shared" si="2"/>
        <v>33.342579808550916</v>
      </c>
      <c r="Y26" s="66">
        <f t="shared" si="2"/>
        <v>33.342579808550916</v>
      </c>
      <c r="Z26" s="66">
        <f t="shared" si="2"/>
        <v>4.0226300095566287</v>
      </c>
      <c r="AA26" s="66">
        <f t="shared" si="2"/>
        <v>4.0226300095566287</v>
      </c>
      <c r="AC26" s="58">
        <f t="shared" si="1"/>
        <v>19.862694327284505</v>
      </c>
    </row>
    <row r="27" spans="1:32" x14ac:dyDescent="0.35">
      <c r="A27" s="61" t="s">
        <v>424</v>
      </c>
      <c r="B27" s="66">
        <f>(B23-B25)*100/B23</f>
        <v>-1.0567330724706856</v>
      </c>
      <c r="C27" s="66">
        <f t="shared" si="2"/>
        <v>-1.0567330724706856</v>
      </c>
      <c r="D27" s="66">
        <f t="shared" si="2"/>
        <v>-0.40762518415608112</v>
      </c>
      <c r="E27" s="66">
        <f t="shared" si="2"/>
        <v>-0.40762518415608112</v>
      </c>
      <c r="F27" s="66">
        <f t="shared" si="2"/>
        <v>0.10704567070228516</v>
      </c>
      <c r="G27" s="66">
        <f t="shared" si="2"/>
        <v>0.10704567070228516</v>
      </c>
      <c r="H27" s="66">
        <f t="shared" si="2"/>
        <v>-1.0567330724706856</v>
      </c>
      <c r="I27" s="66">
        <f t="shared" si="2"/>
        <v>-1.0567330724706856</v>
      </c>
      <c r="J27" s="66">
        <f t="shared" si="2"/>
        <v>-1.0567330724706856</v>
      </c>
      <c r="K27" s="66">
        <f t="shared" si="2"/>
        <v>-1.0567330724706856</v>
      </c>
      <c r="L27" s="66">
        <f t="shared" si="2"/>
        <v>-0.40762518415608112</v>
      </c>
      <c r="M27" s="66">
        <f t="shared" si="2"/>
        <v>-0.40762518415608112</v>
      </c>
      <c r="N27" s="66">
        <f t="shared" si="2"/>
        <v>34.2110792212858</v>
      </c>
      <c r="O27" s="66">
        <f t="shared" si="2"/>
        <v>34.2110792212858</v>
      </c>
      <c r="P27" s="66">
        <f t="shared" si="2"/>
        <v>51.355144136762462</v>
      </c>
      <c r="Q27" s="66">
        <f t="shared" si="2"/>
        <v>51.355144136762462</v>
      </c>
      <c r="R27" s="66">
        <f t="shared" si="2"/>
        <v>51.355144136762462</v>
      </c>
      <c r="S27" s="66">
        <f t="shared" si="2"/>
        <v>51.355144136762462</v>
      </c>
      <c r="T27" s="66">
        <f t="shared" si="2"/>
        <v>50.612726927989591</v>
      </c>
      <c r="U27" s="66">
        <f t="shared" si="2"/>
        <v>50.612726927989591</v>
      </c>
      <c r="V27" s="66">
        <f t="shared" si="2"/>
        <v>15.12702855388115</v>
      </c>
      <c r="W27" s="66">
        <f t="shared" si="2"/>
        <v>15.12702855388115</v>
      </c>
      <c r="X27" s="66">
        <f t="shared" si="2"/>
        <v>18.001125248650254</v>
      </c>
      <c r="Y27" s="66">
        <f t="shared" si="2"/>
        <v>18.001125248650254</v>
      </c>
      <c r="Z27" s="66">
        <f t="shared" si="2"/>
        <v>3.306843329136552</v>
      </c>
      <c r="AA27" s="66">
        <f t="shared" si="2"/>
        <v>3.306843329136552</v>
      </c>
      <c r="AC27" s="58">
        <f t="shared" si="1"/>
        <v>16.930052895342023</v>
      </c>
    </row>
    <row r="28" spans="1:32" x14ac:dyDescent="0.35">
      <c r="A28" s="43" t="s">
        <v>415</v>
      </c>
      <c r="B28" s="44"/>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7"/>
      <c r="AC28" s="47"/>
      <c r="AD28" s="47"/>
      <c r="AE28" s="47"/>
      <c r="AF28" s="47"/>
    </row>
    <row r="29" spans="1:32" x14ac:dyDescent="0.35">
      <c r="A29" s="45" t="s">
        <v>361</v>
      </c>
      <c r="B29" s="53">
        <f>VLOOKUP($A$29,'Sociodem statistics'!$B$2:$J$5,9,FALSE)</f>
        <v>1</v>
      </c>
      <c r="C29" s="53">
        <f>VLOOKUP($A$29,'Sociodem statistics'!$B$2:$J$5,9,FALSE)</f>
        <v>1</v>
      </c>
      <c r="D29" s="53">
        <f>VLOOKUP($A$29,'Sociodem statistics'!$B$2:$J$5,9,FALSE)</f>
        <v>1</v>
      </c>
      <c r="E29" s="53">
        <f>VLOOKUP($A$29,'Sociodem statistics'!$B$2:$J$5,9,FALSE)</f>
        <v>1</v>
      </c>
      <c r="F29" s="53">
        <f>VLOOKUP($A$29,'Sociodem statistics'!$B$2:$J$5,9,FALSE)</f>
        <v>1</v>
      </c>
      <c r="G29" s="53">
        <f>VLOOKUP($A$29,'Sociodem statistics'!$B$2:$J$5,9,FALSE)</f>
        <v>1</v>
      </c>
      <c r="H29" s="53">
        <f>VLOOKUP($A$29,'Sociodem statistics'!$B$2:$J$5,9,FALSE)</f>
        <v>1</v>
      </c>
      <c r="I29" s="53">
        <f>VLOOKUP($A$29,'Sociodem statistics'!$B$2:$J$5,9,FALSE)</f>
        <v>1</v>
      </c>
      <c r="J29" s="53">
        <f>VLOOKUP($A$29,'Sociodem statistics'!$B$2:$J$5,9,FALSE)</f>
        <v>1</v>
      </c>
      <c r="K29" s="53">
        <f>VLOOKUP($A$29,'Sociodem statistics'!$B$2:$J$5,9,FALSE)</f>
        <v>1</v>
      </c>
      <c r="L29" s="53">
        <f>VLOOKUP($A$29,'Sociodem statistics'!$B$2:$J$5,9,FALSE)</f>
        <v>1</v>
      </c>
      <c r="M29" s="53">
        <f>VLOOKUP($A$29,'Sociodem statistics'!$B$2:$J$5,9,FALSE)</f>
        <v>1</v>
      </c>
      <c r="N29" s="53">
        <f>VLOOKUP($A$29,'Sociodem statistics'!$B$2:$J$5,9,FALSE)</f>
        <v>1</v>
      </c>
      <c r="O29" s="53">
        <f>VLOOKUP($A$29,'Sociodem statistics'!$B$2:$J$5,9,FALSE)</f>
        <v>1</v>
      </c>
      <c r="P29" s="53">
        <f>VLOOKUP($A$29,'Sociodem statistics'!$B$2:$J$5,9,FALSE)</f>
        <v>1</v>
      </c>
      <c r="Q29" s="53">
        <f>VLOOKUP($A$29,'Sociodem statistics'!$B$2:$J$5,9,FALSE)</f>
        <v>1</v>
      </c>
      <c r="R29" s="53">
        <f>VLOOKUP($A$29,'Sociodem statistics'!$B$2:$J$5,9,FALSE)</f>
        <v>1</v>
      </c>
      <c r="S29" s="53">
        <f>VLOOKUP($A$29,'Sociodem statistics'!$B$2:$J$5,9,FALSE)</f>
        <v>1</v>
      </c>
      <c r="T29" s="53">
        <f>VLOOKUP($A$29,'Sociodem statistics'!$B$2:$J$5,9,FALSE)</f>
        <v>1</v>
      </c>
      <c r="U29" s="53">
        <f>VLOOKUP($A$29,'Sociodem statistics'!$B$2:$J$5,9,FALSE)</f>
        <v>1</v>
      </c>
      <c r="V29" s="53">
        <f>VLOOKUP($A$29,'Sociodem statistics'!$B$2:$J$5,9,FALSE)</f>
        <v>1</v>
      </c>
      <c r="W29" s="53">
        <f>VLOOKUP($A$29,'Sociodem statistics'!$B$2:$J$5,9,FALSE)</f>
        <v>1</v>
      </c>
      <c r="X29" s="53">
        <f>VLOOKUP($A$29,'Sociodem statistics'!$B$2:$J$5,9,FALSE)</f>
        <v>1</v>
      </c>
      <c r="Y29" s="53">
        <f>VLOOKUP($A$29,'Sociodem statistics'!$B$2:$J$5,9,FALSE)</f>
        <v>1</v>
      </c>
      <c r="Z29" s="53">
        <f>VLOOKUP($A$29,'Sociodem statistics'!$B$2:$J$5,9,FALSE)</f>
        <v>1</v>
      </c>
      <c r="AA29" s="53">
        <f>VLOOKUP($A$29,'Sociodem statistics'!$B$2:$J$5,9,FALSE)</f>
        <v>1</v>
      </c>
      <c r="AB29" s="47"/>
      <c r="AC29" s="47"/>
      <c r="AD29" s="47"/>
      <c r="AE29" s="47"/>
      <c r="AF29" s="47"/>
    </row>
    <row r="30" spans="1:32" x14ac:dyDescent="0.35">
      <c r="A30" s="45" t="s">
        <v>364</v>
      </c>
      <c r="B30" s="53">
        <f>VLOOKUP($A$30,'Sociodem statistics'!$B$6:$J$8,9,FALSE)</f>
        <v>0.51</v>
      </c>
      <c r="C30" s="53">
        <f>VLOOKUP($A$30,'Sociodem statistics'!$B$6:$J$8,9,FALSE)</f>
        <v>0.51</v>
      </c>
      <c r="D30" s="53">
        <f>VLOOKUP($A$30,'Sociodem statistics'!$B$6:$J$8,9,FALSE)</f>
        <v>0.51</v>
      </c>
      <c r="E30" s="53">
        <f>VLOOKUP($A$30,'Sociodem statistics'!$B$6:$J$8,9,FALSE)</f>
        <v>0.51</v>
      </c>
      <c r="F30" s="53">
        <f>VLOOKUP($A$30,'Sociodem statistics'!$B$6:$J$8,9,FALSE)</f>
        <v>0.51</v>
      </c>
      <c r="G30" s="53">
        <f>VLOOKUP($A$30,'Sociodem statistics'!$B$6:$J$8,9,FALSE)</f>
        <v>0.51</v>
      </c>
      <c r="H30" s="53">
        <f>VLOOKUP($A$30,'Sociodem statistics'!$B$6:$J$8,9,FALSE)</f>
        <v>0.51</v>
      </c>
      <c r="I30" s="53">
        <f>VLOOKUP($A$30,'Sociodem statistics'!$B$6:$J$8,9,FALSE)</f>
        <v>0.51</v>
      </c>
      <c r="J30" s="53">
        <f>VLOOKUP($A$30,'Sociodem statistics'!$B$6:$J$8,9,FALSE)</f>
        <v>0.51</v>
      </c>
      <c r="K30" s="53">
        <f>VLOOKUP($A$30,'Sociodem statistics'!$B$6:$J$8,9,FALSE)</f>
        <v>0.51</v>
      </c>
      <c r="L30" s="53">
        <f>VLOOKUP($A$30,'Sociodem statistics'!$B$6:$J$8,9,FALSE)</f>
        <v>0.51</v>
      </c>
      <c r="M30" s="53">
        <f>VLOOKUP($A$30,'Sociodem statistics'!$B$6:$J$8,9,FALSE)</f>
        <v>0.51</v>
      </c>
      <c r="N30" s="53">
        <f>VLOOKUP($A$30,'Sociodem statistics'!$B$6:$J$8,9,FALSE)</f>
        <v>0.51</v>
      </c>
      <c r="O30" s="53">
        <f>VLOOKUP($A$30,'Sociodem statistics'!$B$6:$J$8,9,FALSE)</f>
        <v>0.51</v>
      </c>
      <c r="P30" s="53">
        <f>VLOOKUP($A$30,'Sociodem statistics'!$B$6:$J$8,9,FALSE)</f>
        <v>0.51</v>
      </c>
      <c r="Q30" s="53">
        <f>VLOOKUP($A$30,'Sociodem statistics'!$B$6:$J$8,9,FALSE)</f>
        <v>0.51</v>
      </c>
      <c r="R30" s="53">
        <f>VLOOKUP($A$30,'Sociodem statistics'!$B$6:$J$8,9,FALSE)</f>
        <v>0.51</v>
      </c>
      <c r="S30" s="53">
        <f>VLOOKUP($A$30,'Sociodem statistics'!$B$6:$J$8,9,FALSE)</f>
        <v>0.51</v>
      </c>
      <c r="T30" s="53">
        <f>VLOOKUP($A$30,'Sociodem statistics'!$B$6:$J$8,9,FALSE)</f>
        <v>0.51</v>
      </c>
      <c r="U30" s="53">
        <f>VLOOKUP($A$30,'Sociodem statistics'!$B$6:$J$8,9,FALSE)</f>
        <v>0.51</v>
      </c>
      <c r="V30" s="53">
        <f>VLOOKUP($A$30,'Sociodem statistics'!$B$6:$J$8,9,FALSE)</f>
        <v>0.51</v>
      </c>
      <c r="W30" s="53">
        <f>VLOOKUP($A$30,'Sociodem statistics'!$B$6:$J$8,9,FALSE)</f>
        <v>0.51</v>
      </c>
      <c r="X30" s="53">
        <f>VLOOKUP($A$30,'Sociodem statistics'!$B$6:$J$8,9,FALSE)</f>
        <v>0.51</v>
      </c>
      <c r="Y30" s="53">
        <f>VLOOKUP($A$30,'Sociodem statistics'!$B$6:$J$8,9,FALSE)</f>
        <v>0.51</v>
      </c>
      <c r="Z30" s="53">
        <f>VLOOKUP($A$30,'Sociodem statistics'!$B$6:$J$8,9,FALSE)</f>
        <v>0.51</v>
      </c>
      <c r="AA30" s="53">
        <f>VLOOKUP($A$30,'Sociodem statistics'!$B$6:$J$8,9,FALSE)</f>
        <v>0.51</v>
      </c>
      <c r="AB30" s="47"/>
      <c r="AC30" s="47"/>
      <c r="AD30" s="47"/>
      <c r="AE30" s="47"/>
      <c r="AF30" s="47"/>
    </row>
    <row r="31" spans="1:32" x14ac:dyDescent="0.35">
      <c r="A31" s="45" t="s">
        <v>370</v>
      </c>
      <c r="B31" s="53">
        <f>VLOOKUP($A$31,'Sociodem statistics'!$B$9:$J$12,9,FALSE)</f>
        <v>1</v>
      </c>
      <c r="C31" s="53">
        <f>VLOOKUP($A$31,'Sociodem statistics'!$B$9:$J$12,9,FALSE)</f>
        <v>1</v>
      </c>
      <c r="D31" s="53">
        <f>VLOOKUP($A$31,'Sociodem statistics'!$B$9:$J$12,9,FALSE)</f>
        <v>1</v>
      </c>
      <c r="E31" s="53">
        <f>VLOOKUP($A$31,'Sociodem statistics'!$B$9:$J$12,9,FALSE)</f>
        <v>1</v>
      </c>
      <c r="F31" s="53">
        <f>VLOOKUP($A$31,'Sociodem statistics'!$B$9:$J$12,9,FALSE)</f>
        <v>1</v>
      </c>
      <c r="G31" s="53">
        <f>VLOOKUP($A$31,'Sociodem statistics'!$B$9:$J$12,9,FALSE)</f>
        <v>1</v>
      </c>
      <c r="H31" s="53">
        <f>VLOOKUP($A$31,'Sociodem statistics'!$B$9:$J$12,9,FALSE)</f>
        <v>1</v>
      </c>
      <c r="I31" s="53">
        <f>VLOOKUP($A$31,'Sociodem statistics'!$B$9:$J$12,9,FALSE)</f>
        <v>1</v>
      </c>
      <c r="J31" s="53">
        <f>VLOOKUP($A$31,'Sociodem statistics'!$B$9:$J$12,9,FALSE)</f>
        <v>1</v>
      </c>
      <c r="K31" s="53">
        <f>VLOOKUP($A$31,'Sociodem statistics'!$B$9:$J$12,9,FALSE)</f>
        <v>1</v>
      </c>
      <c r="L31" s="53">
        <f>VLOOKUP($A$31,'Sociodem statistics'!$B$9:$J$12,9,FALSE)</f>
        <v>1</v>
      </c>
      <c r="M31" s="53">
        <f>VLOOKUP($A$31,'Sociodem statistics'!$B$9:$J$12,9,FALSE)</f>
        <v>1</v>
      </c>
      <c r="N31" s="53">
        <f>VLOOKUP($A$31,'Sociodem statistics'!$B$9:$J$12,9,FALSE)</f>
        <v>1</v>
      </c>
      <c r="O31" s="53">
        <f>VLOOKUP($A$31,'Sociodem statistics'!$B$9:$J$12,9,FALSE)</f>
        <v>1</v>
      </c>
      <c r="P31" s="53">
        <f>VLOOKUP($A$31,'Sociodem statistics'!$B$9:$J$12,9,FALSE)</f>
        <v>1</v>
      </c>
      <c r="Q31" s="53">
        <f>VLOOKUP($A$31,'Sociodem statistics'!$B$9:$J$12,9,FALSE)</f>
        <v>1</v>
      </c>
      <c r="R31" s="53">
        <f>VLOOKUP($A$31,'Sociodem statistics'!$B$9:$J$12,9,FALSE)</f>
        <v>1</v>
      </c>
      <c r="S31" s="53">
        <f>VLOOKUP($A$31,'Sociodem statistics'!$B$9:$J$12,9,FALSE)</f>
        <v>1</v>
      </c>
      <c r="T31" s="53">
        <f>VLOOKUP($A$31,'Sociodem statistics'!$B$9:$J$12,9,FALSE)</f>
        <v>1</v>
      </c>
      <c r="U31" s="53">
        <f>VLOOKUP($A$31,'Sociodem statistics'!$B$9:$J$12,9,FALSE)</f>
        <v>1</v>
      </c>
      <c r="V31" s="53">
        <f>VLOOKUP($A$31,'Sociodem statistics'!$B$9:$J$12,9,FALSE)</f>
        <v>1</v>
      </c>
      <c r="W31" s="53">
        <f>VLOOKUP($A$31,'Sociodem statistics'!$B$9:$J$12,9,FALSE)</f>
        <v>1</v>
      </c>
      <c r="X31" s="53">
        <f>VLOOKUP($A$31,'Sociodem statistics'!$B$9:$J$12,9,FALSE)</f>
        <v>1</v>
      </c>
      <c r="Y31" s="53">
        <f>VLOOKUP($A$31,'Sociodem statistics'!$B$9:$J$12,9,FALSE)</f>
        <v>1</v>
      </c>
      <c r="Z31" s="53">
        <f>VLOOKUP($A$31,'Sociodem statistics'!$B$9:$J$12,9,FALSE)</f>
        <v>1</v>
      </c>
      <c r="AA31" s="53">
        <f>VLOOKUP($A$31,'Sociodem statistics'!$B$9:$J$12,9,FALSE)</f>
        <v>1</v>
      </c>
      <c r="AB31" s="47"/>
      <c r="AC31" s="47"/>
      <c r="AD31" s="47"/>
      <c r="AE31" s="47"/>
      <c r="AF31" s="47"/>
    </row>
    <row r="32" spans="1:32" x14ac:dyDescent="0.35">
      <c r="A32" s="45" t="s">
        <v>375</v>
      </c>
      <c r="B32" s="53">
        <f>VLOOKUP($A$32,'Sociodem statistics'!$B$13:$J$15,9,FALSE)</f>
        <v>1</v>
      </c>
      <c r="C32" s="53">
        <f>VLOOKUP($A$32,'Sociodem statistics'!$B$13:$J$15,9,FALSE)</f>
        <v>1</v>
      </c>
      <c r="D32" s="53">
        <f>VLOOKUP($A$32,'Sociodem statistics'!$B$13:$J$15,9,FALSE)</f>
        <v>1</v>
      </c>
      <c r="E32" s="53">
        <f>VLOOKUP($A$32,'Sociodem statistics'!$B$13:$J$15,9,FALSE)</f>
        <v>1</v>
      </c>
      <c r="F32" s="53">
        <f>VLOOKUP($A$32,'Sociodem statistics'!$B$13:$J$15,9,FALSE)</f>
        <v>1</v>
      </c>
      <c r="G32" s="53">
        <f>VLOOKUP($A$32,'Sociodem statistics'!$B$13:$J$15,9,FALSE)</f>
        <v>1</v>
      </c>
      <c r="H32" s="53">
        <f>VLOOKUP($A$32,'Sociodem statistics'!$B$13:$J$15,9,FALSE)</f>
        <v>1</v>
      </c>
      <c r="I32" s="53">
        <f>VLOOKUP($A$32,'Sociodem statistics'!$B$13:$J$15,9,FALSE)</f>
        <v>1</v>
      </c>
      <c r="J32" s="53">
        <f>VLOOKUP($A$32,'Sociodem statistics'!$B$13:$J$15,9,FALSE)</f>
        <v>1</v>
      </c>
      <c r="K32" s="53">
        <f>VLOOKUP($A$32,'Sociodem statistics'!$B$13:$J$15,9,FALSE)</f>
        <v>1</v>
      </c>
      <c r="L32" s="53">
        <f>VLOOKUP($A$32,'Sociodem statistics'!$B$13:$J$15,9,FALSE)</f>
        <v>1</v>
      </c>
      <c r="M32" s="53">
        <f>VLOOKUP($A$32,'Sociodem statistics'!$B$13:$J$15,9,FALSE)</f>
        <v>1</v>
      </c>
      <c r="N32" s="53">
        <f>VLOOKUP($A$32,'Sociodem statistics'!$B$13:$J$15,9,FALSE)</f>
        <v>1</v>
      </c>
      <c r="O32" s="53">
        <f>VLOOKUP($A$32,'Sociodem statistics'!$B$13:$J$15,9,FALSE)</f>
        <v>1</v>
      </c>
      <c r="P32" s="53">
        <f>VLOOKUP($A$32,'Sociodem statistics'!$B$13:$J$15,9,FALSE)</f>
        <v>1</v>
      </c>
      <c r="Q32" s="53">
        <f>VLOOKUP($A$32,'Sociodem statistics'!$B$13:$J$15,9,FALSE)</f>
        <v>1</v>
      </c>
      <c r="R32" s="53">
        <f>VLOOKUP($A$32,'Sociodem statistics'!$B$13:$J$15,9,FALSE)</f>
        <v>1</v>
      </c>
      <c r="S32" s="53">
        <f>VLOOKUP($A$32,'Sociodem statistics'!$B$13:$J$15,9,FALSE)</f>
        <v>1</v>
      </c>
      <c r="T32" s="53">
        <f>VLOOKUP($A$32,'Sociodem statistics'!$B$13:$J$15,9,FALSE)</f>
        <v>1</v>
      </c>
      <c r="U32" s="53">
        <f>VLOOKUP($A$32,'Sociodem statistics'!$B$13:$J$15,9,FALSE)</f>
        <v>1</v>
      </c>
      <c r="V32" s="53">
        <f>VLOOKUP($A$32,'Sociodem statistics'!$B$13:$J$15,9,FALSE)</f>
        <v>1</v>
      </c>
      <c r="W32" s="53">
        <f>VLOOKUP($A$32,'Sociodem statistics'!$B$13:$J$15,9,FALSE)</f>
        <v>1</v>
      </c>
      <c r="X32" s="53">
        <f>VLOOKUP($A$32,'Sociodem statistics'!$B$13:$J$15,9,FALSE)</f>
        <v>1</v>
      </c>
      <c r="Y32" s="53">
        <f>VLOOKUP($A$32,'Sociodem statistics'!$B$13:$J$15,9,FALSE)</f>
        <v>1</v>
      </c>
      <c r="Z32" s="53">
        <f>VLOOKUP($A$32,'Sociodem statistics'!$B$13:$J$15,9,FALSE)</f>
        <v>1</v>
      </c>
      <c r="AA32" s="53">
        <f>VLOOKUP($A$32,'Sociodem statistics'!$B$13:$J$15,9,FALSE)</f>
        <v>1</v>
      </c>
      <c r="AB32" s="47"/>
      <c r="AC32" s="47"/>
      <c r="AD32" s="47"/>
      <c r="AE32" s="47"/>
      <c r="AF32" s="47"/>
    </row>
    <row r="33" spans="1:32" x14ac:dyDescent="0.35">
      <c r="A33" s="45" t="s">
        <v>377</v>
      </c>
      <c r="B33" s="53">
        <f>VLOOKUP($A$33,'Sociodem statistics'!$B$16:$J$19,9,FALSE)</f>
        <v>1</v>
      </c>
      <c r="C33" s="53">
        <f>VLOOKUP($A$33,'Sociodem statistics'!$B$16:$J$19,9,FALSE)</f>
        <v>1</v>
      </c>
      <c r="D33" s="53">
        <f>VLOOKUP($A$33,'Sociodem statistics'!$B$16:$J$19,9,FALSE)</f>
        <v>1</v>
      </c>
      <c r="E33" s="53">
        <f>VLOOKUP($A$33,'Sociodem statistics'!$B$16:$J$19,9,FALSE)</f>
        <v>1</v>
      </c>
      <c r="F33" s="53">
        <f>VLOOKUP($A$33,'Sociodem statistics'!$B$16:$J$19,9,FALSE)</f>
        <v>1</v>
      </c>
      <c r="G33" s="53">
        <f>VLOOKUP($A$33,'Sociodem statistics'!$B$16:$J$19,9,FALSE)</f>
        <v>1</v>
      </c>
      <c r="H33" s="53">
        <f>VLOOKUP($A$33,'Sociodem statistics'!$B$16:$J$19,9,FALSE)</f>
        <v>1</v>
      </c>
      <c r="I33" s="53">
        <f>VLOOKUP($A$33,'Sociodem statistics'!$B$16:$J$19,9,FALSE)</f>
        <v>1</v>
      </c>
      <c r="J33" s="53">
        <f>VLOOKUP($A$33,'Sociodem statistics'!$B$16:$J$19,9,FALSE)</f>
        <v>1</v>
      </c>
      <c r="K33" s="53">
        <f>VLOOKUP($A$33,'Sociodem statistics'!$B$16:$J$19,9,FALSE)</f>
        <v>1</v>
      </c>
      <c r="L33" s="53">
        <f>VLOOKUP($A$33,'Sociodem statistics'!$B$16:$J$19,9,FALSE)</f>
        <v>1</v>
      </c>
      <c r="M33" s="53">
        <f>VLOOKUP($A$33,'Sociodem statistics'!$B$16:$J$19,9,FALSE)</f>
        <v>1</v>
      </c>
      <c r="N33" s="53">
        <f>VLOOKUP($A$33,'Sociodem statistics'!$B$16:$J$19,9,FALSE)</f>
        <v>1</v>
      </c>
      <c r="O33" s="53">
        <f>VLOOKUP($A$33,'Sociodem statistics'!$B$16:$J$19,9,FALSE)</f>
        <v>1</v>
      </c>
      <c r="P33" s="53">
        <f>VLOOKUP($A$33,'Sociodem statistics'!$B$16:$J$19,9,FALSE)</f>
        <v>1</v>
      </c>
      <c r="Q33" s="53">
        <f>VLOOKUP($A$33,'Sociodem statistics'!$B$16:$J$19,9,FALSE)</f>
        <v>1</v>
      </c>
      <c r="R33" s="53">
        <f>VLOOKUP($A$33,'Sociodem statistics'!$B$16:$J$19,9,FALSE)</f>
        <v>1</v>
      </c>
      <c r="S33" s="53">
        <f>VLOOKUP($A$33,'Sociodem statistics'!$B$16:$J$19,9,FALSE)</f>
        <v>1</v>
      </c>
      <c r="T33" s="53">
        <f>VLOOKUP($A$33,'Sociodem statistics'!$B$16:$J$19,9,FALSE)</f>
        <v>1</v>
      </c>
      <c r="U33" s="53">
        <f>VLOOKUP($A$33,'Sociodem statistics'!$B$16:$J$19,9,FALSE)</f>
        <v>1</v>
      </c>
      <c r="V33" s="53">
        <f>VLOOKUP($A$33,'Sociodem statistics'!$B$16:$J$19,9,FALSE)</f>
        <v>1</v>
      </c>
      <c r="W33" s="53">
        <f>VLOOKUP($A$33,'Sociodem statistics'!$B$16:$J$19,9,FALSE)</f>
        <v>1</v>
      </c>
      <c r="X33" s="53">
        <f>VLOOKUP($A$33,'Sociodem statistics'!$B$16:$J$19,9,FALSE)</f>
        <v>1</v>
      </c>
      <c r="Y33" s="53">
        <f>VLOOKUP($A$33,'Sociodem statistics'!$B$16:$J$19,9,FALSE)</f>
        <v>1</v>
      </c>
      <c r="Z33" s="53">
        <f>VLOOKUP($A$33,'Sociodem statistics'!$B$16:$J$19,9,FALSE)</f>
        <v>1</v>
      </c>
      <c r="AA33" s="53">
        <f>VLOOKUP($A$33,'Sociodem statistics'!$B$16:$J$19,9,FALSE)</f>
        <v>1</v>
      </c>
      <c r="AB33" s="47"/>
      <c r="AC33" s="47"/>
      <c r="AD33" s="47"/>
      <c r="AE33" s="47"/>
      <c r="AF33" s="47"/>
    </row>
    <row r="34" spans="1:32" x14ac:dyDescent="0.35">
      <c r="A34" s="45" t="s">
        <v>402</v>
      </c>
      <c r="B34" s="53">
        <f>VLOOKUP($A$34,'Sociodem statistics'!$B$29:$J$31,9,FALSE)</f>
        <v>1</v>
      </c>
      <c r="C34" s="53">
        <f>VLOOKUP($A$34,'Sociodem statistics'!$B$29:$J$31,9,FALSE)</f>
        <v>1</v>
      </c>
      <c r="D34" s="53">
        <f>VLOOKUP($A$34,'Sociodem statistics'!$B$29:$J$31,9,FALSE)</f>
        <v>1</v>
      </c>
      <c r="E34" s="53">
        <f>VLOOKUP($A$34,'Sociodem statistics'!$B$29:$J$31,9,FALSE)</f>
        <v>1</v>
      </c>
      <c r="F34" s="53">
        <f>VLOOKUP($A$34,'Sociodem statistics'!$B$29:$J$31,9,FALSE)</f>
        <v>1</v>
      </c>
      <c r="G34" s="53">
        <f>VLOOKUP($A$34,'Sociodem statistics'!$B$29:$J$31,9,FALSE)</f>
        <v>1</v>
      </c>
      <c r="H34" s="53">
        <f>VLOOKUP($A$34,'Sociodem statistics'!$B$29:$J$31,9,FALSE)</f>
        <v>1</v>
      </c>
      <c r="I34" s="53">
        <f>VLOOKUP($A$34,'Sociodem statistics'!$B$29:$J$31,9,FALSE)</f>
        <v>1</v>
      </c>
      <c r="J34" s="53">
        <f>VLOOKUP($A$34,'Sociodem statistics'!$B$29:$J$31,9,FALSE)</f>
        <v>1</v>
      </c>
      <c r="K34" s="53">
        <f>VLOOKUP($A$34,'Sociodem statistics'!$B$29:$J$31,9,FALSE)</f>
        <v>1</v>
      </c>
      <c r="L34" s="53">
        <f>VLOOKUP($A$34,'Sociodem statistics'!$B$29:$J$31,9,FALSE)</f>
        <v>1</v>
      </c>
      <c r="M34" s="53">
        <f>VLOOKUP($A$34,'Sociodem statistics'!$B$29:$J$31,9,FALSE)</f>
        <v>1</v>
      </c>
      <c r="N34" s="53">
        <f>VLOOKUP($A$34,'Sociodem statistics'!$B$29:$J$31,9,FALSE)</f>
        <v>1</v>
      </c>
      <c r="O34" s="53">
        <f>VLOOKUP($A$34,'Sociodem statistics'!$B$29:$J$31,9,FALSE)</f>
        <v>1</v>
      </c>
      <c r="P34" s="53">
        <f>VLOOKUP($A$34,'Sociodem statistics'!$B$29:$J$31,9,FALSE)</f>
        <v>1</v>
      </c>
      <c r="Q34" s="53">
        <f>VLOOKUP($A$34,'Sociodem statistics'!$B$29:$J$31,9,FALSE)</f>
        <v>1</v>
      </c>
      <c r="R34" s="53">
        <f>VLOOKUP($A$34,'Sociodem statistics'!$B$29:$J$31,9,FALSE)</f>
        <v>1</v>
      </c>
      <c r="S34" s="53">
        <f>VLOOKUP($A$34,'Sociodem statistics'!$B$29:$J$31,9,FALSE)</f>
        <v>1</v>
      </c>
      <c r="T34" s="53">
        <f>VLOOKUP($A$34,'Sociodem statistics'!$B$29:$J$31,9,FALSE)</f>
        <v>1</v>
      </c>
      <c r="U34" s="53">
        <f>VLOOKUP($A$34,'Sociodem statistics'!$B$29:$J$31,9,FALSE)</f>
        <v>1</v>
      </c>
      <c r="V34" s="53">
        <f>VLOOKUP($A$34,'Sociodem statistics'!$B$29:$J$31,9,FALSE)</f>
        <v>1</v>
      </c>
      <c r="W34" s="53">
        <f>VLOOKUP($A$34,'Sociodem statistics'!$B$29:$J$31,9,FALSE)</f>
        <v>1</v>
      </c>
      <c r="X34" s="53">
        <f>VLOOKUP($A$34,'Sociodem statistics'!$B$29:$J$31,9,FALSE)</f>
        <v>1</v>
      </c>
      <c r="Y34" s="53">
        <f>VLOOKUP($A$34,'Sociodem statistics'!$B$29:$J$31,9,FALSE)</f>
        <v>1</v>
      </c>
      <c r="Z34" s="53">
        <f>VLOOKUP($A$34,'Sociodem statistics'!$B$29:$J$31,9,FALSE)</f>
        <v>1</v>
      </c>
      <c r="AA34" s="53">
        <f>VLOOKUP($A$34,'Sociodem statistics'!$B$29:$J$31,9,FALSE)</f>
        <v>1</v>
      </c>
      <c r="AB34" s="47"/>
      <c r="AC34" s="47"/>
      <c r="AD34" s="47"/>
      <c r="AE34" s="47"/>
      <c r="AF34" s="47"/>
    </row>
    <row r="35" spans="1:32" x14ac:dyDescent="0.35">
      <c r="A35" s="45" t="s">
        <v>414</v>
      </c>
      <c r="B35" s="53">
        <f>VLOOKUP($A$35,'Sociodem statistics'!$B$39:$J$41,9,FALSE)</f>
        <v>1</v>
      </c>
      <c r="C35" s="53">
        <f>VLOOKUP($A$35,'Sociodem statistics'!$B$39:$J$41,9,FALSE)</f>
        <v>1</v>
      </c>
      <c r="D35" s="53">
        <f>VLOOKUP($A$35,'Sociodem statistics'!$B$39:$J$41,9,FALSE)</f>
        <v>1</v>
      </c>
      <c r="E35" s="53">
        <f>VLOOKUP($A$35,'Sociodem statistics'!$B$39:$J$41,9,FALSE)</f>
        <v>1</v>
      </c>
      <c r="F35" s="53">
        <f>VLOOKUP($A$35,'Sociodem statistics'!$B$39:$J$41,9,FALSE)</f>
        <v>1</v>
      </c>
      <c r="G35" s="53">
        <f>VLOOKUP($A$35,'Sociodem statistics'!$B$39:$J$41,9,FALSE)</f>
        <v>1</v>
      </c>
      <c r="H35" s="53">
        <f>VLOOKUP($A$35,'Sociodem statistics'!$B$39:$J$41,9,FALSE)</f>
        <v>1</v>
      </c>
      <c r="I35" s="53">
        <f>VLOOKUP($A$35,'Sociodem statistics'!$B$39:$J$41,9,FALSE)</f>
        <v>1</v>
      </c>
      <c r="J35" s="53">
        <f>VLOOKUP($A$35,'Sociodem statistics'!$B$39:$J$41,9,FALSE)</f>
        <v>1</v>
      </c>
      <c r="K35" s="53">
        <f>VLOOKUP($A$35,'Sociodem statistics'!$B$39:$J$41,9,FALSE)</f>
        <v>1</v>
      </c>
      <c r="L35" s="53">
        <f>VLOOKUP($A$35,'Sociodem statistics'!$B$39:$J$41,9,FALSE)</f>
        <v>1</v>
      </c>
      <c r="M35" s="53">
        <f>VLOOKUP($A$35,'Sociodem statistics'!$B$39:$J$41,9,FALSE)</f>
        <v>1</v>
      </c>
      <c r="N35" s="53">
        <f>VLOOKUP($A$35,'Sociodem statistics'!$B$39:$J$41,9,FALSE)</f>
        <v>1</v>
      </c>
      <c r="O35" s="53">
        <f>VLOOKUP($A$35,'Sociodem statistics'!$B$39:$J$41,9,FALSE)</f>
        <v>1</v>
      </c>
      <c r="P35" s="53">
        <f>VLOOKUP($A$35,'Sociodem statistics'!$B$39:$J$41,9,FALSE)</f>
        <v>1</v>
      </c>
      <c r="Q35" s="53">
        <f>VLOOKUP($A$35,'Sociodem statistics'!$B$39:$J$41,9,FALSE)</f>
        <v>1</v>
      </c>
      <c r="R35" s="53">
        <f>VLOOKUP($A$35,'Sociodem statistics'!$B$39:$J$41,9,FALSE)</f>
        <v>1</v>
      </c>
      <c r="S35" s="53">
        <f>VLOOKUP($A$35,'Sociodem statistics'!$B$39:$J$41,9,FALSE)</f>
        <v>1</v>
      </c>
      <c r="T35" s="53">
        <f>VLOOKUP($A$35,'Sociodem statistics'!$B$39:$J$41,9,FALSE)</f>
        <v>1</v>
      </c>
      <c r="U35" s="53">
        <f>VLOOKUP($A$35,'Sociodem statistics'!$B$39:$J$41,9,FALSE)</f>
        <v>1</v>
      </c>
      <c r="V35" s="53">
        <f>VLOOKUP($A$35,'Sociodem statistics'!$B$39:$J$41,9,FALSE)</f>
        <v>1</v>
      </c>
      <c r="W35" s="53">
        <f>VLOOKUP($A$35,'Sociodem statistics'!$B$39:$J$41,9,FALSE)</f>
        <v>1</v>
      </c>
      <c r="X35" s="53">
        <f>VLOOKUP($A$35,'Sociodem statistics'!$B$39:$J$41,9,FALSE)</f>
        <v>1</v>
      </c>
      <c r="Y35" s="53">
        <f>VLOOKUP($A$35,'Sociodem statistics'!$B$39:$J$41,9,FALSE)</f>
        <v>1</v>
      </c>
      <c r="Z35" s="53">
        <f>VLOOKUP($A$35,'Sociodem statistics'!$B$39:$J$41,9,FALSE)</f>
        <v>1</v>
      </c>
      <c r="AA35" s="53">
        <f>VLOOKUP($A$35,'Sociodem statistics'!$B$39:$J$41,9,FALSE)</f>
        <v>1</v>
      </c>
      <c r="AB35" s="47"/>
      <c r="AC35" s="47"/>
      <c r="AD35" s="47"/>
      <c r="AE35" s="47"/>
      <c r="AF35" s="47"/>
    </row>
    <row r="36" spans="1:32" x14ac:dyDescent="0.35">
      <c r="A36" s="46" t="s">
        <v>416</v>
      </c>
      <c r="B36" s="54">
        <f t="shared" ref="B36:AA36" si="3">B20*100/(500*PRODUCT(B29:B35))</f>
        <v>3.1372549019607843</v>
      </c>
      <c r="C36" s="54">
        <f t="shared" si="3"/>
        <v>3.1372549019607843</v>
      </c>
      <c r="D36" s="54">
        <f t="shared" si="3"/>
        <v>3.1372549019607843</v>
      </c>
      <c r="E36" s="54">
        <f t="shared" si="3"/>
        <v>3.1372549019607843</v>
      </c>
      <c r="F36" s="54">
        <f t="shared" si="3"/>
        <v>3.1372549019607843</v>
      </c>
      <c r="G36" s="54">
        <f t="shared" si="3"/>
        <v>3.1372549019607843</v>
      </c>
      <c r="H36" s="54">
        <f t="shared" si="3"/>
        <v>3.1372549019607843</v>
      </c>
      <c r="I36" s="54">
        <f t="shared" si="3"/>
        <v>3.1372549019607843</v>
      </c>
      <c r="J36" s="54">
        <f t="shared" si="3"/>
        <v>3.1372549019607843</v>
      </c>
      <c r="K36" s="54">
        <f t="shared" si="3"/>
        <v>3.1372549019607843</v>
      </c>
      <c r="L36" s="54">
        <f t="shared" si="3"/>
        <v>3.1372549019607843</v>
      </c>
      <c r="M36" s="54">
        <f t="shared" si="3"/>
        <v>3.1372549019607843</v>
      </c>
      <c r="N36" s="54">
        <f t="shared" si="3"/>
        <v>8.235294117647058</v>
      </c>
      <c r="O36" s="54">
        <f t="shared" si="3"/>
        <v>8.235294117647058</v>
      </c>
      <c r="P36" s="54">
        <f t="shared" si="3"/>
        <v>8.235294117647058</v>
      </c>
      <c r="Q36" s="54">
        <f t="shared" si="3"/>
        <v>8.235294117647058</v>
      </c>
      <c r="R36" s="54">
        <f t="shared" si="3"/>
        <v>8.235294117647058</v>
      </c>
      <c r="S36" s="54">
        <f t="shared" si="3"/>
        <v>8.235294117647058</v>
      </c>
      <c r="T36" s="54">
        <f t="shared" si="3"/>
        <v>8.235294117647058</v>
      </c>
      <c r="U36" s="54">
        <f t="shared" si="3"/>
        <v>8.235294117647058</v>
      </c>
      <c r="V36" s="54">
        <f t="shared" si="3"/>
        <v>4.7058823529411766</v>
      </c>
      <c r="W36" s="54">
        <f t="shared" si="3"/>
        <v>4.7058823529411766</v>
      </c>
      <c r="X36" s="54">
        <f t="shared" si="3"/>
        <v>4.7058823529411766</v>
      </c>
      <c r="Y36" s="54">
        <f t="shared" si="3"/>
        <v>4.7058823529411766</v>
      </c>
      <c r="Z36" s="55">
        <f t="shared" si="3"/>
        <v>4.7058823529411766</v>
      </c>
      <c r="AA36" s="56">
        <f t="shared" si="3"/>
        <v>4.7058823529411766</v>
      </c>
      <c r="AB36" s="47"/>
      <c r="AC36" s="57">
        <f>AVERAGE(B36:AA36)</f>
        <v>5.0678733031674206</v>
      </c>
      <c r="AD36" s="47"/>
      <c r="AE36" s="47"/>
      <c r="AF36" s="47"/>
    </row>
    <row r="38" spans="1:32" x14ac:dyDescent="0.35">
      <c r="Y38" s="181" t="s">
        <v>426</v>
      </c>
      <c r="Z38" s="181"/>
      <c r="AA38" s="181"/>
      <c r="AB38" s="181"/>
      <c r="AC38" s="63">
        <f>AC22*AC36</f>
        <v>2.6676712950084207</v>
      </c>
    </row>
    <row r="39" spans="1:32" x14ac:dyDescent="0.35">
      <c r="Y39" s="182" t="s">
        <v>427</v>
      </c>
      <c r="Z39" s="182"/>
      <c r="AA39" s="182"/>
      <c r="AB39" s="182"/>
      <c r="AC39" s="63">
        <f>AC24*AC36</f>
        <v>2.3744566967548408</v>
      </c>
    </row>
    <row r="40" spans="1:32" x14ac:dyDescent="0.35">
      <c r="Y40" s="67"/>
      <c r="Z40" s="67"/>
      <c r="AA40" s="67"/>
      <c r="AB40" s="67"/>
      <c r="AC40" s="63"/>
    </row>
    <row r="41" spans="1:32" x14ac:dyDescent="0.35">
      <c r="Y41" s="67"/>
      <c r="Z41" s="67"/>
      <c r="AA41" s="67"/>
      <c r="AB41" s="67"/>
      <c r="AC41" s="63"/>
    </row>
    <row r="42" spans="1:32" ht="15" thickBot="1" x14ac:dyDescent="0.4">
      <c r="A42" s="174" t="s">
        <v>530</v>
      </c>
      <c r="B42" s="174"/>
      <c r="C42" s="174"/>
      <c r="D42" s="174"/>
    </row>
    <row r="43" spans="1:32" ht="15.5" thickBot="1" x14ac:dyDescent="0.4">
      <c r="A43" s="83" t="s">
        <v>57</v>
      </c>
      <c r="B43" s="172" t="s">
        <v>26</v>
      </c>
      <c r="C43" s="172"/>
      <c r="D43" s="172"/>
      <c r="E43" s="172"/>
      <c r="F43" s="172"/>
      <c r="G43" s="139" t="s">
        <v>27</v>
      </c>
      <c r="H43" s="139" t="s">
        <v>28</v>
      </c>
      <c r="I43" s="139" t="s">
        <v>470</v>
      </c>
      <c r="J43" s="172" t="s">
        <v>26</v>
      </c>
      <c r="K43" s="172"/>
      <c r="L43" s="172"/>
      <c r="M43" s="172"/>
      <c r="N43" s="172"/>
      <c r="O43" s="139" t="s">
        <v>29</v>
      </c>
      <c r="P43" s="139" t="s">
        <v>30</v>
      </c>
      <c r="Q43" s="12" t="s">
        <v>31</v>
      </c>
      <c r="R43" s="13" t="s">
        <v>32</v>
      </c>
      <c r="V43" s="111"/>
      <c r="W43" s="100"/>
    </row>
    <row r="44" spans="1:32" ht="15.5" x14ac:dyDescent="0.35">
      <c r="A44" s="161" t="s">
        <v>33</v>
      </c>
      <c r="B44" s="163" t="s">
        <v>34</v>
      </c>
      <c r="C44" s="163"/>
      <c r="D44" s="163"/>
      <c r="E44" s="163"/>
      <c r="F44" s="163"/>
      <c r="G44" s="165">
        <v>0.31620485596754988</v>
      </c>
      <c r="H44" s="163">
        <f>RANK(G44,G44:G52)</f>
        <v>2</v>
      </c>
      <c r="I44" s="84" t="s">
        <v>35</v>
      </c>
      <c r="J44" s="163" t="s">
        <v>36</v>
      </c>
      <c r="K44" s="163"/>
      <c r="L44" s="163"/>
      <c r="M44" s="163"/>
      <c r="N44" s="163"/>
      <c r="O44" s="136">
        <v>0.47849848834693104</v>
      </c>
      <c r="P44" s="14">
        <f>RANK(O44,O44:O47)</f>
        <v>1</v>
      </c>
      <c r="Q44" s="15">
        <f>O44*G44</f>
        <v>0.15130354558843168</v>
      </c>
      <c r="R44" s="16">
        <f>RANK(Q44, $Q$44:$Q$52)</f>
        <v>3</v>
      </c>
      <c r="V44" s="112"/>
      <c r="W44" s="118"/>
    </row>
    <row r="45" spans="1:32" ht="15.5" x14ac:dyDescent="0.35">
      <c r="A45" s="169"/>
      <c r="B45" s="170"/>
      <c r="C45" s="170"/>
      <c r="D45" s="170"/>
      <c r="E45" s="170"/>
      <c r="F45" s="170"/>
      <c r="G45" s="173"/>
      <c r="H45" s="170"/>
      <c r="I45" s="85" t="s">
        <v>37</v>
      </c>
      <c r="J45" s="170" t="s">
        <v>38</v>
      </c>
      <c r="K45" s="170"/>
      <c r="L45" s="170"/>
      <c r="M45" s="170"/>
      <c r="N45" s="170"/>
      <c r="O45" s="137">
        <v>0.16998386845346794</v>
      </c>
      <c r="P45" s="16">
        <f>RANK(O45,O44:O47)</f>
        <v>3</v>
      </c>
      <c r="Q45" s="15">
        <f>O45*G44</f>
        <v>5.3749724641135775E-2</v>
      </c>
      <c r="R45" s="16">
        <f t="shared" ref="R45:R52" si="4">RANK(Q45, $Q$44:$Q$52)</f>
        <v>7</v>
      </c>
      <c r="V45" s="109"/>
      <c r="W45" s="118"/>
    </row>
    <row r="46" spans="1:32" ht="15.5" x14ac:dyDescent="0.35">
      <c r="A46" s="169"/>
      <c r="B46" s="170"/>
      <c r="C46" s="170"/>
      <c r="D46" s="170"/>
      <c r="E46" s="170"/>
      <c r="F46" s="170"/>
      <c r="G46" s="173"/>
      <c r="H46" s="170"/>
      <c r="I46" s="85" t="s">
        <v>39</v>
      </c>
      <c r="J46" s="170" t="s">
        <v>40</v>
      </c>
      <c r="K46" s="170"/>
      <c r="L46" s="170"/>
      <c r="M46" s="170"/>
      <c r="N46" s="170"/>
      <c r="O46" s="137">
        <v>0.24925484695469688</v>
      </c>
      <c r="P46" s="16">
        <f>RANK(O46,O44:O47)</f>
        <v>2</v>
      </c>
      <c r="Q46" s="15">
        <f>O46*G44</f>
        <v>7.8815592980523611E-2</v>
      </c>
      <c r="R46" s="16">
        <f t="shared" si="4"/>
        <v>4</v>
      </c>
      <c r="V46" s="109"/>
      <c r="W46" s="118"/>
    </row>
    <row r="47" spans="1:32" ht="16" thickBot="1" x14ac:dyDescent="0.4">
      <c r="A47" s="162"/>
      <c r="B47" s="164"/>
      <c r="C47" s="164"/>
      <c r="D47" s="164"/>
      <c r="E47" s="164"/>
      <c r="F47" s="164"/>
      <c r="G47" s="166"/>
      <c r="H47" s="164"/>
      <c r="I47" s="86" t="s">
        <v>41</v>
      </c>
      <c r="J47" s="164" t="s">
        <v>42</v>
      </c>
      <c r="K47" s="164"/>
      <c r="L47" s="164"/>
      <c r="M47" s="164"/>
      <c r="N47" s="164"/>
      <c r="O47" s="138">
        <v>0.1022627962449041</v>
      </c>
      <c r="P47" s="17">
        <f>RANK(O47,O44:O47)</f>
        <v>4</v>
      </c>
      <c r="Q47" s="15">
        <f>O47*G44</f>
        <v>3.2335992757458805E-2</v>
      </c>
      <c r="R47" s="16">
        <f t="shared" si="4"/>
        <v>9</v>
      </c>
      <c r="V47" s="109"/>
      <c r="W47" s="118"/>
    </row>
    <row r="48" spans="1:32" ht="15.5" x14ac:dyDescent="0.35">
      <c r="A48" s="161" t="s">
        <v>43</v>
      </c>
      <c r="B48" s="163" t="s">
        <v>44</v>
      </c>
      <c r="C48" s="163"/>
      <c r="D48" s="163"/>
      <c r="E48" s="163"/>
      <c r="F48" s="163"/>
      <c r="G48" s="165">
        <v>0.17069268917793654</v>
      </c>
      <c r="H48" s="163">
        <f>RANK(G48,G44:G52)</f>
        <v>3</v>
      </c>
      <c r="I48" s="84" t="s">
        <v>45</v>
      </c>
      <c r="J48" s="163" t="s">
        <v>46</v>
      </c>
      <c r="K48" s="163"/>
      <c r="L48" s="163"/>
      <c r="M48" s="163"/>
      <c r="N48" s="163"/>
      <c r="O48" s="136">
        <v>0.37032339967666433</v>
      </c>
      <c r="P48" s="14">
        <f>RANK(O48,O48:O50)</f>
        <v>1</v>
      </c>
      <c r="Q48" s="15">
        <f>O48*G48</f>
        <v>6.3211496956325622E-2</v>
      </c>
      <c r="R48" s="16">
        <f t="shared" si="4"/>
        <v>5</v>
      </c>
      <c r="V48" s="109"/>
      <c r="W48" s="118"/>
    </row>
    <row r="49" spans="1:23" ht="15.5" x14ac:dyDescent="0.35">
      <c r="A49" s="169"/>
      <c r="B49" s="170"/>
      <c r="C49" s="170"/>
      <c r="D49" s="170"/>
      <c r="E49" s="170"/>
      <c r="F49" s="170"/>
      <c r="G49" s="173"/>
      <c r="H49" s="170"/>
      <c r="I49" s="85" t="s">
        <v>47</v>
      </c>
      <c r="J49" s="170" t="s">
        <v>48</v>
      </c>
      <c r="K49" s="170"/>
      <c r="L49" s="170"/>
      <c r="M49" s="170"/>
      <c r="N49" s="170"/>
      <c r="O49" s="137">
        <v>0.35836847660942656</v>
      </c>
      <c r="P49" s="16">
        <f>RANK(O49,O48:O50)</f>
        <v>2</v>
      </c>
      <c r="Q49" s="15">
        <f>O49*G48</f>
        <v>6.1170878989063468E-2</v>
      </c>
      <c r="R49" s="16">
        <f t="shared" si="4"/>
        <v>6</v>
      </c>
      <c r="V49" s="109"/>
      <c r="W49" s="118"/>
    </row>
    <row r="50" spans="1:23" ht="16" thickBot="1" x14ac:dyDescent="0.4">
      <c r="A50" s="162"/>
      <c r="B50" s="164"/>
      <c r="C50" s="164"/>
      <c r="D50" s="164"/>
      <c r="E50" s="164"/>
      <c r="F50" s="164"/>
      <c r="G50" s="166"/>
      <c r="H50" s="164"/>
      <c r="I50" s="86" t="s">
        <v>49</v>
      </c>
      <c r="J50" s="164" t="s">
        <v>50</v>
      </c>
      <c r="K50" s="164"/>
      <c r="L50" s="164"/>
      <c r="M50" s="164"/>
      <c r="N50" s="164"/>
      <c r="O50" s="138">
        <v>0.27130812371390917</v>
      </c>
      <c r="P50" s="17">
        <f>RANK(O50,O48:O50)</f>
        <v>3</v>
      </c>
      <c r="Q50" s="15">
        <f>O50*G48</f>
        <v>4.6310313232547452E-2</v>
      </c>
      <c r="R50" s="16">
        <f t="shared" si="4"/>
        <v>8</v>
      </c>
      <c r="V50" s="109"/>
      <c r="W50" s="118"/>
    </row>
    <row r="51" spans="1:23" ht="15.5" x14ac:dyDescent="0.35">
      <c r="A51" s="161" t="s">
        <v>51</v>
      </c>
      <c r="B51" s="163" t="s">
        <v>52</v>
      </c>
      <c r="C51" s="163"/>
      <c r="D51" s="163"/>
      <c r="E51" s="163"/>
      <c r="F51" s="163"/>
      <c r="G51" s="165">
        <v>0.51310245485451356</v>
      </c>
      <c r="H51" s="163">
        <f>RANK(G51,G44:G52)</f>
        <v>1</v>
      </c>
      <c r="I51" s="84" t="s">
        <v>53</v>
      </c>
      <c r="J51" s="163" t="s">
        <v>54</v>
      </c>
      <c r="K51" s="163"/>
      <c r="L51" s="163"/>
      <c r="M51" s="163"/>
      <c r="N51" s="163"/>
      <c r="O51" s="136">
        <v>0.40862132390128114</v>
      </c>
      <c r="P51" s="14">
        <f>RANK(O51,O51:O52)</f>
        <v>2</v>
      </c>
      <c r="Q51" s="15">
        <f>O51*G51</f>
        <v>0.20966460439964868</v>
      </c>
      <c r="R51" s="16">
        <f t="shared" si="4"/>
        <v>2</v>
      </c>
      <c r="V51" s="109"/>
      <c r="W51" s="118"/>
    </row>
    <row r="52" spans="1:23" ht="16" thickBot="1" x14ac:dyDescent="0.4">
      <c r="A52" s="162"/>
      <c r="B52" s="164"/>
      <c r="C52" s="164"/>
      <c r="D52" s="164"/>
      <c r="E52" s="164"/>
      <c r="F52" s="164"/>
      <c r="G52" s="166"/>
      <c r="H52" s="164"/>
      <c r="I52" s="18" t="s">
        <v>55</v>
      </c>
      <c r="J52" s="167" t="s">
        <v>56</v>
      </c>
      <c r="K52" s="168"/>
      <c r="L52" s="168"/>
      <c r="M52" s="168"/>
      <c r="N52" s="168"/>
      <c r="O52" s="138">
        <v>0.59137867609871897</v>
      </c>
      <c r="P52" s="17">
        <f>RANK(O52,O51:O52)</f>
        <v>1</v>
      </c>
      <c r="Q52" s="19">
        <f>O52*G51</f>
        <v>0.30343785045486493</v>
      </c>
      <c r="R52" s="16">
        <f t="shared" si="4"/>
        <v>1</v>
      </c>
      <c r="V52" s="109"/>
      <c r="W52" s="118"/>
    </row>
  </sheetData>
  <mergeCells count="28">
    <mergeCell ref="A51:A52"/>
    <mergeCell ref="B51:F52"/>
    <mergeCell ref="G51:G52"/>
    <mergeCell ref="H51:H52"/>
    <mergeCell ref="J51:N51"/>
    <mergeCell ref="J52:N52"/>
    <mergeCell ref="A48:A50"/>
    <mergeCell ref="B48:F50"/>
    <mergeCell ref="G48:G50"/>
    <mergeCell ref="H48:H50"/>
    <mergeCell ref="J48:N48"/>
    <mergeCell ref="J49:N49"/>
    <mergeCell ref="J50:N50"/>
    <mergeCell ref="A44:A47"/>
    <mergeCell ref="B44:F47"/>
    <mergeCell ref="G44:G47"/>
    <mergeCell ref="H44:H47"/>
    <mergeCell ref="J44:N44"/>
    <mergeCell ref="J45:N45"/>
    <mergeCell ref="J46:N46"/>
    <mergeCell ref="J47:N47"/>
    <mergeCell ref="A1:A2"/>
    <mergeCell ref="AB20:AC20"/>
    <mergeCell ref="Y38:AB38"/>
    <mergeCell ref="Y39:AB39"/>
    <mergeCell ref="B43:F43"/>
    <mergeCell ref="J43:N43"/>
    <mergeCell ref="A42:D4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CopyFilteredData">
                <anchor moveWithCells="1" sizeWithCells="1">
                  <from>
                    <xdr:col>5</xdr:col>
                    <xdr:colOff>12700</xdr:colOff>
                    <xdr:row>37</xdr:row>
                    <xdr:rowOff>12700</xdr:rowOff>
                  </from>
                  <to>
                    <xdr:col>6</xdr:col>
                    <xdr:colOff>850900</xdr:colOff>
                    <xdr:row>38</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promptTitle="Age" prompt="Select the age included in the study" xr:uid="{00000000-0002-0000-0900-000000000000}">
          <x14:formula1>
            <xm:f>'Sociodem statistics'!$B$2:$B$5</xm:f>
          </x14:formula1>
          <xm:sqref>A29</xm:sqref>
        </x14:dataValidation>
        <x14:dataValidation type="list" allowBlank="1" showInputMessage="1" showErrorMessage="1" promptTitle="Gender" prompt="Select the gender under evaluation" xr:uid="{00000000-0002-0000-0900-000001000000}">
          <x14:formula1>
            <xm:f>'Sociodem statistics'!$B$6:$B$8</xm:f>
          </x14:formula1>
          <xm:sqref>A30</xm:sqref>
        </x14:dataValidation>
        <x14:dataValidation type="list" allowBlank="1" showInputMessage="1" showErrorMessage="1" promptTitle="Education" prompt="Select the level of education:_x000a_- Low level: &lt; lower secundary education_x000a_- Medium level:between upper secondary and short-cycle tertiary education_x000a_- High level: degree or higher" xr:uid="{00000000-0002-0000-0900-000002000000}">
          <x14:formula1>
            <xm:f>'Sociodem statistics'!$B$9:$B$12</xm:f>
          </x14:formula1>
          <xm:sqref>A31</xm:sqref>
        </x14:dataValidation>
        <x14:dataValidation type="list" allowBlank="1" showInputMessage="1" showErrorMessage="1" promptTitle="Disability" prompt="Choose if you are considering people with or without disability_x000a_" xr:uid="{00000000-0002-0000-0900-000003000000}">
          <x14:formula1>
            <xm:f>'Sociodem statistics'!$B$13:$B$15</xm:f>
          </x14:formula1>
          <xm:sqref>A32</xm:sqref>
        </x14:dataValidation>
        <x14:dataValidation type="list" allowBlank="1" showInputMessage="1" showErrorMessage="1" promptTitle="Family" prompt="Select the family size" xr:uid="{00000000-0002-0000-0900-000004000000}">
          <x14:formula1>
            <xm:f>'Sociodem statistics'!$B$16:$B$19</xm:f>
          </x14:formula1>
          <xm:sqref>A33</xm:sqref>
        </x14:dataValidation>
        <x14:dataValidation type="list" allowBlank="1" showInputMessage="1" showErrorMessage="1" promptTitle="Sexual orientation" prompt="Select: heterosexual, LGTB or All" xr:uid="{00000000-0002-0000-0900-000005000000}">
          <x14:formula1>
            <xm:f>'Sociodem statistics'!$B$29:$B$31</xm:f>
          </x14:formula1>
          <xm:sqref>A34</xm:sqref>
        </x14:dataValidation>
        <x14:dataValidation type="list" allowBlank="1" showInputMessage="1" showErrorMessage="1" promptTitle="Economic level" prompt="Select the economic level._x000a_Note: Low wage earners are defined as employees who earn two thirds or less of national median gross hourly earnings. " xr:uid="{00000000-0002-0000-0900-000006000000}">
          <x14:formula1>
            <xm:f>'Sociodem statistics'!$B$39:$B$41</xm:f>
          </x14:formula1>
          <xm:sqref>A35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F54"/>
  <sheetViews>
    <sheetView workbookViewId="0">
      <selection activeCell="J61" sqref="J61"/>
    </sheetView>
  </sheetViews>
  <sheetFormatPr baseColWidth="10" defaultColWidth="8.7265625" defaultRowHeight="14.5" x14ac:dyDescent="0.35"/>
  <cols>
    <col min="1" max="1" width="39" bestFit="1" customWidth="1"/>
  </cols>
  <sheetData>
    <row r="1" spans="1:27" x14ac:dyDescent="0.35">
      <c r="A1" s="171" t="s">
        <v>418</v>
      </c>
      <c r="B1" s="1"/>
      <c r="C1" s="1"/>
      <c r="D1" s="1"/>
      <c r="E1" s="1"/>
      <c r="F1" s="1"/>
      <c r="G1" s="1"/>
      <c r="H1" s="1"/>
      <c r="I1" s="1"/>
      <c r="J1" s="1"/>
      <c r="K1" s="1"/>
      <c r="L1" s="1"/>
      <c r="M1" s="1"/>
      <c r="N1" s="1"/>
      <c r="O1" s="1"/>
      <c r="P1" s="1"/>
      <c r="Q1" s="1"/>
      <c r="R1" s="1"/>
      <c r="S1" s="1"/>
      <c r="T1" s="1"/>
      <c r="U1" s="1"/>
      <c r="V1" s="1"/>
      <c r="W1" s="1"/>
      <c r="X1" s="1"/>
      <c r="Y1" s="1"/>
      <c r="Z1" s="1"/>
      <c r="AA1" s="1"/>
    </row>
    <row r="2" spans="1:27" x14ac:dyDescent="0.35">
      <c r="A2" s="171"/>
      <c r="B2" s="2" t="s">
        <v>0</v>
      </c>
      <c r="C2" s="2" t="s">
        <v>1</v>
      </c>
      <c r="D2" s="2" t="s">
        <v>2</v>
      </c>
      <c r="E2" s="2" t="s">
        <v>3</v>
      </c>
      <c r="F2" s="2" t="s">
        <v>4</v>
      </c>
      <c r="G2" s="2" t="s">
        <v>5</v>
      </c>
      <c r="H2" s="2" t="s">
        <v>6</v>
      </c>
      <c r="I2" s="2" t="s">
        <v>7</v>
      </c>
      <c r="J2" s="2" t="s">
        <v>8</v>
      </c>
      <c r="K2" s="2" t="s">
        <v>9</v>
      </c>
      <c r="L2" s="2" t="s">
        <v>10</v>
      </c>
      <c r="M2" s="2" t="s">
        <v>11</v>
      </c>
      <c r="N2" s="2" t="s">
        <v>12</v>
      </c>
      <c r="O2" s="2" t="s">
        <v>13</v>
      </c>
      <c r="P2" s="2" t="s">
        <v>14</v>
      </c>
      <c r="Q2" s="2" t="s">
        <v>15</v>
      </c>
      <c r="R2" s="2" t="s">
        <v>16</v>
      </c>
      <c r="S2" s="2" t="s">
        <v>17</v>
      </c>
      <c r="T2" s="2" t="s">
        <v>18</v>
      </c>
      <c r="U2" s="2" t="s">
        <v>19</v>
      </c>
      <c r="V2" s="2" t="s">
        <v>20</v>
      </c>
      <c r="W2" s="2" t="s">
        <v>21</v>
      </c>
      <c r="X2" s="2" t="s">
        <v>22</v>
      </c>
      <c r="Y2" s="2" t="s">
        <v>23</v>
      </c>
      <c r="Z2" s="2" t="s">
        <v>24</v>
      </c>
      <c r="AA2" s="2" t="s">
        <v>25</v>
      </c>
    </row>
    <row r="3" spans="1:27" ht="15" x14ac:dyDescent="0.25">
      <c r="A3" s="3">
        <v>1</v>
      </c>
      <c r="B3" s="4">
        <v>4</v>
      </c>
      <c r="C3" s="49">
        <v>4</v>
      </c>
      <c r="D3" s="4">
        <v>6</v>
      </c>
      <c r="E3" s="49">
        <v>6</v>
      </c>
      <c r="F3" s="4">
        <v>5</v>
      </c>
      <c r="G3" s="49">
        <v>5</v>
      </c>
      <c r="H3" s="4">
        <v>6</v>
      </c>
      <c r="I3" s="49">
        <v>6</v>
      </c>
      <c r="J3" s="4">
        <v>2</v>
      </c>
      <c r="K3" s="49">
        <v>2</v>
      </c>
      <c r="L3" s="4">
        <v>5</v>
      </c>
      <c r="M3" s="49">
        <v>5</v>
      </c>
      <c r="N3" s="4">
        <v>11</v>
      </c>
      <c r="O3" s="49">
        <v>11</v>
      </c>
      <c r="P3" s="4">
        <v>12</v>
      </c>
      <c r="Q3" s="49">
        <v>12</v>
      </c>
      <c r="R3" s="4">
        <v>13</v>
      </c>
      <c r="S3" s="49">
        <v>13</v>
      </c>
      <c r="T3" s="4">
        <v>13</v>
      </c>
      <c r="U3" s="49">
        <v>13</v>
      </c>
      <c r="V3" s="4">
        <v>19</v>
      </c>
      <c r="W3" s="49">
        <v>19</v>
      </c>
      <c r="X3" s="4">
        <v>19</v>
      </c>
      <c r="Y3" s="49">
        <v>19</v>
      </c>
      <c r="Z3" s="4">
        <v>15</v>
      </c>
      <c r="AA3" s="49">
        <v>15</v>
      </c>
    </row>
    <row r="4" spans="1:27" ht="15" x14ac:dyDescent="0.25">
      <c r="A4" s="3">
        <v>2</v>
      </c>
      <c r="B4" s="4">
        <v>0</v>
      </c>
      <c r="C4" s="49">
        <v>0</v>
      </c>
      <c r="D4" s="4">
        <v>0</v>
      </c>
      <c r="E4" s="49">
        <v>0</v>
      </c>
      <c r="F4" s="4">
        <v>0</v>
      </c>
      <c r="G4" s="49">
        <v>0</v>
      </c>
      <c r="H4" s="4">
        <v>0</v>
      </c>
      <c r="I4" s="49">
        <v>0</v>
      </c>
      <c r="J4" s="4">
        <v>0</v>
      </c>
      <c r="K4" s="49">
        <v>0</v>
      </c>
      <c r="L4" s="4">
        <v>0</v>
      </c>
      <c r="M4" s="49">
        <v>0</v>
      </c>
      <c r="N4" s="4">
        <v>1</v>
      </c>
      <c r="O4" s="49">
        <v>0</v>
      </c>
      <c r="P4" s="4">
        <v>0</v>
      </c>
      <c r="Q4" s="49">
        <v>0</v>
      </c>
      <c r="R4" s="4">
        <v>0</v>
      </c>
      <c r="S4" s="49">
        <v>1</v>
      </c>
      <c r="T4" s="4">
        <v>0</v>
      </c>
      <c r="U4" s="49">
        <v>0</v>
      </c>
      <c r="V4" s="4">
        <v>0</v>
      </c>
      <c r="W4" s="49">
        <v>0</v>
      </c>
      <c r="X4" s="4">
        <v>0</v>
      </c>
      <c r="Y4" s="49">
        <v>0</v>
      </c>
      <c r="Z4" s="4">
        <v>0</v>
      </c>
      <c r="AA4" s="49">
        <v>0</v>
      </c>
    </row>
    <row r="5" spans="1:27" ht="15" x14ac:dyDescent="0.25">
      <c r="A5" s="3">
        <v>3</v>
      </c>
      <c r="B5" s="4">
        <v>0</v>
      </c>
      <c r="C5" s="49">
        <v>0</v>
      </c>
      <c r="D5" s="4">
        <v>0</v>
      </c>
      <c r="E5" s="49">
        <v>0</v>
      </c>
      <c r="F5" s="4">
        <v>0</v>
      </c>
      <c r="G5" s="49">
        <v>0</v>
      </c>
      <c r="H5" s="4">
        <v>0</v>
      </c>
      <c r="I5" s="49">
        <v>0</v>
      </c>
      <c r="J5" s="4">
        <v>0</v>
      </c>
      <c r="K5" s="49">
        <v>0</v>
      </c>
      <c r="L5" s="4">
        <v>1</v>
      </c>
      <c r="M5" s="49">
        <v>0</v>
      </c>
      <c r="N5" s="4">
        <v>0</v>
      </c>
      <c r="O5" s="49">
        <v>0</v>
      </c>
      <c r="P5" s="4">
        <v>0</v>
      </c>
      <c r="Q5" s="49">
        <v>0</v>
      </c>
      <c r="R5" s="4">
        <v>0</v>
      </c>
      <c r="S5" s="49">
        <v>0</v>
      </c>
      <c r="T5" s="4">
        <v>0</v>
      </c>
      <c r="U5" s="49">
        <v>1</v>
      </c>
      <c r="V5" s="4">
        <v>0</v>
      </c>
      <c r="W5" s="49">
        <v>0</v>
      </c>
      <c r="X5" s="4">
        <v>0</v>
      </c>
      <c r="Y5" s="49">
        <v>0</v>
      </c>
      <c r="Z5" s="4">
        <v>0</v>
      </c>
      <c r="AA5" s="49">
        <v>0</v>
      </c>
    </row>
    <row r="6" spans="1:27" ht="15" x14ac:dyDescent="0.25">
      <c r="A6" s="3">
        <v>4</v>
      </c>
      <c r="B6" s="4">
        <v>0</v>
      </c>
      <c r="C6" s="49">
        <v>0</v>
      </c>
      <c r="D6" s="4">
        <v>0</v>
      </c>
      <c r="E6" s="49">
        <v>0</v>
      </c>
      <c r="F6" s="4">
        <v>0</v>
      </c>
      <c r="G6" s="49">
        <v>0</v>
      </c>
      <c r="H6" s="4">
        <v>0</v>
      </c>
      <c r="I6" s="49">
        <v>0</v>
      </c>
      <c r="J6" s="4">
        <v>0</v>
      </c>
      <c r="K6" s="49">
        <v>0</v>
      </c>
      <c r="L6" s="4">
        <v>0</v>
      </c>
      <c r="M6" s="49">
        <v>0</v>
      </c>
      <c r="N6" s="4">
        <v>0</v>
      </c>
      <c r="O6" s="49">
        <v>0</v>
      </c>
      <c r="P6" s="4">
        <v>1</v>
      </c>
      <c r="Q6" s="49">
        <v>0</v>
      </c>
      <c r="R6" s="4">
        <v>0</v>
      </c>
      <c r="S6" s="49">
        <v>0</v>
      </c>
      <c r="T6" s="4">
        <v>0</v>
      </c>
      <c r="U6" s="49">
        <v>0</v>
      </c>
      <c r="V6" s="4">
        <v>2</v>
      </c>
      <c r="W6" s="49">
        <v>0</v>
      </c>
      <c r="X6" s="4">
        <v>1</v>
      </c>
      <c r="Y6" s="49">
        <v>1</v>
      </c>
      <c r="Z6" s="4">
        <v>0</v>
      </c>
      <c r="AA6" s="49">
        <v>0</v>
      </c>
    </row>
    <row r="7" spans="1:27" ht="15" x14ac:dyDescent="0.25">
      <c r="A7" s="3">
        <v>5</v>
      </c>
      <c r="B7" s="4">
        <v>2</v>
      </c>
      <c r="C7" s="49">
        <v>0</v>
      </c>
      <c r="D7" s="4">
        <v>0</v>
      </c>
      <c r="E7" s="49">
        <v>0</v>
      </c>
      <c r="F7" s="4">
        <v>1</v>
      </c>
      <c r="G7" s="49">
        <v>0</v>
      </c>
      <c r="H7" s="4">
        <v>0</v>
      </c>
      <c r="I7" s="49">
        <v>0</v>
      </c>
      <c r="J7" s="4">
        <v>1</v>
      </c>
      <c r="K7" s="49">
        <v>1</v>
      </c>
      <c r="L7" s="4">
        <v>0</v>
      </c>
      <c r="M7" s="49">
        <v>0</v>
      </c>
      <c r="N7" s="4">
        <v>1</v>
      </c>
      <c r="O7" s="49">
        <v>0</v>
      </c>
      <c r="P7" s="4">
        <v>2</v>
      </c>
      <c r="Q7" s="49">
        <v>0</v>
      </c>
      <c r="R7" s="4">
        <v>1</v>
      </c>
      <c r="S7" s="49">
        <v>0</v>
      </c>
      <c r="T7" s="4">
        <v>0</v>
      </c>
      <c r="U7" s="49">
        <v>0</v>
      </c>
      <c r="V7" s="4">
        <v>0</v>
      </c>
      <c r="W7" s="49">
        <v>0</v>
      </c>
      <c r="X7" s="4">
        <v>0</v>
      </c>
      <c r="Y7" s="49">
        <v>1</v>
      </c>
      <c r="Z7" s="4">
        <v>0</v>
      </c>
      <c r="AA7" s="49">
        <v>1</v>
      </c>
    </row>
    <row r="8" spans="1:27" ht="15" x14ac:dyDescent="0.25">
      <c r="A8" s="3">
        <v>6</v>
      </c>
      <c r="B8" s="4">
        <v>0</v>
      </c>
      <c r="C8" s="49">
        <v>0</v>
      </c>
      <c r="D8" s="4">
        <v>1</v>
      </c>
      <c r="E8" s="49">
        <v>0</v>
      </c>
      <c r="F8" s="4">
        <v>1</v>
      </c>
      <c r="G8" s="49">
        <v>0</v>
      </c>
      <c r="H8" s="4">
        <v>0</v>
      </c>
      <c r="I8" s="49">
        <v>1</v>
      </c>
      <c r="J8" s="4">
        <v>0</v>
      </c>
      <c r="K8" s="49">
        <v>1</v>
      </c>
      <c r="L8" s="4">
        <v>1</v>
      </c>
      <c r="M8" s="49">
        <v>0</v>
      </c>
      <c r="N8" s="4">
        <v>2</v>
      </c>
      <c r="O8" s="49">
        <v>0</v>
      </c>
      <c r="P8" s="4">
        <v>3</v>
      </c>
      <c r="Q8" s="49">
        <v>0</v>
      </c>
      <c r="R8" s="4">
        <v>2</v>
      </c>
      <c r="S8" s="49">
        <v>0</v>
      </c>
      <c r="T8" s="4">
        <v>2</v>
      </c>
      <c r="U8" s="49">
        <v>2</v>
      </c>
      <c r="V8" s="4">
        <v>0</v>
      </c>
      <c r="W8" s="49">
        <v>2</v>
      </c>
      <c r="X8" s="4">
        <v>5</v>
      </c>
      <c r="Y8" s="49">
        <v>0</v>
      </c>
      <c r="Z8" s="4">
        <v>2</v>
      </c>
      <c r="AA8" s="49">
        <v>5</v>
      </c>
    </row>
    <row r="9" spans="1:27" ht="15" x14ac:dyDescent="0.25">
      <c r="A9" s="3">
        <v>7</v>
      </c>
      <c r="B9" s="4">
        <v>2</v>
      </c>
      <c r="C9" s="49">
        <v>0</v>
      </c>
      <c r="D9" s="4">
        <v>2</v>
      </c>
      <c r="E9" s="49">
        <v>1</v>
      </c>
      <c r="F9" s="4">
        <v>2</v>
      </c>
      <c r="G9" s="49">
        <v>0</v>
      </c>
      <c r="H9" s="4">
        <v>1</v>
      </c>
      <c r="I9" s="49">
        <v>2</v>
      </c>
      <c r="J9" s="4">
        <v>3</v>
      </c>
      <c r="K9" s="49">
        <v>2</v>
      </c>
      <c r="L9" s="4">
        <v>1</v>
      </c>
      <c r="M9" s="49">
        <v>2</v>
      </c>
      <c r="N9" s="4">
        <v>2</v>
      </c>
      <c r="O9" s="49">
        <v>3</v>
      </c>
      <c r="P9" s="4">
        <v>2</v>
      </c>
      <c r="Q9" s="49">
        <v>1</v>
      </c>
      <c r="R9" s="4">
        <v>2</v>
      </c>
      <c r="S9" s="49">
        <v>2</v>
      </c>
      <c r="T9" s="4">
        <v>0</v>
      </c>
      <c r="U9" s="49">
        <v>3</v>
      </c>
      <c r="V9" s="4">
        <v>4</v>
      </c>
      <c r="W9" s="49">
        <v>1</v>
      </c>
      <c r="X9" s="4">
        <v>1</v>
      </c>
      <c r="Y9" s="49">
        <v>3</v>
      </c>
      <c r="Z9" s="4">
        <v>1</v>
      </c>
      <c r="AA9" s="49">
        <v>5</v>
      </c>
    </row>
    <row r="10" spans="1:27" ht="15" x14ac:dyDescent="0.25">
      <c r="A10" s="3">
        <v>8</v>
      </c>
      <c r="B10" s="4">
        <v>2</v>
      </c>
      <c r="C10" s="49">
        <v>0</v>
      </c>
      <c r="D10" s="4">
        <v>1</v>
      </c>
      <c r="E10" s="49">
        <v>0</v>
      </c>
      <c r="F10" s="4">
        <v>2</v>
      </c>
      <c r="G10" s="49">
        <v>0</v>
      </c>
      <c r="H10" s="4">
        <v>0</v>
      </c>
      <c r="I10" s="49">
        <v>0</v>
      </c>
      <c r="J10" s="4">
        <v>1</v>
      </c>
      <c r="K10" s="49">
        <v>0</v>
      </c>
      <c r="L10" s="4">
        <v>0</v>
      </c>
      <c r="M10" s="49">
        <v>0</v>
      </c>
      <c r="N10" s="4">
        <v>4</v>
      </c>
      <c r="O10" s="49">
        <v>0</v>
      </c>
      <c r="P10" s="4">
        <v>2</v>
      </c>
      <c r="Q10" s="49">
        <v>1</v>
      </c>
      <c r="R10" s="4">
        <v>3</v>
      </c>
      <c r="S10" s="49">
        <v>1</v>
      </c>
      <c r="T10" s="4">
        <v>2</v>
      </c>
      <c r="U10" s="49">
        <v>2</v>
      </c>
      <c r="V10" s="4">
        <v>3</v>
      </c>
      <c r="W10" s="49">
        <v>0</v>
      </c>
      <c r="X10" s="4">
        <v>0</v>
      </c>
      <c r="Y10" s="49">
        <v>1</v>
      </c>
      <c r="Z10" s="4">
        <v>0</v>
      </c>
      <c r="AA10" s="49">
        <v>3</v>
      </c>
    </row>
    <row r="11" spans="1:27" ht="15" x14ac:dyDescent="0.25">
      <c r="A11" s="3">
        <v>9</v>
      </c>
      <c r="B11" s="4">
        <v>1</v>
      </c>
      <c r="C11" s="49">
        <v>0</v>
      </c>
      <c r="D11" s="4">
        <v>0</v>
      </c>
      <c r="E11" s="49">
        <v>0</v>
      </c>
      <c r="F11" s="4">
        <v>0</v>
      </c>
      <c r="G11" s="49">
        <v>0</v>
      </c>
      <c r="H11" s="4">
        <v>0</v>
      </c>
      <c r="I11" s="49">
        <v>1</v>
      </c>
      <c r="J11" s="4">
        <v>0</v>
      </c>
      <c r="K11" s="49">
        <v>0</v>
      </c>
      <c r="L11" s="4">
        <v>1</v>
      </c>
      <c r="M11" s="49">
        <v>0</v>
      </c>
      <c r="N11" s="4">
        <v>1</v>
      </c>
      <c r="O11" s="49">
        <v>0</v>
      </c>
      <c r="P11" s="4">
        <v>1</v>
      </c>
      <c r="Q11" s="49">
        <v>0</v>
      </c>
      <c r="R11" s="4">
        <v>0</v>
      </c>
      <c r="S11" s="49">
        <v>0</v>
      </c>
      <c r="T11" s="4">
        <v>0</v>
      </c>
      <c r="U11" s="49">
        <v>0</v>
      </c>
      <c r="V11" s="4">
        <v>1</v>
      </c>
      <c r="W11" s="49">
        <v>0</v>
      </c>
      <c r="X11" s="4">
        <v>0</v>
      </c>
      <c r="Y11" s="49">
        <v>0</v>
      </c>
      <c r="Z11" s="4">
        <v>0</v>
      </c>
      <c r="AA11" s="49">
        <v>0</v>
      </c>
    </row>
    <row r="12" spans="1:27" ht="15" x14ac:dyDescent="0.25">
      <c r="A12" s="5">
        <v>0.5</v>
      </c>
      <c r="B12" s="4">
        <v>0</v>
      </c>
      <c r="C12" s="49">
        <v>0</v>
      </c>
      <c r="D12" s="4">
        <v>0</v>
      </c>
      <c r="E12" s="49">
        <v>0</v>
      </c>
      <c r="F12" s="4">
        <v>0</v>
      </c>
      <c r="G12" s="49">
        <v>0</v>
      </c>
      <c r="H12" s="4">
        <v>0</v>
      </c>
      <c r="I12" s="49">
        <v>0</v>
      </c>
      <c r="J12" s="4">
        <v>0</v>
      </c>
      <c r="K12" s="49">
        <v>0</v>
      </c>
      <c r="L12" s="4">
        <v>0</v>
      </c>
      <c r="M12" s="49">
        <v>0</v>
      </c>
      <c r="N12" s="4">
        <v>0</v>
      </c>
      <c r="O12" s="49">
        <v>1</v>
      </c>
      <c r="P12" s="4">
        <v>0</v>
      </c>
      <c r="Q12" s="49">
        <v>0</v>
      </c>
      <c r="R12" s="4">
        <v>1</v>
      </c>
      <c r="S12" s="49">
        <v>0</v>
      </c>
      <c r="T12" s="4">
        <v>0</v>
      </c>
      <c r="U12" s="49">
        <v>0</v>
      </c>
      <c r="V12" s="4">
        <v>0</v>
      </c>
      <c r="W12" s="49">
        <v>0</v>
      </c>
      <c r="X12" s="4">
        <v>0</v>
      </c>
      <c r="Y12" s="49">
        <v>0</v>
      </c>
      <c r="Z12" s="4">
        <v>0</v>
      </c>
      <c r="AA12" s="49">
        <v>0</v>
      </c>
    </row>
    <row r="13" spans="1:27" ht="15" x14ac:dyDescent="0.25">
      <c r="A13" s="5">
        <v>0.33333333333333331</v>
      </c>
      <c r="B13" s="4">
        <v>0</v>
      </c>
      <c r="C13" s="49">
        <v>0</v>
      </c>
      <c r="D13" s="4">
        <v>0</v>
      </c>
      <c r="E13" s="49">
        <v>0</v>
      </c>
      <c r="F13" s="4">
        <v>0</v>
      </c>
      <c r="G13" s="49">
        <v>0</v>
      </c>
      <c r="H13" s="4">
        <v>0</v>
      </c>
      <c r="I13" s="49">
        <v>0</v>
      </c>
      <c r="J13" s="4">
        <v>0</v>
      </c>
      <c r="K13" s="49">
        <v>0</v>
      </c>
      <c r="L13" s="4">
        <v>0</v>
      </c>
      <c r="M13" s="49">
        <v>1</v>
      </c>
      <c r="N13" s="4">
        <v>0</v>
      </c>
      <c r="O13" s="49">
        <v>0</v>
      </c>
      <c r="P13" s="4">
        <v>0</v>
      </c>
      <c r="Q13" s="49">
        <v>0</v>
      </c>
      <c r="R13" s="4">
        <v>0</v>
      </c>
      <c r="S13" s="49">
        <v>0</v>
      </c>
      <c r="T13" s="4">
        <v>1</v>
      </c>
      <c r="U13" s="49">
        <v>0</v>
      </c>
      <c r="V13" s="4">
        <v>0</v>
      </c>
      <c r="W13" s="49">
        <v>0</v>
      </c>
      <c r="X13" s="4">
        <v>0</v>
      </c>
      <c r="Y13" s="49">
        <v>0</v>
      </c>
      <c r="Z13" s="4">
        <v>0</v>
      </c>
      <c r="AA13" s="49">
        <v>0</v>
      </c>
    </row>
    <row r="14" spans="1:27" ht="15" x14ac:dyDescent="0.25">
      <c r="A14" s="5">
        <v>0.25</v>
      </c>
      <c r="B14" s="4">
        <v>0</v>
      </c>
      <c r="C14" s="49">
        <v>0</v>
      </c>
      <c r="D14" s="4">
        <v>0</v>
      </c>
      <c r="E14" s="49">
        <v>0</v>
      </c>
      <c r="F14" s="4">
        <v>0</v>
      </c>
      <c r="G14" s="49">
        <v>0</v>
      </c>
      <c r="H14" s="4">
        <v>0</v>
      </c>
      <c r="I14" s="49">
        <v>0</v>
      </c>
      <c r="J14" s="4">
        <v>0</v>
      </c>
      <c r="K14" s="49">
        <v>0</v>
      </c>
      <c r="L14" s="4">
        <v>0</v>
      </c>
      <c r="M14" s="49">
        <v>0</v>
      </c>
      <c r="N14" s="4">
        <v>0</v>
      </c>
      <c r="O14" s="49">
        <v>0</v>
      </c>
      <c r="P14" s="4">
        <v>0</v>
      </c>
      <c r="Q14" s="49">
        <v>1</v>
      </c>
      <c r="R14" s="4">
        <v>0</v>
      </c>
      <c r="S14" s="49">
        <v>0</v>
      </c>
      <c r="T14" s="4">
        <v>0</v>
      </c>
      <c r="U14" s="49">
        <v>0</v>
      </c>
      <c r="V14" s="4">
        <v>0</v>
      </c>
      <c r="W14" s="49">
        <v>2</v>
      </c>
      <c r="X14" s="4">
        <v>1</v>
      </c>
      <c r="Y14" s="49">
        <v>1</v>
      </c>
      <c r="Z14" s="4">
        <v>0</v>
      </c>
      <c r="AA14" s="49">
        <v>0</v>
      </c>
    </row>
    <row r="15" spans="1:27" ht="15" x14ac:dyDescent="0.25">
      <c r="A15" s="5">
        <v>0.2</v>
      </c>
      <c r="B15" s="4">
        <v>0</v>
      </c>
      <c r="C15" s="49">
        <v>2</v>
      </c>
      <c r="D15" s="4">
        <v>0</v>
      </c>
      <c r="E15" s="49">
        <v>0</v>
      </c>
      <c r="F15" s="4">
        <v>0</v>
      </c>
      <c r="G15" s="49">
        <v>1</v>
      </c>
      <c r="H15" s="4">
        <v>0</v>
      </c>
      <c r="I15" s="49">
        <v>0</v>
      </c>
      <c r="J15" s="4">
        <v>1</v>
      </c>
      <c r="K15" s="49">
        <v>1</v>
      </c>
      <c r="L15" s="4">
        <v>0</v>
      </c>
      <c r="M15" s="49">
        <v>0</v>
      </c>
      <c r="N15" s="4">
        <v>0</v>
      </c>
      <c r="O15" s="49">
        <v>1</v>
      </c>
      <c r="P15" s="4">
        <v>0</v>
      </c>
      <c r="Q15" s="49">
        <v>2</v>
      </c>
      <c r="R15" s="4">
        <v>0</v>
      </c>
      <c r="S15" s="49">
        <v>1</v>
      </c>
      <c r="T15" s="4">
        <v>0</v>
      </c>
      <c r="U15" s="49">
        <v>0</v>
      </c>
      <c r="V15" s="4">
        <v>0</v>
      </c>
      <c r="W15" s="49">
        <v>0</v>
      </c>
      <c r="X15" s="4">
        <v>1</v>
      </c>
      <c r="Y15" s="49">
        <v>0</v>
      </c>
      <c r="Z15" s="4">
        <v>1</v>
      </c>
      <c r="AA15" s="49">
        <v>0</v>
      </c>
    </row>
    <row r="16" spans="1:27" ht="15" x14ac:dyDescent="0.25">
      <c r="A16" s="5">
        <v>0.16666666666666666</v>
      </c>
      <c r="B16" s="4">
        <v>0</v>
      </c>
      <c r="C16" s="49">
        <v>0</v>
      </c>
      <c r="D16" s="4">
        <v>0</v>
      </c>
      <c r="E16" s="49">
        <v>1</v>
      </c>
      <c r="F16" s="4">
        <v>0</v>
      </c>
      <c r="G16" s="49">
        <v>1</v>
      </c>
      <c r="H16" s="4">
        <v>1</v>
      </c>
      <c r="I16" s="49">
        <v>0</v>
      </c>
      <c r="J16" s="4">
        <v>1</v>
      </c>
      <c r="K16" s="49">
        <v>0</v>
      </c>
      <c r="L16" s="4">
        <v>0</v>
      </c>
      <c r="M16" s="49">
        <v>1</v>
      </c>
      <c r="N16" s="4">
        <v>0</v>
      </c>
      <c r="O16" s="49">
        <v>2</v>
      </c>
      <c r="P16" s="4">
        <v>0</v>
      </c>
      <c r="Q16" s="49">
        <v>3</v>
      </c>
      <c r="R16" s="4">
        <v>0</v>
      </c>
      <c r="S16" s="49">
        <v>2</v>
      </c>
      <c r="T16" s="4">
        <v>2</v>
      </c>
      <c r="U16" s="49">
        <v>2</v>
      </c>
      <c r="V16" s="4">
        <v>2</v>
      </c>
      <c r="W16" s="49">
        <v>0</v>
      </c>
      <c r="X16" s="4">
        <v>0</v>
      </c>
      <c r="Y16" s="49">
        <v>5</v>
      </c>
      <c r="Z16" s="4">
        <v>5</v>
      </c>
      <c r="AA16" s="49">
        <v>2</v>
      </c>
    </row>
    <row r="17" spans="1:32" ht="15" x14ac:dyDescent="0.25">
      <c r="A17" s="5">
        <v>0.14285714285714285</v>
      </c>
      <c r="B17" s="4">
        <v>0</v>
      </c>
      <c r="C17" s="49">
        <v>2</v>
      </c>
      <c r="D17" s="4">
        <v>1</v>
      </c>
      <c r="E17" s="49">
        <v>2</v>
      </c>
      <c r="F17" s="4">
        <v>0</v>
      </c>
      <c r="G17" s="49">
        <v>2</v>
      </c>
      <c r="H17" s="4">
        <v>2</v>
      </c>
      <c r="I17" s="49">
        <v>1</v>
      </c>
      <c r="J17" s="4">
        <v>2</v>
      </c>
      <c r="K17" s="49">
        <v>3</v>
      </c>
      <c r="L17" s="4">
        <v>2</v>
      </c>
      <c r="M17" s="49">
        <v>1</v>
      </c>
      <c r="N17" s="4">
        <v>3</v>
      </c>
      <c r="O17" s="49">
        <v>2</v>
      </c>
      <c r="P17" s="4">
        <v>1</v>
      </c>
      <c r="Q17" s="49">
        <v>2</v>
      </c>
      <c r="R17" s="4">
        <v>2</v>
      </c>
      <c r="S17" s="49">
        <v>2</v>
      </c>
      <c r="T17" s="4">
        <v>3</v>
      </c>
      <c r="U17" s="49">
        <v>0</v>
      </c>
      <c r="V17" s="4">
        <v>1</v>
      </c>
      <c r="W17" s="49">
        <v>4</v>
      </c>
      <c r="X17" s="4">
        <v>3</v>
      </c>
      <c r="Y17" s="49">
        <v>1</v>
      </c>
      <c r="Z17" s="4">
        <v>5</v>
      </c>
      <c r="AA17" s="49">
        <v>1</v>
      </c>
    </row>
    <row r="18" spans="1:32" ht="15" x14ac:dyDescent="0.25">
      <c r="A18" s="5">
        <v>0.125</v>
      </c>
      <c r="B18" s="4">
        <v>0</v>
      </c>
      <c r="C18" s="49">
        <v>2</v>
      </c>
      <c r="D18" s="4">
        <v>0</v>
      </c>
      <c r="E18" s="49">
        <v>1</v>
      </c>
      <c r="F18" s="4">
        <v>0</v>
      </c>
      <c r="G18" s="49">
        <v>2</v>
      </c>
      <c r="H18" s="4">
        <v>0</v>
      </c>
      <c r="I18" s="49">
        <v>0</v>
      </c>
      <c r="J18" s="4">
        <v>0</v>
      </c>
      <c r="K18" s="49">
        <v>1</v>
      </c>
      <c r="L18" s="4">
        <v>0</v>
      </c>
      <c r="M18" s="49">
        <v>0</v>
      </c>
      <c r="N18" s="4">
        <v>0</v>
      </c>
      <c r="O18" s="49">
        <v>4</v>
      </c>
      <c r="P18" s="4">
        <v>1</v>
      </c>
      <c r="Q18" s="49">
        <v>2</v>
      </c>
      <c r="R18" s="4">
        <v>1</v>
      </c>
      <c r="S18" s="49">
        <v>3</v>
      </c>
      <c r="T18" s="4">
        <v>2</v>
      </c>
      <c r="U18" s="49">
        <v>2</v>
      </c>
      <c r="V18" s="4">
        <v>0</v>
      </c>
      <c r="W18" s="49">
        <v>3</v>
      </c>
      <c r="X18" s="4">
        <v>1</v>
      </c>
      <c r="Y18" s="49">
        <v>0</v>
      </c>
      <c r="Z18" s="4">
        <v>3</v>
      </c>
      <c r="AA18" s="49">
        <v>0</v>
      </c>
    </row>
    <row r="19" spans="1:32" ht="15.75" thickBot="1" x14ac:dyDescent="0.3">
      <c r="A19" s="6">
        <v>0.1111111111111111</v>
      </c>
      <c r="B19" s="7">
        <v>0</v>
      </c>
      <c r="C19" s="50">
        <v>1</v>
      </c>
      <c r="D19" s="7">
        <v>0</v>
      </c>
      <c r="E19" s="50">
        <v>0</v>
      </c>
      <c r="F19" s="7">
        <v>0</v>
      </c>
      <c r="G19" s="50">
        <v>0</v>
      </c>
      <c r="H19" s="7">
        <v>1</v>
      </c>
      <c r="I19" s="50">
        <v>0</v>
      </c>
      <c r="J19" s="7">
        <v>0</v>
      </c>
      <c r="K19" s="50">
        <v>0</v>
      </c>
      <c r="L19" s="7">
        <v>0</v>
      </c>
      <c r="M19" s="50">
        <v>1</v>
      </c>
      <c r="N19" s="7">
        <v>0</v>
      </c>
      <c r="O19" s="50">
        <v>1</v>
      </c>
      <c r="P19" s="7">
        <v>0</v>
      </c>
      <c r="Q19" s="50">
        <v>1</v>
      </c>
      <c r="R19" s="7">
        <v>0</v>
      </c>
      <c r="S19" s="50">
        <v>0</v>
      </c>
      <c r="T19" s="7">
        <v>0</v>
      </c>
      <c r="U19" s="50">
        <v>0</v>
      </c>
      <c r="V19" s="7">
        <v>0</v>
      </c>
      <c r="W19" s="50">
        <v>1</v>
      </c>
      <c r="X19" s="7">
        <v>0</v>
      </c>
      <c r="Y19" s="50">
        <v>0</v>
      </c>
      <c r="Z19" s="7">
        <v>0</v>
      </c>
      <c r="AA19" s="50">
        <v>0</v>
      </c>
    </row>
    <row r="20" spans="1:32" x14ac:dyDescent="0.35">
      <c r="A20" s="8" t="s">
        <v>58</v>
      </c>
      <c r="B20" s="9">
        <f>SUM(B3:B19)</f>
        <v>11</v>
      </c>
      <c r="C20" s="51">
        <f t="shared" ref="C20:AA20" si="0">SUM(C3:C19)</f>
        <v>11</v>
      </c>
      <c r="D20" s="9">
        <f t="shared" si="0"/>
        <v>11</v>
      </c>
      <c r="E20" s="51">
        <f t="shared" si="0"/>
        <v>11</v>
      </c>
      <c r="F20" s="9">
        <f t="shared" si="0"/>
        <v>11</v>
      </c>
      <c r="G20" s="51">
        <f t="shared" si="0"/>
        <v>11</v>
      </c>
      <c r="H20" s="9">
        <f t="shared" si="0"/>
        <v>11</v>
      </c>
      <c r="I20" s="51">
        <f t="shared" si="0"/>
        <v>11</v>
      </c>
      <c r="J20" s="9">
        <f t="shared" si="0"/>
        <v>11</v>
      </c>
      <c r="K20" s="51">
        <f t="shared" si="0"/>
        <v>11</v>
      </c>
      <c r="L20" s="9">
        <f t="shared" si="0"/>
        <v>11</v>
      </c>
      <c r="M20" s="51">
        <f t="shared" si="0"/>
        <v>11</v>
      </c>
      <c r="N20" s="9">
        <f t="shared" si="0"/>
        <v>25</v>
      </c>
      <c r="O20" s="51">
        <f t="shared" si="0"/>
        <v>25</v>
      </c>
      <c r="P20" s="9">
        <f t="shared" si="0"/>
        <v>25</v>
      </c>
      <c r="Q20" s="51">
        <f t="shared" si="0"/>
        <v>25</v>
      </c>
      <c r="R20" s="9">
        <f t="shared" si="0"/>
        <v>25</v>
      </c>
      <c r="S20" s="51">
        <f t="shared" si="0"/>
        <v>25</v>
      </c>
      <c r="T20" s="9">
        <f t="shared" si="0"/>
        <v>25</v>
      </c>
      <c r="U20" s="51">
        <f t="shared" si="0"/>
        <v>25</v>
      </c>
      <c r="V20" s="9">
        <f t="shared" si="0"/>
        <v>32</v>
      </c>
      <c r="W20" s="51">
        <f t="shared" si="0"/>
        <v>32</v>
      </c>
      <c r="X20" s="9">
        <f t="shared" si="0"/>
        <v>32</v>
      </c>
      <c r="Y20" s="51">
        <f t="shared" si="0"/>
        <v>32</v>
      </c>
      <c r="Z20" s="9">
        <f t="shared" si="0"/>
        <v>32</v>
      </c>
      <c r="AA20" s="51">
        <f t="shared" si="0"/>
        <v>32</v>
      </c>
      <c r="AB20" s="179" t="s">
        <v>347</v>
      </c>
      <c r="AC20" s="180"/>
    </row>
    <row r="21" spans="1:32" x14ac:dyDescent="0.35">
      <c r="A21" s="10" t="s">
        <v>417</v>
      </c>
      <c r="B21" s="20">
        <v>3.4016305473878172</v>
      </c>
      <c r="C21" s="52">
        <v>0.29397666385843124</v>
      </c>
      <c r="D21" s="20">
        <v>1.6969428137899101</v>
      </c>
      <c r="E21" s="52">
        <v>0.58929504982352632</v>
      </c>
      <c r="F21" s="20">
        <v>2.8322795654060609</v>
      </c>
      <c r="G21" s="52">
        <v>0.35307249051759165</v>
      </c>
      <c r="H21" s="20">
        <v>0.58301880593971755</v>
      </c>
      <c r="I21" s="52">
        <v>1.7152105383430754</v>
      </c>
      <c r="J21" s="20">
        <v>1.2251384258651381</v>
      </c>
      <c r="K21" s="52">
        <v>0.81623429556039306</v>
      </c>
      <c r="L21" s="20">
        <v>1.330570549865187</v>
      </c>
      <c r="M21" s="52">
        <v>0.75155729254741099</v>
      </c>
      <c r="N21" s="20">
        <v>1.7828396195471394</v>
      </c>
      <c r="O21" s="52">
        <v>0.56090294888892522</v>
      </c>
      <c r="P21" s="20">
        <v>1.911944896649151</v>
      </c>
      <c r="Q21" s="52">
        <v>0.52302762582362416</v>
      </c>
      <c r="R21" s="20">
        <v>1.4138941557015881</v>
      </c>
      <c r="S21" s="52">
        <v>0.70726652060018613</v>
      </c>
      <c r="T21" s="20">
        <v>0.75771063864597998</v>
      </c>
      <c r="U21" s="52">
        <v>1.3197650250588908</v>
      </c>
      <c r="V21" s="20">
        <v>1.5230248949762557</v>
      </c>
      <c r="W21" s="52">
        <v>0.65658808552541104</v>
      </c>
      <c r="X21" s="20">
        <v>1.0440063270239655</v>
      </c>
      <c r="Y21" s="52">
        <v>0.95784860121546445</v>
      </c>
      <c r="Z21" s="20">
        <v>0.5186848538993224</v>
      </c>
      <c r="AA21" s="52">
        <v>1.9279529611907689</v>
      </c>
    </row>
    <row r="22" spans="1:32" x14ac:dyDescent="0.35">
      <c r="A22" s="59" t="s">
        <v>419</v>
      </c>
      <c r="B22" s="64">
        <v>0.92031728400859503</v>
      </c>
      <c r="C22" s="52">
        <v>0.92031728400859503</v>
      </c>
      <c r="D22" s="20">
        <v>0.34440956024800184</v>
      </c>
      <c r="E22" s="52">
        <v>0.34440956024800184</v>
      </c>
      <c r="F22" s="20">
        <v>0.78782952584656063</v>
      </c>
      <c r="G22" s="52">
        <v>0.78782952584656063</v>
      </c>
      <c r="H22" s="20">
        <v>0.34440956024800184</v>
      </c>
      <c r="I22" s="52">
        <v>0.34440956024800184</v>
      </c>
      <c r="J22" s="20">
        <v>0.57916130674135657</v>
      </c>
      <c r="K22" s="52">
        <v>0.57916130674135657</v>
      </c>
      <c r="L22" s="20">
        <v>0.34440956024800184</v>
      </c>
      <c r="M22" s="52">
        <v>0.34440956024800184</v>
      </c>
      <c r="N22" s="20">
        <v>0.45948113036781907</v>
      </c>
      <c r="O22" s="52">
        <v>0.45948113036781907</v>
      </c>
      <c r="P22" s="20">
        <v>0.45948113036781907</v>
      </c>
      <c r="Q22" s="52">
        <v>0.45948113036781907</v>
      </c>
      <c r="R22" s="20">
        <v>9.4413983542731797E-2</v>
      </c>
      <c r="S22" s="52">
        <v>9.4413983542731797E-2</v>
      </c>
      <c r="T22" s="20">
        <v>9.4413983542731797E-2</v>
      </c>
      <c r="U22" s="52">
        <v>9.4413983542731797E-2</v>
      </c>
      <c r="V22" s="20">
        <v>5.1831791897750175E-2</v>
      </c>
      <c r="W22" s="52">
        <v>5.1831791897750175E-2</v>
      </c>
      <c r="X22" s="20">
        <v>2.9884934127260626E-3</v>
      </c>
      <c r="Y22" s="52">
        <v>2.9884934127260626E-3</v>
      </c>
      <c r="Z22" s="20">
        <v>0.42308372461651034</v>
      </c>
      <c r="AA22" s="52">
        <v>0.42308372461651034</v>
      </c>
      <c r="AC22" s="58">
        <f>AVERAGEIF(B22:AA22,"&lt;65534")</f>
        <v>0.37740238731450815</v>
      </c>
      <c r="AE22" s="62" t="s">
        <v>425</v>
      </c>
      <c r="AF22" s="62"/>
    </row>
    <row r="23" spans="1:32" x14ac:dyDescent="0.35">
      <c r="A23" s="59" t="s">
        <v>420</v>
      </c>
      <c r="B23" s="64">
        <v>0.78782952584656063</v>
      </c>
      <c r="C23" s="52">
        <v>0.78782952584656063</v>
      </c>
      <c r="D23" s="20">
        <v>0.15576976395869901</v>
      </c>
      <c r="E23" s="52">
        <v>0.15576976395869901</v>
      </c>
      <c r="F23" s="20">
        <v>0.57916130674135657</v>
      </c>
      <c r="G23" s="52">
        <v>0.57916130674135657</v>
      </c>
      <c r="H23" s="20">
        <v>0.15576976395869901</v>
      </c>
      <c r="I23" s="52">
        <v>0.15576976395869901</v>
      </c>
      <c r="J23" s="20">
        <v>0.34440956024800184</v>
      </c>
      <c r="K23" s="52">
        <v>0.34440956024800184</v>
      </c>
      <c r="L23" s="20">
        <v>0.15576976395869901</v>
      </c>
      <c r="M23" s="52">
        <v>0.15576976395869901</v>
      </c>
      <c r="N23" s="20">
        <v>0.30769098973565678</v>
      </c>
      <c r="O23" s="52">
        <v>0.30769098973565678</v>
      </c>
      <c r="P23" s="20">
        <v>0.30769098973565678</v>
      </c>
      <c r="Q23" s="52">
        <v>0.30769098973565678</v>
      </c>
      <c r="R23" s="20">
        <v>4.1972355940653294E-2</v>
      </c>
      <c r="S23" s="52">
        <v>4.1972355940653294E-2</v>
      </c>
      <c r="T23" s="20">
        <v>4.1972355940653294E-2</v>
      </c>
      <c r="U23" s="52">
        <v>4.1972355940653294E-2</v>
      </c>
      <c r="V23" s="20">
        <v>2.3023884306863529E-2</v>
      </c>
      <c r="W23" s="52">
        <v>2.3023884306863529E-2</v>
      </c>
      <c r="X23" s="20">
        <v>8.48449462275358E-4</v>
      </c>
      <c r="Y23" s="52">
        <v>8.48449462275358E-4</v>
      </c>
      <c r="Z23" s="20">
        <v>0.29165754659761278</v>
      </c>
      <c r="AA23" s="52">
        <v>0.29165754659761278</v>
      </c>
      <c r="AC23" s="58">
        <f>AVERAGEIF(B23:AA23,"&lt;65535")</f>
        <v>0.24565894280241451</v>
      </c>
    </row>
    <row r="24" spans="1:32" x14ac:dyDescent="0.35">
      <c r="A24" s="60" t="s">
        <v>421</v>
      </c>
      <c r="B24" s="65">
        <v>0.86466850232558701</v>
      </c>
      <c r="C24" s="52">
        <v>0.86466850232558701</v>
      </c>
      <c r="D24" s="20">
        <v>0.23864467013471535</v>
      </c>
      <c r="E24" s="52">
        <v>0.23864467013471535</v>
      </c>
      <c r="F24" s="20">
        <v>0.69057058751295819</v>
      </c>
      <c r="G24" s="52">
        <v>0.69057058751295819</v>
      </c>
      <c r="H24" s="20">
        <v>0.23864467013471535</v>
      </c>
      <c r="I24" s="52">
        <v>0.23864467013471535</v>
      </c>
      <c r="J24" s="20">
        <v>0.45755301721025277</v>
      </c>
      <c r="K24" s="52">
        <v>0.45755301721025277</v>
      </c>
      <c r="L24" s="20">
        <v>0.23864467013471535</v>
      </c>
      <c r="M24" s="52">
        <v>0.23864467013471535</v>
      </c>
      <c r="N24" s="20">
        <v>0.37964512916318877</v>
      </c>
      <c r="O24" s="52">
        <v>0.37964512916318877</v>
      </c>
      <c r="P24" s="20">
        <v>0.37964512916318877</v>
      </c>
      <c r="Q24" s="52">
        <v>0.37964512916318877</v>
      </c>
      <c r="R24" s="20">
        <v>6.5714010917418741E-2</v>
      </c>
      <c r="S24" s="52">
        <v>6.5714010917418741E-2</v>
      </c>
      <c r="T24" s="20">
        <v>6.5714010917418741E-2</v>
      </c>
      <c r="U24" s="52">
        <v>6.5714010917418741E-2</v>
      </c>
      <c r="V24" s="20">
        <v>3.6593188547489108E-2</v>
      </c>
      <c r="W24" s="52">
        <v>3.6593188547489108E-2</v>
      </c>
      <c r="X24" s="20">
        <v>2.1574943675059521E-3</v>
      </c>
      <c r="Y24" s="52">
        <v>2.1574943675059521E-3</v>
      </c>
      <c r="Z24" s="20">
        <v>0.35383023332727626</v>
      </c>
      <c r="AA24" s="52">
        <v>0.35383023332727626</v>
      </c>
      <c r="AC24" s="58">
        <f t="shared" ref="AC24:AC27" si="1">AVERAGE(B24:AA24)</f>
        <v>0.30861733183511009</v>
      </c>
    </row>
    <row r="25" spans="1:32" x14ac:dyDescent="0.35">
      <c r="A25" s="60" t="s">
        <v>422</v>
      </c>
      <c r="B25" s="65">
        <v>0.76135532986528465</v>
      </c>
      <c r="C25" s="52">
        <v>0.76135532986528465</v>
      </c>
      <c r="D25" s="20">
        <v>0.13533149767441299</v>
      </c>
      <c r="E25" s="52">
        <v>0.13533149767441299</v>
      </c>
      <c r="F25" s="20">
        <v>0.54244698278974723</v>
      </c>
      <c r="G25" s="52">
        <v>0.54244698278974723</v>
      </c>
      <c r="H25" s="20">
        <v>0.13533149767441299</v>
      </c>
      <c r="I25" s="52">
        <v>0.13533149767441299</v>
      </c>
      <c r="J25" s="20">
        <v>0.30942941248704187</v>
      </c>
      <c r="K25" s="52">
        <v>0.30942941248704187</v>
      </c>
      <c r="L25" s="20">
        <v>0.13533149767441299</v>
      </c>
      <c r="M25" s="52">
        <v>0.13533149767441299</v>
      </c>
      <c r="N25" s="20">
        <v>0.18521489552428028</v>
      </c>
      <c r="O25" s="52">
        <v>0.18521489552428028</v>
      </c>
      <c r="P25" s="20">
        <v>0.18521489552428028</v>
      </c>
      <c r="Q25" s="52">
        <v>0.18521489552428028</v>
      </c>
      <c r="R25" s="20">
        <v>1.7963612545525698E-2</v>
      </c>
      <c r="S25" s="52">
        <v>1.7963612545525698E-2</v>
      </c>
      <c r="T25" s="20">
        <v>1.7963612545525698E-2</v>
      </c>
      <c r="U25" s="52">
        <v>1.7963612545525698E-2</v>
      </c>
      <c r="V25" s="20">
        <v>6.9791774592837807E-3</v>
      </c>
      <c r="W25" s="52">
        <v>6.9791774592837807E-3</v>
      </c>
      <c r="X25" s="20">
        <v>2.15096458345998E-4</v>
      </c>
      <c r="Y25" s="52">
        <v>2.15096458345998E-4</v>
      </c>
      <c r="Z25" s="20">
        <v>0.14878312418175199</v>
      </c>
      <c r="AA25" s="52">
        <v>0.14878312418175199</v>
      </c>
      <c r="AC25" s="58">
        <f t="shared" si="1"/>
        <v>0.19858158710802362</v>
      </c>
    </row>
    <row r="26" spans="1:32" x14ac:dyDescent="0.35">
      <c r="A26" s="61" t="s">
        <v>423</v>
      </c>
      <c r="B26" s="66">
        <f>(B22-B24)*100/B22</f>
        <v>6.0466952702029557</v>
      </c>
      <c r="C26" s="66">
        <f t="shared" ref="C26:AA27" si="2">(C22-C24)*100/C22</f>
        <v>6.0466952702029557</v>
      </c>
      <c r="D26" s="66">
        <f t="shared" si="2"/>
        <v>30.709045950155243</v>
      </c>
      <c r="E26" s="66">
        <f t="shared" si="2"/>
        <v>30.709045950155243</v>
      </c>
      <c r="F26" s="66">
        <f t="shared" si="2"/>
        <v>12.345175592282231</v>
      </c>
      <c r="G26" s="66">
        <f t="shared" si="2"/>
        <v>12.345175592282231</v>
      </c>
      <c r="H26" s="66">
        <f t="shared" si="2"/>
        <v>30.709045950155243</v>
      </c>
      <c r="I26" s="66">
        <f t="shared" si="2"/>
        <v>30.709045950155243</v>
      </c>
      <c r="J26" s="66">
        <f t="shared" si="2"/>
        <v>20.997309059773215</v>
      </c>
      <c r="K26" s="66">
        <f t="shared" si="2"/>
        <v>20.997309059773215</v>
      </c>
      <c r="L26" s="66">
        <f t="shared" si="2"/>
        <v>30.709045950155243</v>
      </c>
      <c r="M26" s="66">
        <f t="shared" si="2"/>
        <v>30.709045950155243</v>
      </c>
      <c r="N26" s="66">
        <f>(N22-N24)*100/N22</f>
        <v>17.375251327670586</v>
      </c>
      <c r="O26" s="66">
        <f t="shared" si="2"/>
        <v>17.375251327670586</v>
      </c>
      <c r="P26" s="66">
        <f t="shared" si="2"/>
        <v>17.375251327670586</v>
      </c>
      <c r="Q26" s="66">
        <f t="shared" si="2"/>
        <v>17.375251327670586</v>
      </c>
      <c r="R26" s="66">
        <f t="shared" si="2"/>
        <v>30.398010494201255</v>
      </c>
      <c r="S26" s="66">
        <f t="shared" si="2"/>
        <v>30.398010494201255</v>
      </c>
      <c r="T26" s="66">
        <f t="shared" si="2"/>
        <v>30.398010494201255</v>
      </c>
      <c r="U26" s="66">
        <f t="shared" si="2"/>
        <v>30.398010494201255</v>
      </c>
      <c r="V26" s="66">
        <f t="shared" si="2"/>
        <v>29.400109068817507</v>
      </c>
      <c r="W26" s="66">
        <f t="shared" si="2"/>
        <v>29.400109068817507</v>
      </c>
      <c r="X26" s="66">
        <f t="shared" si="2"/>
        <v>27.806621278849821</v>
      </c>
      <c r="Y26" s="66">
        <f t="shared" si="2"/>
        <v>27.806621278849821</v>
      </c>
      <c r="Z26" s="66">
        <f t="shared" si="2"/>
        <v>16.368743882078309</v>
      </c>
      <c r="AA26" s="66">
        <f t="shared" si="2"/>
        <v>16.368743882078309</v>
      </c>
      <c r="AC26" s="58">
        <f t="shared" si="1"/>
        <v>23.126024280477957</v>
      </c>
    </row>
    <row r="27" spans="1:32" x14ac:dyDescent="0.35">
      <c r="A27" s="61" t="s">
        <v>424</v>
      </c>
      <c r="B27" s="66">
        <f>(B23-B25)*100/B23</f>
        <v>3.3603965214210763</v>
      </c>
      <c r="C27" s="66">
        <f t="shared" si="2"/>
        <v>3.3603965214210763</v>
      </c>
      <c r="D27" s="66">
        <f t="shared" si="2"/>
        <v>13.120817394128586</v>
      </c>
      <c r="E27" s="66">
        <f t="shared" si="2"/>
        <v>13.120817394128586</v>
      </c>
      <c r="F27" s="66">
        <f t="shared" si="2"/>
        <v>6.3392225143944785</v>
      </c>
      <c r="G27" s="66">
        <f t="shared" si="2"/>
        <v>6.3392225143944785</v>
      </c>
      <c r="H27" s="66">
        <f t="shared" si="2"/>
        <v>13.120817394128586</v>
      </c>
      <c r="I27" s="66">
        <f t="shared" si="2"/>
        <v>13.120817394128586</v>
      </c>
      <c r="J27" s="66">
        <f t="shared" si="2"/>
        <v>10.156555391717795</v>
      </c>
      <c r="K27" s="66">
        <f t="shared" si="2"/>
        <v>10.156555391717795</v>
      </c>
      <c r="L27" s="66">
        <f t="shared" si="2"/>
        <v>13.120817394128586</v>
      </c>
      <c r="M27" s="66">
        <f t="shared" si="2"/>
        <v>13.120817394128586</v>
      </c>
      <c r="N27" s="66">
        <f t="shared" si="2"/>
        <v>39.804901117383402</v>
      </c>
      <c r="O27" s="66">
        <f t="shared" si="2"/>
        <v>39.804901117383402</v>
      </c>
      <c r="P27" s="66">
        <f t="shared" si="2"/>
        <v>39.804901117383402</v>
      </c>
      <c r="Q27" s="66">
        <f t="shared" si="2"/>
        <v>39.804901117383402</v>
      </c>
      <c r="R27" s="66">
        <f t="shared" si="2"/>
        <v>57.201324197942803</v>
      </c>
      <c r="S27" s="66">
        <f t="shared" si="2"/>
        <v>57.201324197942803</v>
      </c>
      <c r="T27" s="66">
        <f t="shared" si="2"/>
        <v>57.201324197942803</v>
      </c>
      <c r="U27" s="66">
        <f t="shared" si="2"/>
        <v>57.201324197942803</v>
      </c>
      <c r="V27" s="66">
        <f t="shared" si="2"/>
        <v>69.687228417824983</v>
      </c>
      <c r="W27" s="66">
        <f t="shared" si="2"/>
        <v>69.687228417824983</v>
      </c>
      <c r="X27" s="66">
        <f t="shared" si="2"/>
        <v>74.648288683081276</v>
      </c>
      <c r="Y27" s="66">
        <f t="shared" si="2"/>
        <v>74.648288683081276</v>
      </c>
      <c r="Z27" s="66">
        <f t="shared" si="2"/>
        <v>48.987048023474742</v>
      </c>
      <c r="AA27" s="66">
        <f t="shared" si="2"/>
        <v>48.987048023474742</v>
      </c>
      <c r="AC27" s="58">
        <f t="shared" si="1"/>
        <v>34.350280181919423</v>
      </c>
    </row>
    <row r="28" spans="1:32" x14ac:dyDescent="0.35">
      <c r="A28" s="43" t="s">
        <v>415</v>
      </c>
      <c r="B28" s="44"/>
      <c r="C28" s="44"/>
      <c r="D28" s="44"/>
      <c r="E28" s="44"/>
      <c r="F28" s="44"/>
      <c r="G28" s="44"/>
      <c r="H28" s="44"/>
      <c r="I28" s="44"/>
      <c r="J28" s="44"/>
      <c r="K28" s="44"/>
      <c r="L28" s="44"/>
      <c r="M28" s="44"/>
      <c r="N28" s="44"/>
      <c r="O28" s="44"/>
      <c r="P28" s="44"/>
      <c r="Q28" s="44"/>
      <c r="R28" s="44"/>
      <c r="S28" s="44"/>
      <c r="T28" s="44"/>
      <c r="U28" s="44"/>
      <c r="V28" s="44"/>
      <c r="W28" s="44"/>
      <c r="X28" s="44"/>
      <c r="Y28" s="44"/>
      <c r="Z28" s="44"/>
      <c r="AA28" s="44"/>
      <c r="AB28" s="47"/>
      <c r="AC28" s="47"/>
      <c r="AD28" s="47"/>
      <c r="AE28" s="47"/>
      <c r="AF28" s="47"/>
    </row>
    <row r="29" spans="1:32" x14ac:dyDescent="0.35">
      <c r="A29" s="45" t="s">
        <v>361</v>
      </c>
      <c r="B29" s="53">
        <f>VLOOKUP($A$29,'Sociodem statistics'!$B$2:$J$5,9,FALSE)</f>
        <v>1</v>
      </c>
      <c r="C29" s="53">
        <f>VLOOKUP($A$29,'Sociodem statistics'!$B$2:$J$5,9,FALSE)</f>
        <v>1</v>
      </c>
      <c r="D29" s="53">
        <f>VLOOKUP($A$29,'Sociodem statistics'!$B$2:$J$5,9,FALSE)</f>
        <v>1</v>
      </c>
      <c r="E29" s="53">
        <f>VLOOKUP($A$29,'Sociodem statistics'!$B$2:$J$5,9,FALSE)</f>
        <v>1</v>
      </c>
      <c r="F29" s="53">
        <f>VLOOKUP($A$29,'Sociodem statistics'!$B$2:$J$5,9,FALSE)</f>
        <v>1</v>
      </c>
      <c r="G29" s="53">
        <f>VLOOKUP($A$29,'Sociodem statistics'!$B$2:$J$5,9,FALSE)</f>
        <v>1</v>
      </c>
      <c r="H29" s="53">
        <f>VLOOKUP($A$29,'Sociodem statistics'!$B$2:$J$5,9,FALSE)</f>
        <v>1</v>
      </c>
      <c r="I29" s="53">
        <f>VLOOKUP($A$29,'Sociodem statistics'!$B$2:$J$5,9,FALSE)</f>
        <v>1</v>
      </c>
      <c r="J29" s="53">
        <f>VLOOKUP($A$29,'Sociodem statistics'!$B$2:$J$5,9,FALSE)</f>
        <v>1</v>
      </c>
      <c r="K29" s="53">
        <f>VLOOKUP($A$29,'Sociodem statistics'!$B$2:$J$5,9,FALSE)</f>
        <v>1</v>
      </c>
      <c r="L29" s="53">
        <f>VLOOKUP($A$29,'Sociodem statistics'!$B$2:$J$5,9,FALSE)</f>
        <v>1</v>
      </c>
      <c r="M29" s="53">
        <f>VLOOKUP($A$29,'Sociodem statistics'!$B$2:$J$5,9,FALSE)</f>
        <v>1</v>
      </c>
      <c r="N29" s="53">
        <f>VLOOKUP($A$29,'Sociodem statistics'!$B$2:$J$5,9,FALSE)</f>
        <v>1</v>
      </c>
      <c r="O29" s="53">
        <f>VLOOKUP($A$29,'Sociodem statistics'!$B$2:$J$5,9,FALSE)</f>
        <v>1</v>
      </c>
      <c r="P29" s="53">
        <f>VLOOKUP($A$29,'Sociodem statistics'!$B$2:$J$5,9,FALSE)</f>
        <v>1</v>
      </c>
      <c r="Q29" s="53">
        <f>VLOOKUP($A$29,'Sociodem statistics'!$B$2:$J$5,9,FALSE)</f>
        <v>1</v>
      </c>
      <c r="R29" s="53">
        <f>VLOOKUP($A$29,'Sociodem statistics'!$B$2:$J$5,9,FALSE)</f>
        <v>1</v>
      </c>
      <c r="S29" s="53">
        <f>VLOOKUP($A$29,'Sociodem statistics'!$B$2:$J$5,9,FALSE)</f>
        <v>1</v>
      </c>
      <c r="T29" s="53">
        <f>VLOOKUP($A$29,'Sociodem statistics'!$B$2:$J$5,9,FALSE)</f>
        <v>1</v>
      </c>
      <c r="U29" s="53">
        <f>VLOOKUP($A$29,'Sociodem statistics'!$B$2:$J$5,9,FALSE)</f>
        <v>1</v>
      </c>
      <c r="V29" s="53">
        <f>VLOOKUP($A$29,'Sociodem statistics'!$B$2:$J$5,9,FALSE)</f>
        <v>1</v>
      </c>
      <c r="W29" s="53">
        <f>VLOOKUP($A$29,'Sociodem statistics'!$B$2:$J$5,9,FALSE)</f>
        <v>1</v>
      </c>
      <c r="X29" s="53">
        <f>VLOOKUP($A$29,'Sociodem statistics'!$B$2:$J$5,9,FALSE)</f>
        <v>1</v>
      </c>
      <c r="Y29" s="53">
        <f>VLOOKUP($A$29,'Sociodem statistics'!$B$2:$J$5,9,FALSE)</f>
        <v>1</v>
      </c>
      <c r="Z29" s="53">
        <f>VLOOKUP($A$29,'Sociodem statistics'!$B$2:$J$5,9,FALSE)</f>
        <v>1</v>
      </c>
      <c r="AA29" s="53">
        <f>VLOOKUP($A$29,'Sociodem statistics'!$B$2:$J$5,9,FALSE)</f>
        <v>1</v>
      </c>
      <c r="AB29" s="47"/>
      <c r="AC29" s="47"/>
      <c r="AD29" s="47"/>
      <c r="AE29" s="47"/>
      <c r="AF29" s="47"/>
    </row>
    <row r="30" spans="1:32" x14ac:dyDescent="0.35">
      <c r="A30" s="45" t="s">
        <v>364</v>
      </c>
      <c r="B30" s="53">
        <f>VLOOKUP($A$30,'Sociodem statistics'!$B$6:$J$8,9,FALSE)</f>
        <v>0.51</v>
      </c>
      <c r="C30" s="53">
        <f>VLOOKUP($A$30,'Sociodem statistics'!$B$6:$J$8,9,FALSE)</f>
        <v>0.51</v>
      </c>
      <c r="D30" s="53">
        <f>VLOOKUP($A$30,'Sociodem statistics'!$B$6:$J$8,9,FALSE)</f>
        <v>0.51</v>
      </c>
      <c r="E30" s="53">
        <f>VLOOKUP($A$30,'Sociodem statistics'!$B$6:$J$8,9,FALSE)</f>
        <v>0.51</v>
      </c>
      <c r="F30" s="53">
        <f>VLOOKUP($A$30,'Sociodem statistics'!$B$6:$J$8,9,FALSE)</f>
        <v>0.51</v>
      </c>
      <c r="G30" s="53">
        <f>VLOOKUP($A$30,'Sociodem statistics'!$B$6:$J$8,9,FALSE)</f>
        <v>0.51</v>
      </c>
      <c r="H30" s="53">
        <f>VLOOKUP($A$30,'Sociodem statistics'!$B$6:$J$8,9,FALSE)</f>
        <v>0.51</v>
      </c>
      <c r="I30" s="53">
        <f>VLOOKUP($A$30,'Sociodem statistics'!$B$6:$J$8,9,FALSE)</f>
        <v>0.51</v>
      </c>
      <c r="J30" s="53">
        <f>VLOOKUP($A$30,'Sociodem statistics'!$B$6:$J$8,9,FALSE)</f>
        <v>0.51</v>
      </c>
      <c r="K30" s="53">
        <f>VLOOKUP($A$30,'Sociodem statistics'!$B$6:$J$8,9,FALSE)</f>
        <v>0.51</v>
      </c>
      <c r="L30" s="53">
        <f>VLOOKUP($A$30,'Sociodem statistics'!$B$6:$J$8,9,FALSE)</f>
        <v>0.51</v>
      </c>
      <c r="M30" s="53">
        <f>VLOOKUP($A$30,'Sociodem statistics'!$B$6:$J$8,9,FALSE)</f>
        <v>0.51</v>
      </c>
      <c r="N30" s="53">
        <f>VLOOKUP($A$30,'Sociodem statistics'!$B$6:$J$8,9,FALSE)</f>
        <v>0.51</v>
      </c>
      <c r="O30" s="53">
        <f>VLOOKUP($A$30,'Sociodem statistics'!$B$6:$J$8,9,FALSE)</f>
        <v>0.51</v>
      </c>
      <c r="P30" s="53">
        <f>VLOOKUP($A$30,'Sociodem statistics'!$B$6:$J$8,9,FALSE)</f>
        <v>0.51</v>
      </c>
      <c r="Q30" s="53">
        <f>VLOOKUP($A$30,'Sociodem statistics'!$B$6:$J$8,9,FALSE)</f>
        <v>0.51</v>
      </c>
      <c r="R30" s="53">
        <f>VLOOKUP($A$30,'Sociodem statistics'!$B$6:$J$8,9,FALSE)</f>
        <v>0.51</v>
      </c>
      <c r="S30" s="53">
        <f>VLOOKUP($A$30,'Sociodem statistics'!$B$6:$J$8,9,FALSE)</f>
        <v>0.51</v>
      </c>
      <c r="T30" s="53">
        <f>VLOOKUP($A$30,'Sociodem statistics'!$B$6:$J$8,9,FALSE)</f>
        <v>0.51</v>
      </c>
      <c r="U30" s="53">
        <f>VLOOKUP($A$30,'Sociodem statistics'!$B$6:$J$8,9,FALSE)</f>
        <v>0.51</v>
      </c>
      <c r="V30" s="53">
        <f>VLOOKUP($A$30,'Sociodem statistics'!$B$6:$J$8,9,FALSE)</f>
        <v>0.51</v>
      </c>
      <c r="W30" s="53">
        <f>VLOOKUP($A$30,'Sociodem statistics'!$B$6:$J$8,9,FALSE)</f>
        <v>0.51</v>
      </c>
      <c r="X30" s="53">
        <f>VLOOKUP($A$30,'Sociodem statistics'!$B$6:$J$8,9,FALSE)</f>
        <v>0.51</v>
      </c>
      <c r="Y30" s="53">
        <f>VLOOKUP($A$30,'Sociodem statistics'!$B$6:$J$8,9,FALSE)</f>
        <v>0.51</v>
      </c>
      <c r="Z30" s="53">
        <f>VLOOKUP($A$30,'Sociodem statistics'!$B$6:$J$8,9,FALSE)</f>
        <v>0.51</v>
      </c>
      <c r="AA30" s="53">
        <f>VLOOKUP($A$30,'Sociodem statistics'!$B$6:$J$8,9,FALSE)</f>
        <v>0.51</v>
      </c>
      <c r="AB30" s="47"/>
      <c r="AC30" s="47"/>
      <c r="AD30" s="47"/>
      <c r="AE30" s="47"/>
      <c r="AF30" s="47"/>
    </row>
    <row r="31" spans="1:32" x14ac:dyDescent="0.35">
      <c r="A31" s="45" t="s">
        <v>370</v>
      </c>
      <c r="B31" s="53">
        <f>VLOOKUP($A$31,'Sociodem statistics'!$B$9:$J$12,9,FALSE)</f>
        <v>1</v>
      </c>
      <c r="C31" s="53">
        <f>VLOOKUP($A$31,'Sociodem statistics'!$B$9:$J$12,9,FALSE)</f>
        <v>1</v>
      </c>
      <c r="D31" s="53">
        <f>VLOOKUP($A$31,'Sociodem statistics'!$B$9:$J$12,9,FALSE)</f>
        <v>1</v>
      </c>
      <c r="E31" s="53">
        <f>VLOOKUP($A$31,'Sociodem statistics'!$B$9:$J$12,9,FALSE)</f>
        <v>1</v>
      </c>
      <c r="F31" s="53">
        <f>VLOOKUP($A$31,'Sociodem statistics'!$B$9:$J$12,9,FALSE)</f>
        <v>1</v>
      </c>
      <c r="G31" s="53">
        <f>VLOOKUP($A$31,'Sociodem statistics'!$B$9:$J$12,9,FALSE)</f>
        <v>1</v>
      </c>
      <c r="H31" s="53">
        <f>VLOOKUP($A$31,'Sociodem statistics'!$B$9:$J$12,9,FALSE)</f>
        <v>1</v>
      </c>
      <c r="I31" s="53">
        <f>VLOOKUP($A$31,'Sociodem statistics'!$B$9:$J$12,9,FALSE)</f>
        <v>1</v>
      </c>
      <c r="J31" s="53">
        <f>VLOOKUP($A$31,'Sociodem statistics'!$B$9:$J$12,9,FALSE)</f>
        <v>1</v>
      </c>
      <c r="K31" s="53">
        <f>VLOOKUP($A$31,'Sociodem statistics'!$B$9:$J$12,9,FALSE)</f>
        <v>1</v>
      </c>
      <c r="L31" s="53">
        <f>VLOOKUP($A$31,'Sociodem statistics'!$B$9:$J$12,9,FALSE)</f>
        <v>1</v>
      </c>
      <c r="M31" s="53">
        <f>VLOOKUP($A$31,'Sociodem statistics'!$B$9:$J$12,9,FALSE)</f>
        <v>1</v>
      </c>
      <c r="N31" s="53">
        <f>VLOOKUP($A$31,'Sociodem statistics'!$B$9:$J$12,9,FALSE)</f>
        <v>1</v>
      </c>
      <c r="O31" s="53">
        <f>VLOOKUP($A$31,'Sociodem statistics'!$B$9:$J$12,9,FALSE)</f>
        <v>1</v>
      </c>
      <c r="P31" s="53">
        <f>VLOOKUP($A$31,'Sociodem statistics'!$B$9:$J$12,9,FALSE)</f>
        <v>1</v>
      </c>
      <c r="Q31" s="53">
        <f>VLOOKUP($A$31,'Sociodem statistics'!$B$9:$J$12,9,FALSE)</f>
        <v>1</v>
      </c>
      <c r="R31" s="53">
        <f>VLOOKUP($A$31,'Sociodem statistics'!$B$9:$J$12,9,FALSE)</f>
        <v>1</v>
      </c>
      <c r="S31" s="53">
        <f>VLOOKUP($A$31,'Sociodem statistics'!$B$9:$J$12,9,FALSE)</f>
        <v>1</v>
      </c>
      <c r="T31" s="53">
        <f>VLOOKUP($A$31,'Sociodem statistics'!$B$9:$J$12,9,FALSE)</f>
        <v>1</v>
      </c>
      <c r="U31" s="53">
        <f>VLOOKUP($A$31,'Sociodem statistics'!$B$9:$J$12,9,FALSE)</f>
        <v>1</v>
      </c>
      <c r="V31" s="53">
        <f>VLOOKUP($A$31,'Sociodem statistics'!$B$9:$J$12,9,FALSE)</f>
        <v>1</v>
      </c>
      <c r="W31" s="53">
        <f>VLOOKUP($A$31,'Sociodem statistics'!$B$9:$J$12,9,FALSE)</f>
        <v>1</v>
      </c>
      <c r="X31" s="53">
        <f>VLOOKUP($A$31,'Sociodem statistics'!$B$9:$J$12,9,FALSE)</f>
        <v>1</v>
      </c>
      <c r="Y31" s="53">
        <f>VLOOKUP($A$31,'Sociodem statistics'!$B$9:$J$12,9,FALSE)</f>
        <v>1</v>
      </c>
      <c r="Z31" s="53">
        <f>VLOOKUP($A$31,'Sociodem statistics'!$B$9:$J$12,9,FALSE)</f>
        <v>1</v>
      </c>
      <c r="AA31" s="53">
        <f>VLOOKUP($A$31,'Sociodem statistics'!$B$9:$J$12,9,FALSE)</f>
        <v>1</v>
      </c>
      <c r="AB31" s="47"/>
      <c r="AC31" s="47"/>
      <c r="AD31" s="47"/>
      <c r="AE31" s="47"/>
      <c r="AF31" s="47"/>
    </row>
    <row r="32" spans="1:32" x14ac:dyDescent="0.35">
      <c r="A32" s="45" t="s">
        <v>375</v>
      </c>
      <c r="B32" s="53">
        <f>VLOOKUP($A$32,'Sociodem statistics'!$B$13:$J$15,9,FALSE)</f>
        <v>1</v>
      </c>
      <c r="C32" s="53">
        <f>VLOOKUP($A$32,'Sociodem statistics'!$B$13:$J$15,9,FALSE)</f>
        <v>1</v>
      </c>
      <c r="D32" s="53">
        <f>VLOOKUP($A$32,'Sociodem statistics'!$B$13:$J$15,9,FALSE)</f>
        <v>1</v>
      </c>
      <c r="E32" s="53">
        <f>VLOOKUP($A$32,'Sociodem statistics'!$B$13:$J$15,9,FALSE)</f>
        <v>1</v>
      </c>
      <c r="F32" s="53">
        <f>VLOOKUP($A$32,'Sociodem statistics'!$B$13:$J$15,9,FALSE)</f>
        <v>1</v>
      </c>
      <c r="G32" s="53">
        <f>VLOOKUP($A$32,'Sociodem statistics'!$B$13:$J$15,9,FALSE)</f>
        <v>1</v>
      </c>
      <c r="H32" s="53">
        <f>VLOOKUP($A$32,'Sociodem statistics'!$B$13:$J$15,9,FALSE)</f>
        <v>1</v>
      </c>
      <c r="I32" s="53">
        <f>VLOOKUP($A$32,'Sociodem statistics'!$B$13:$J$15,9,FALSE)</f>
        <v>1</v>
      </c>
      <c r="J32" s="53">
        <f>VLOOKUP($A$32,'Sociodem statistics'!$B$13:$J$15,9,FALSE)</f>
        <v>1</v>
      </c>
      <c r="K32" s="53">
        <f>VLOOKUP($A$32,'Sociodem statistics'!$B$13:$J$15,9,FALSE)</f>
        <v>1</v>
      </c>
      <c r="L32" s="53">
        <f>VLOOKUP($A$32,'Sociodem statistics'!$B$13:$J$15,9,FALSE)</f>
        <v>1</v>
      </c>
      <c r="M32" s="53">
        <f>VLOOKUP($A$32,'Sociodem statistics'!$B$13:$J$15,9,FALSE)</f>
        <v>1</v>
      </c>
      <c r="N32" s="53">
        <f>VLOOKUP($A$32,'Sociodem statistics'!$B$13:$J$15,9,FALSE)</f>
        <v>1</v>
      </c>
      <c r="O32" s="53">
        <f>VLOOKUP($A$32,'Sociodem statistics'!$B$13:$J$15,9,FALSE)</f>
        <v>1</v>
      </c>
      <c r="P32" s="53">
        <f>VLOOKUP($A$32,'Sociodem statistics'!$B$13:$J$15,9,FALSE)</f>
        <v>1</v>
      </c>
      <c r="Q32" s="53">
        <f>VLOOKUP($A$32,'Sociodem statistics'!$B$13:$J$15,9,FALSE)</f>
        <v>1</v>
      </c>
      <c r="R32" s="53">
        <f>VLOOKUP($A$32,'Sociodem statistics'!$B$13:$J$15,9,FALSE)</f>
        <v>1</v>
      </c>
      <c r="S32" s="53">
        <f>VLOOKUP($A$32,'Sociodem statistics'!$B$13:$J$15,9,FALSE)</f>
        <v>1</v>
      </c>
      <c r="T32" s="53">
        <f>VLOOKUP($A$32,'Sociodem statistics'!$B$13:$J$15,9,FALSE)</f>
        <v>1</v>
      </c>
      <c r="U32" s="53">
        <f>VLOOKUP($A$32,'Sociodem statistics'!$B$13:$J$15,9,FALSE)</f>
        <v>1</v>
      </c>
      <c r="V32" s="53">
        <f>VLOOKUP($A$32,'Sociodem statistics'!$B$13:$J$15,9,FALSE)</f>
        <v>1</v>
      </c>
      <c r="W32" s="53">
        <f>VLOOKUP($A$32,'Sociodem statistics'!$B$13:$J$15,9,FALSE)</f>
        <v>1</v>
      </c>
      <c r="X32" s="53">
        <f>VLOOKUP($A$32,'Sociodem statistics'!$B$13:$J$15,9,FALSE)</f>
        <v>1</v>
      </c>
      <c r="Y32" s="53">
        <f>VLOOKUP($A$32,'Sociodem statistics'!$B$13:$J$15,9,FALSE)</f>
        <v>1</v>
      </c>
      <c r="Z32" s="53">
        <f>VLOOKUP($A$32,'Sociodem statistics'!$B$13:$J$15,9,FALSE)</f>
        <v>1</v>
      </c>
      <c r="AA32" s="53">
        <f>VLOOKUP($A$32,'Sociodem statistics'!$B$13:$J$15,9,FALSE)</f>
        <v>1</v>
      </c>
      <c r="AB32" s="47"/>
      <c r="AC32" s="47"/>
      <c r="AD32" s="47"/>
      <c r="AE32" s="47"/>
      <c r="AF32" s="47"/>
    </row>
    <row r="33" spans="1:32" x14ac:dyDescent="0.35">
      <c r="A33" s="45" t="s">
        <v>377</v>
      </c>
      <c r="B33" s="53">
        <f>VLOOKUP($A$33,'Sociodem statistics'!$B$16:$J$19,9,FALSE)</f>
        <v>1</v>
      </c>
      <c r="C33" s="53">
        <f>VLOOKUP($A$33,'Sociodem statistics'!$B$16:$J$19,9,FALSE)</f>
        <v>1</v>
      </c>
      <c r="D33" s="53">
        <f>VLOOKUP($A$33,'Sociodem statistics'!$B$16:$J$19,9,FALSE)</f>
        <v>1</v>
      </c>
      <c r="E33" s="53">
        <f>VLOOKUP($A$33,'Sociodem statistics'!$B$16:$J$19,9,FALSE)</f>
        <v>1</v>
      </c>
      <c r="F33" s="53">
        <f>VLOOKUP($A$33,'Sociodem statistics'!$B$16:$J$19,9,FALSE)</f>
        <v>1</v>
      </c>
      <c r="G33" s="53">
        <f>VLOOKUP($A$33,'Sociodem statistics'!$B$16:$J$19,9,FALSE)</f>
        <v>1</v>
      </c>
      <c r="H33" s="53">
        <f>VLOOKUP($A$33,'Sociodem statistics'!$B$16:$J$19,9,FALSE)</f>
        <v>1</v>
      </c>
      <c r="I33" s="53">
        <f>VLOOKUP($A$33,'Sociodem statistics'!$B$16:$J$19,9,FALSE)</f>
        <v>1</v>
      </c>
      <c r="J33" s="53">
        <f>VLOOKUP($A$33,'Sociodem statistics'!$B$16:$J$19,9,FALSE)</f>
        <v>1</v>
      </c>
      <c r="K33" s="53">
        <f>VLOOKUP($A$33,'Sociodem statistics'!$B$16:$J$19,9,FALSE)</f>
        <v>1</v>
      </c>
      <c r="L33" s="53">
        <f>VLOOKUP($A$33,'Sociodem statistics'!$B$16:$J$19,9,FALSE)</f>
        <v>1</v>
      </c>
      <c r="M33" s="53">
        <f>VLOOKUP($A$33,'Sociodem statistics'!$B$16:$J$19,9,FALSE)</f>
        <v>1</v>
      </c>
      <c r="N33" s="53">
        <f>VLOOKUP($A$33,'Sociodem statistics'!$B$16:$J$19,9,FALSE)</f>
        <v>1</v>
      </c>
      <c r="O33" s="53">
        <f>VLOOKUP($A$33,'Sociodem statistics'!$B$16:$J$19,9,FALSE)</f>
        <v>1</v>
      </c>
      <c r="P33" s="53">
        <f>VLOOKUP($A$33,'Sociodem statistics'!$B$16:$J$19,9,FALSE)</f>
        <v>1</v>
      </c>
      <c r="Q33" s="53">
        <f>VLOOKUP($A$33,'Sociodem statistics'!$B$16:$J$19,9,FALSE)</f>
        <v>1</v>
      </c>
      <c r="R33" s="53">
        <f>VLOOKUP($A$33,'Sociodem statistics'!$B$16:$J$19,9,FALSE)</f>
        <v>1</v>
      </c>
      <c r="S33" s="53">
        <f>VLOOKUP($A$33,'Sociodem statistics'!$B$16:$J$19,9,FALSE)</f>
        <v>1</v>
      </c>
      <c r="T33" s="53">
        <f>VLOOKUP($A$33,'Sociodem statistics'!$B$16:$J$19,9,FALSE)</f>
        <v>1</v>
      </c>
      <c r="U33" s="53">
        <f>VLOOKUP($A$33,'Sociodem statistics'!$B$16:$J$19,9,FALSE)</f>
        <v>1</v>
      </c>
      <c r="V33" s="53">
        <f>VLOOKUP($A$33,'Sociodem statistics'!$B$16:$J$19,9,FALSE)</f>
        <v>1</v>
      </c>
      <c r="W33" s="53">
        <f>VLOOKUP($A$33,'Sociodem statistics'!$B$16:$J$19,9,FALSE)</f>
        <v>1</v>
      </c>
      <c r="X33" s="53">
        <f>VLOOKUP($A$33,'Sociodem statistics'!$B$16:$J$19,9,FALSE)</f>
        <v>1</v>
      </c>
      <c r="Y33" s="53">
        <f>VLOOKUP($A$33,'Sociodem statistics'!$B$16:$J$19,9,FALSE)</f>
        <v>1</v>
      </c>
      <c r="Z33" s="53">
        <f>VLOOKUP($A$33,'Sociodem statistics'!$B$16:$J$19,9,FALSE)</f>
        <v>1</v>
      </c>
      <c r="AA33" s="53">
        <f>VLOOKUP($A$33,'Sociodem statistics'!$B$16:$J$19,9,FALSE)</f>
        <v>1</v>
      </c>
      <c r="AB33" s="47"/>
      <c r="AC33" s="47"/>
      <c r="AD33" s="47"/>
      <c r="AE33" s="47"/>
      <c r="AF33" s="47"/>
    </row>
    <row r="34" spans="1:32" x14ac:dyDescent="0.35">
      <c r="A34" s="45" t="s">
        <v>402</v>
      </c>
      <c r="B34" s="53">
        <f>VLOOKUP($A$34,'Sociodem statistics'!$B$29:$J$31,9,FALSE)</f>
        <v>1</v>
      </c>
      <c r="C34" s="53">
        <f>VLOOKUP($A$34,'Sociodem statistics'!$B$29:$J$31,9,FALSE)</f>
        <v>1</v>
      </c>
      <c r="D34" s="53">
        <f>VLOOKUP($A$34,'Sociodem statistics'!$B$29:$J$31,9,FALSE)</f>
        <v>1</v>
      </c>
      <c r="E34" s="53">
        <f>VLOOKUP($A$34,'Sociodem statistics'!$B$29:$J$31,9,FALSE)</f>
        <v>1</v>
      </c>
      <c r="F34" s="53">
        <f>VLOOKUP($A$34,'Sociodem statistics'!$B$29:$J$31,9,FALSE)</f>
        <v>1</v>
      </c>
      <c r="G34" s="53">
        <f>VLOOKUP($A$34,'Sociodem statistics'!$B$29:$J$31,9,FALSE)</f>
        <v>1</v>
      </c>
      <c r="H34" s="53">
        <f>VLOOKUP($A$34,'Sociodem statistics'!$B$29:$J$31,9,FALSE)</f>
        <v>1</v>
      </c>
      <c r="I34" s="53">
        <f>VLOOKUP($A$34,'Sociodem statistics'!$B$29:$J$31,9,FALSE)</f>
        <v>1</v>
      </c>
      <c r="J34" s="53">
        <f>VLOOKUP($A$34,'Sociodem statistics'!$B$29:$J$31,9,FALSE)</f>
        <v>1</v>
      </c>
      <c r="K34" s="53">
        <f>VLOOKUP($A$34,'Sociodem statistics'!$B$29:$J$31,9,FALSE)</f>
        <v>1</v>
      </c>
      <c r="L34" s="53">
        <f>VLOOKUP($A$34,'Sociodem statistics'!$B$29:$J$31,9,FALSE)</f>
        <v>1</v>
      </c>
      <c r="M34" s="53">
        <f>VLOOKUP($A$34,'Sociodem statistics'!$B$29:$J$31,9,FALSE)</f>
        <v>1</v>
      </c>
      <c r="N34" s="53">
        <f>VLOOKUP($A$34,'Sociodem statistics'!$B$29:$J$31,9,FALSE)</f>
        <v>1</v>
      </c>
      <c r="O34" s="53">
        <f>VLOOKUP($A$34,'Sociodem statistics'!$B$29:$J$31,9,FALSE)</f>
        <v>1</v>
      </c>
      <c r="P34" s="53">
        <f>VLOOKUP($A$34,'Sociodem statistics'!$B$29:$J$31,9,FALSE)</f>
        <v>1</v>
      </c>
      <c r="Q34" s="53">
        <f>VLOOKUP($A$34,'Sociodem statistics'!$B$29:$J$31,9,FALSE)</f>
        <v>1</v>
      </c>
      <c r="R34" s="53">
        <f>VLOOKUP($A$34,'Sociodem statistics'!$B$29:$J$31,9,FALSE)</f>
        <v>1</v>
      </c>
      <c r="S34" s="53">
        <f>VLOOKUP($A$34,'Sociodem statistics'!$B$29:$J$31,9,FALSE)</f>
        <v>1</v>
      </c>
      <c r="T34" s="53">
        <f>VLOOKUP($A$34,'Sociodem statistics'!$B$29:$J$31,9,FALSE)</f>
        <v>1</v>
      </c>
      <c r="U34" s="53">
        <f>VLOOKUP($A$34,'Sociodem statistics'!$B$29:$J$31,9,FALSE)</f>
        <v>1</v>
      </c>
      <c r="V34" s="53">
        <f>VLOOKUP($A$34,'Sociodem statistics'!$B$29:$J$31,9,FALSE)</f>
        <v>1</v>
      </c>
      <c r="W34" s="53">
        <f>VLOOKUP($A$34,'Sociodem statistics'!$B$29:$J$31,9,FALSE)</f>
        <v>1</v>
      </c>
      <c r="X34" s="53">
        <f>VLOOKUP($A$34,'Sociodem statistics'!$B$29:$J$31,9,FALSE)</f>
        <v>1</v>
      </c>
      <c r="Y34" s="53">
        <f>VLOOKUP($A$34,'Sociodem statistics'!$B$29:$J$31,9,FALSE)</f>
        <v>1</v>
      </c>
      <c r="Z34" s="53">
        <f>VLOOKUP($A$34,'Sociodem statistics'!$B$29:$J$31,9,FALSE)</f>
        <v>1</v>
      </c>
      <c r="AA34" s="53">
        <f>VLOOKUP($A$34,'Sociodem statistics'!$B$29:$J$31,9,FALSE)</f>
        <v>1</v>
      </c>
      <c r="AB34" s="47"/>
      <c r="AC34" s="47"/>
      <c r="AD34" s="47"/>
      <c r="AE34" s="47"/>
      <c r="AF34" s="47"/>
    </row>
    <row r="35" spans="1:32" x14ac:dyDescent="0.35">
      <c r="A35" s="45" t="s">
        <v>414</v>
      </c>
      <c r="B35" s="53">
        <f>VLOOKUP($A$35,'Sociodem statistics'!$B$39:$J$41,9,FALSE)</f>
        <v>1</v>
      </c>
      <c r="C35" s="53">
        <f>VLOOKUP($A$35,'Sociodem statistics'!$B$39:$J$41,9,FALSE)</f>
        <v>1</v>
      </c>
      <c r="D35" s="53">
        <f>VLOOKUP($A$35,'Sociodem statistics'!$B$39:$J$41,9,FALSE)</f>
        <v>1</v>
      </c>
      <c r="E35" s="53">
        <f>VLOOKUP($A$35,'Sociodem statistics'!$B$39:$J$41,9,FALSE)</f>
        <v>1</v>
      </c>
      <c r="F35" s="53">
        <f>VLOOKUP($A$35,'Sociodem statistics'!$B$39:$J$41,9,FALSE)</f>
        <v>1</v>
      </c>
      <c r="G35" s="53">
        <f>VLOOKUP($A$35,'Sociodem statistics'!$B$39:$J$41,9,FALSE)</f>
        <v>1</v>
      </c>
      <c r="H35" s="53">
        <f>VLOOKUP($A$35,'Sociodem statistics'!$B$39:$J$41,9,FALSE)</f>
        <v>1</v>
      </c>
      <c r="I35" s="53">
        <f>VLOOKUP($A$35,'Sociodem statistics'!$B$39:$J$41,9,FALSE)</f>
        <v>1</v>
      </c>
      <c r="J35" s="53">
        <f>VLOOKUP($A$35,'Sociodem statistics'!$B$39:$J$41,9,FALSE)</f>
        <v>1</v>
      </c>
      <c r="K35" s="53">
        <f>VLOOKUP($A$35,'Sociodem statistics'!$B$39:$J$41,9,FALSE)</f>
        <v>1</v>
      </c>
      <c r="L35" s="53">
        <f>VLOOKUP($A$35,'Sociodem statistics'!$B$39:$J$41,9,FALSE)</f>
        <v>1</v>
      </c>
      <c r="M35" s="53">
        <f>VLOOKUP($A$35,'Sociodem statistics'!$B$39:$J$41,9,FALSE)</f>
        <v>1</v>
      </c>
      <c r="N35" s="53">
        <f>VLOOKUP($A$35,'Sociodem statistics'!$B$39:$J$41,9,FALSE)</f>
        <v>1</v>
      </c>
      <c r="O35" s="53">
        <f>VLOOKUP($A$35,'Sociodem statistics'!$B$39:$J$41,9,FALSE)</f>
        <v>1</v>
      </c>
      <c r="P35" s="53">
        <f>VLOOKUP($A$35,'Sociodem statistics'!$B$39:$J$41,9,FALSE)</f>
        <v>1</v>
      </c>
      <c r="Q35" s="53">
        <f>VLOOKUP($A$35,'Sociodem statistics'!$B$39:$J$41,9,FALSE)</f>
        <v>1</v>
      </c>
      <c r="R35" s="53">
        <f>VLOOKUP($A$35,'Sociodem statistics'!$B$39:$J$41,9,FALSE)</f>
        <v>1</v>
      </c>
      <c r="S35" s="53">
        <f>VLOOKUP($A$35,'Sociodem statistics'!$B$39:$J$41,9,FALSE)</f>
        <v>1</v>
      </c>
      <c r="T35" s="53">
        <f>VLOOKUP($A$35,'Sociodem statistics'!$B$39:$J$41,9,FALSE)</f>
        <v>1</v>
      </c>
      <c r="U35" s="53">
        <f>VLOOKUP($A$35,'Sociodem statistics'!$B$39:$J$41,9,FALSE)</f>
        <v>1</v>
      </c>
      <c r="V35" s="53">
        <f>VLOOKUP($A$35,'Sociodem statistics'!$B$39:$J$41,9,FALSE)</f>
        <v>1</v>
      </c>
      <c r="W35" s="53">
        <f>VLOOKUP($A$35,'Sociodem statistics'!$B$39:$J$41,9,FALSE)</f>
        <v>1</v>
      </c>
      <c r="X35" s="53">
        <f>VLOOKUP($A$35,'Sociodem statistics'!$B$39:$J$41,9,FALSE)</f>
        <v>1</v>
      </c>
      <c r="Y35" s="53">
        <f>VLOOKUP($A$35,'Sociodem statistics'!$B$39:$J$41,9,FALSE)</f>
        <v>1</v>
      </c>
      <c r="Z35" s="53">
        <f>VLOOKUP($A$35,'Sociodem statistics'!$B$39:$J$41,9,FALSE)</f>
        <v>1</v>
      </c>
      <c r="AA35" s="53">
        <f>VLOOKUP($A$35,'Sociodem statistics'!$B$39:$J$41,9,FALSE)</f>
        <v>1</v>
      </c>
      <c r="AB35" s="47"/>
      <c r="AC35" s="47"/>
      <c r="AD35" s="47"/>
      <c r="AE35" s="47"/>
      <c r="AF35" s="47"/>
    </row>
    <row r="36" spans="1:32" x14ac:dyDescent="0.35">
      <c r="A36" s="46" t="s">
        <v>416</v>
      </c>
      <c r="B36" s="54">
        <f t="shared" ref="B36:AA36" si="3">B20*100/(500*PRODUCT(B29:B35))</f>
        <v>4.3137254901960782</v>
      </c>
      <c r="C36" s="54">
        <f t="shared" si="3"/>
        <v>4.3137254901960782</v>
      </c>
      <c r="D36" s="54">
        <f t="shared" si="3"/>
        <v>4.3137254901960782</v>
      </c>
      <c r="E36" s="54">
        <f t="shared" si="3"/>
        <v>4.3137254901960782</v>
      </c>
      <c r="F36" s="54">
        <f t="shared" si="3"/>
        <v>4.3137254901960782</v>
      </c>
      <c r="G36" s="54">
        <f t="shared" si="3"/>
        <v>4.3137254901960782</v>
      </c>
      <c r="H36" s="54">
        <f t="shared" si="3"/>
        <v>4.3137254901960782</v>
      </c>
      <c r="I36" s="54">
        <f t="shared" si="3"/>
        <v>4.3137254901960782</v>
      </c>
      <c r="J36" s="54">
        <f t="shared" si="3"/>
        <v>4.3137254901960782</v>
      </c>
      <c r="K36" s="54">
        <f t="shared" si="3"/>
        <v>4.3137254901960782</v>
      </c>
      <c r="L36" s="54">
        <f t="shared" si="3"/>
        <v>4.3137254901960782</v>
      </c>
      <c r="M36" s="54">
        <f t="shared" si="3"/>
        <v>4.3137254901960782</v>
      </c>
      <c r="N36" s="54">
        <f t="shared" si="3"/>
        <v>9.8039215686274517</v>
      </c>
      <c r="O36" s="54">
        <f t="shared" si="3"/>
        <v>9.8039215686274517</v>
      </c>
      <c r="P36" s="54">
        <f t="shared" si="3"/>
        <v>9.8039215686274517</v>
      </c>
      <c r="Q36" s="54">
        <f t="shared" si="3"/>
        <v>9.8039215686274517</v>
      </c>
      <c r="R36" s="54">
        <f t="shared" si="3"/>
        <v>9.8039215686274517</v>
      </c>
      <c r="S36" s="54">
        <f t="shared" si="3"/>
        <v>9.8039215686274517</v>
      </c>
      <c r="T36" s="54">
        <f t="shared" si="3"/>
        <v>9.8039215686274517</v>
      </c>
      <c r="U36" s="54">
        <f t="shared" si="3"/>
        <v>9.8039215686274517</v>
      </c>
      <c r="V36" s="54">
        <f t="shared" si="3"/>
        <v>12.549019607843137</v>
      </c>
      <c r="W36" s="54">
        <f t="shared" si="3"/>
        <v>12.549019607843137</v>
      </c>
      <c r="X36" s="54">
        <f t="shared" si="3"/>
        <v>12.549019607843137</v>
      </c>
      <c r="Y36" s="54">
        <f t="shared" si="3"/>
        <v>12.549019607843137</v>
      </c>
      <c r="Z36" s="55">
        <f t="shared" si="3"/>
        <v>12.549019607843137</v>
      </c>
      <c r="AA36" s="56">
        <f t="shared" si="3"/>
        <v>12.549019607843137</v>
      </c>
      <c r="AB36" s="47"/>
      <c r="AC36" s="57">
        <f>AVERAGE(B36:AA36)</f>
        <v>7.903469079939673</v>
      </c>
      <c r="AD36" s="47"/>
      <c r="AE36" s="47"/>
      <c r="AF36" s="47"/>
    </row>
    <row r="38" spans="1:32" x14ac:dyDescent="0.35">
      <c r="Y38" s="181" t="s">
        <v>426</v>
      </c>
      <c r="Z38" s="181"/>
      <c r="AA38" s="181"/>
      <c r="AB38" s="181"/>
      <c r="AC38" s="63">
        <f>AC22*AC36</f>
        <v>2.9827880988356319</v>
      </c>
    </row>
    <row r="39" spans="1:32" x14ac:dyDescent="0.35">
      <c r="Y39" s="182" t="s">
        <v>427</v>
      </c>
      <c r="Z39" s="182"/>
      <c r="AA39" s="182"/>
      <c r="AB39" s="182"/>
      <c r="AC39" s="63">
        <f>AC24*AC36</f>
        <v>2.4391475396922742</v>
      </c>
    </row>
    <row r="40" spans="1:32" x14ac:dyDescent="0.35">
      <c r="Y40" s="67"/>
      <c r="Z40" s="67"/>
      <c r="AA40" s="67"/>
      <c r="AB40" s="67"/>
      <c r="AC40" s="63"/>
    </row>
    <row r="41" spans="1:32" x14ac:dyDescent="0.35">
      <c r="Y41" s="67"/>
      <c r="Z41" s="67"/>
      <c r="AA41" s="67"/>
      <c r="AB41" s="67"/>
      <c r="AC41" s="63"/>
    </row>
    <row r="42" spans="1:32" ht="15" thickBot="1" x14ac:dyDescent="0.4">
      <c r="A42" s="174" t="s">
        <v>531</v>
      </c>
      <c r="B42" s="174"/>
      <c r="C42" s="174"/>
    </row>
    <row r="43" spans="1:32" ht="15.5" thickBot="1" x14ac:dyDescent="0.4">
      <c r="A43" s="83" t="s">
        <v>57</v>
      </c>
      <c r="B43" s="172" t="s">
        <v>26</v>
      </c>
      <c r="C43" s="172"/>
      <c r="D43" s="172"/>
      <c r="E43" s="172"/>
      <c r="F43" s="172"/>
      <c r="G43" s="142" t="s">
        <v>27</v>
      </c>
      <c r="H43" s="142" t="s">
        <v>28</v>
      </c>
      <c r="I43" s="142" t="s">
        <v>470</v>
      </c>
      <c r="J43" s="172" t="s">
        <v>26</v>
      </c>
      <c r="K43" s="172"/>
      <c r="L43" s="172"/>
      <c r="M43" s="172"/>
      <c r="N43" s="172"/>
      <c r="O43" s="142" t="s">
        <v>29</v>
      </c>
      <c r="P43" s="142" t="s">
        <v>30</v>
      </c>
      <c r="Q43" s="12" t="s">
        <v>31</v>
      </c>
      <c r="R43" s="13" t="s">
        <v>32</v>
      </c>
      <c r="V43" s="111"/>
      <c r="W43" s="100"/>
    </row>
    <row r="44" spans="1:32" ht="15.5" x14ac:dyDescent="0.35">
      <c r="A44" s="161" t="s">
        <v>33</v>
      </c>
      <c r="B44" s="163" t="s">
        <v>34</v>
      </c>
      <c r="C44" s="163"/>
      <c r="D44" s="163"/>
      <c r="E44" s="163"/>
      <c r="F44" s="163"/>
      <c r="G44" s="165">
        <v>0.37735195873616845</v>
      </c>
      <c r="H44" s="163">
        <f>RANK(G44,G44:G52)</f>
        <v>2</v>
      </c>
      <c r="I44" s="84" t="s">
        <v>35</v>
      </c>
      <c r="J44" s="163" t="s">
        <v>36</v>
      </c>
      <c r="K44" s="163"/>
      <c r="L44" s="163"/>
      <c r="M44" s="163"/>
      <c r="N44" s="163"/>
      <c r="O44" s="140">
        <v>0.45052279585519123</v>
      </c>
      <c r="P44" s="14">
        <f>RANK(O44,O44:O47)</f>
        <v>1</v>
      </c>
      <c r="Q44" s="15">
        <f>O44*G44</f>
        <v>0.17000565947125137</v>
      </c>
      <c r="R44" s="16">
        <f>RANK(Q44, $Q$44:$Q$52)</f>
        <v>3</v>
      </c>
      <c r="V44" s="112"/>
      <c r="W44" s="118"/>
    </row>
    <row r="45" spans="1:32" ht="15.5" x14ac:dyDescent="0.35">
      <c r="A45" s="169"/>
      <c r="B45" s="170"/>
      <c r="C45" s="170"/>
      <c r="D45" s="170"/>
      <c r="E45" s="170"/>
      <c r="F45" s="170"/>
      <c r="G45" s="173"/>
      <c r="H45" s="170"/>
      <c r="I45" s="85" t="s">
        <v>37</v>
      </c>
      <c r="J45" s="170" t="s">
        <v>38</v>
      </c>
      <c r="K45" s="170"/>
      <c r="L45" s="170"/>
      <c r="M45" s="170"/>
      <c r="N45" s="170"/>
      <c r="O45" s="143">
        <v>0.15302331383193205</v>
      </c>
      <c r="P45" s="16">
        <f>RANK(O45,O44:O47)</f>
        <v>4</v>
      </c>
      <c r="Q45" s="15">
        <f>O45*G44</f>
        <v>5.7743647206778978E-2</v>
      </c>
      <c r="R45" s="16">
        <f t="shared" ref="R45:R52" si="4">RANK(Q45, $Q$44:$Q$52)</f>
        <v>8</v>
      </c>
      <c r="V45" s="109"/>
      <c r="W45" s="118"/>
    </row>
    <row r="46" spans="1:32" ht="15.5" x14ac:dyDescent="0.35">
      <c r="A46" s="169"/>
      <c r="B46" s="170"/>
      <c r="C46" s="170"/>
      <c r="D46" s="170"/>
      <c r="E46" s="170"/>
      <c r="F46" s="170"/>
      <c r="G46" s="173"/>
      <c r="H46" s="170"/>
      <c r="I46" s="85" t="s">
        <v>39</v>
      </c>
      <c r="J46" s="170" t="s">
        <v>40</v>
      </c>
      <c r="K46" s="170"/>
      <c r="L46" s="170"/>
      <c r="M46" s="170"/>
      <c r="N46" s="170"/>
      <c r="O46" s="143">
        <v>0.24181039623045897</v>
      </c>
      <c r="P46" s="16">
        <f>RANK(O46,O44:O47)</f>
        <v>2</v>
      </c>
      <c r="Q46" s="15">
        <f>O46*G44</f>
        <v>9.124762666033269E-2</v>
      </c>
      <c r="R46" s="16">
        <f t="shared" si="4"/>
        <v>5</v>
      </c>
      <c r="V46" s="109"/>
      <c r="W46" s="118"/>
    </row>
    <row r="47" spans="1:32" ht="16" thickBot="1" x14ac:dyDescent="0.4">
      <c r="A47" s="162"/>
      <c r="B47" s="164"/>
      <c r="C47" s="164"/>
      <c r="D47" s="164"/>
      <c r="E47" s="164"/>
      <c r="F47" s="164"/>
      <c r="G47" s="166"/>
      <c r="H47" s="164"/>
      <c r="I47" s="86" t="s">
        <v>41</v>
      </c>
      <c r="J47" s="164" t="s">
        <v>42</v>
      </c>
      <c r="K47" s="164"/>
      <c r="L47" s="164"/>
      <c r="M47" s="164"/>
      <c r="N47" s="164"/>
      <c r="O47" s="141">
        <v>0.15464349408241773</v>
      </c>
      <c r="P47" s="17">
        <f>RANK(O47,O44:O47)</f>
        <v>3</v>
      </c>
      <c r="Q47" s="15">
        <f>O47*G44</f>
        <v>5.8355025397805405E-2</v>
      </c>
      <c r="R47" s="16">
        <f t="shared" si="4"/>
        <v>7</v>
      </c>
      <c r="V47" s="109"/>
      <c r="W47" s="118"/>
    </row>
    <row r="48" spans="1:32" ht="15.5" x14ac:dyDescent="0.35">
      <c r="A48" s="161" t="s">
        <v>43</v>
      </c>
      <c r="B48" s="163" t="s">
        <v>44</v>
      </c>
      <c r="C48" s="163"/>
      <c r="D48" s="163"/>
      <c r="E48" s="163"/>
      <c r="F48" s="163"/>
      <c r="G48" s="165">
        <v>0.22606921403666394</v>
      </c>
      <c r="H48" s="163">
        <f>RANK(G48,G44:G52)</f>
        <v>3</v>
      </c>
      <c r="I48" s="84" t="s">
        <v>45</v>
      </c>
      <c r="J48" s="163" t="s">
        <v>46</v>
      </c>
      <c r="K48" s="163"/>
      <c r="L48" s="163"/>
      <c r="M48" s="163"/>
      <c r="N48" s="163"/>
      <c r="O48" s="140">
        <v>0.47755721221826958</v>
      </c>
      <c r="P48" s="14">
        <f>RANK(O48,O48:O50)</f>
        <v>1</v>
      </c>
      <c r="Q48" s="15">
        <f>O48*G48</f>
        <v>0.10796098362372453</v>
      </c>
      <c r="R48" s="16">
        <f t="shared" si="4"/>
        <v>4</v>
      </c>
      <c r="V48" s="109"/>
      <c r="W48" s="118"/>
    </row>
    <row r="49" spans="1:28" ht="15.5" x14ac:dyDescent="0.35">
      <c r="A49" s="169"/>
      <c r="B49" s="170"/>
      <c r="C49" s="170"/>
      <c r="D49" s="170"/>
      <c r="E49" s="170"/>
      <c r="F49" s="170"/>
      <c r="G49" s="173"/>
      <c r="H49" s="170"/>
      <c r="I49" s="85" t="s">
        <v>47</v>
      </c>
      <c r="J49" s="170" t="s">
        <v>48</v>
      </c>
      <c r="K49" s="170"/>
      <c r="L49" s="170"/>
      <c r="M49" s="170"/>
      <c r="N49" s="170"/>
      <c r="O49" s="143">
        <v>0.29417634230496065</v>
      </c>
      <c r="P49" s="16">
        <f>RANK(O49,O48:O50)</f>
        <v>2</v>
      </c>
      <c r="Q49" s="15">
        <f>O49*G48</f>
        <v>6.6504214493063069E-2</v>
      </c>
      <c r="R49" s="16">
        <f t="shared" si="4"/>
        <v>6</v>
      </c>
      <c r="V49" s="109"/>
      <c r="W49" s="118"/>
    </row>
    <row r="50" spans="1:28" ht="16" thickBot="1" x14ac:dyDescent="0.4">
      <c r="A50" s="162"/>
      <c r="B50" s="164"/>
      <c r="C50" s="164"/>
      <c r="D50" s="164"/>
      <c r="E50" s="164"/>
      <c r="F50" s="164"/>
      <c r="G50" s="166"/>
      <c r="H50" s="164"/>
      <c r="I50" s="86" t="s">
        <v>49</v>
      </c>
      <c r="J50" s="164" t="s">
        <v>50</v>
      </c>
      <c r="K50" s="164"/>
      <c r="L50" s="164"/>
      <c r="M50" s="164"/>
      <c r="N50" s="164"/>
      <c r="O50" s="141">
        <v>0.22826644547676977</v>
      </c>
      <c r="P50" s="17">
        <f>RANK(O50,O48:O50)</f>
        <v>3</v>
      </c>
      <c r="Q50" s="15">
        <f>O50*G48</f>
        <v>5.1604015919876345E-2</v>
      </c>
      <c r="R50" s="16">
        <f t="shared" si="4"/>
        <v>9</v>
      </c>
      <c r="V50" s="109"/>
      <c r="W50" s="118"/>
    </row>
    <row r="51" spans="1:28" ht="15.5" x14ac:dyDescent="0.35">
      <c r="A51" s="161" t="s">
        <v>51</v>
      </c>
      <c r="B51" s="163" t="s">
        <v>52</v>
      </c>
      <c r="C51" s="163"/>
      <c r="D51" s="163"/>
      <c r="E51" s="163"/>
      <c r="F51" s="163"/>
      <c r="G51" s="165">
        <v>0.3965788272271677</v>
      </c>
      <c r="H51" s="163">
        <f>RANK(G51,G44:G52)</f>
        <v>1</v>
      </c>
      <c r="I51" s="84" t="s">
        <v>53</v>
      </c>
      <c r="J51" s="163" t="s">
        <v>54</v>
      </c>
      <c r="K51" s="163"/>
      <c r="L51" s="163"/>
      <c r="M51" s="163"/>
      <c r="N51" s="163"/>
      <c r="O51" s="140">
        <v>0.43107814334540778</v>
      </c>
      <c r="P51" s="14">
        <f>RANK(O51,O51:O52)</f>
        <v>2</v>
      </c>
      <c r="Q51" s="15">
        <f>O51*G51</f>
        <v>0.17095646453118671</v>
      </c>
      <c r="R51" s="16">
        <f t="shared" si="4"/>
        <v>2</v>
      </c>
      <c r="V51" s="109"/>
      <c r="W51" s="118"/>
    </row>
    <row r="52" spans="1:28" ht="16" thickBot="1" x14ac:dyDescent="0.4">
      <c r="A52" s="162"/>
      <c r="B52" s="164"/>
      <c r="C52" s="164"/>
      <c r="D52" s="164"/>
      <c r="E52" s="164"/>
      <c r="F52" s="164"/>
      <c r="G52" s="166"/>
      <c r="H52" s="164"/>
      <c r="I52" s="18" t="s">
        <v>55</v>
      </c>
      <c r="J52" s="167" t="s">
        <v>56</v>
      </c>
      <c r="K52" s="168"/>
      <c r="L52" s="168"/>
      <c r="M52" s="168"/>
      <c r="N52" s="168"/>
      <c r="O52" s="141">
        <v>0.56892185665459227</v>
      </c>
      <c r="P52" s="17">
        <f>RANK(O52,O51:O52)</f>
        <v>1</v>
      </c>
      <c r="Q52" s="19">
        <f>O52*G51</f>
        <v>0.22562236269598102</v>
      </c>
      <c r="R52" s="16">
        <f t="shared" si="4"/>
        <v>1</v>
      </c>
      <c r="V52" s="109"/>
      <c r="W52" s="118"/>
    </row>
    <row r="54" spans="1:28" x14ac:dyDescent="0.35">
      <c r="A54" s="119"/>
      <c r="B54" s="119"/>
      <c r="C54" s="119"/>
      <c r="D54" s="99"/>
      <c r="E54" s="99"/>
      <c r="F54" s="99"/>
      <c r="G54" s="99"/>
      <c r="H54" s="99"/>
      <c r="I54" s="99"/>
      <c r="J54" s="99"/>
      <c r="K54" s="99"/>
      <c r="L54" s="99"/>
      <c r="M54" s="99"/>
      <c r="N54" s="99"/>
      <c r="O54" s="99"/>
      <c r="P54" s="99"/>
      <c r="Q54" s="99"/>
      <c r="R54" s="99"/>
      <c r="S54" s="99"/>
      <c r="T54" s="99"/>
      <c r="U54" s="99"/>
      <c r="V54" s="99"/>
      <c r="W54" s="99"/>
      <c r="X54" s="99"/>
      <c r="Y54" s="99"/>
      <c r="Z54" s="99"/>
      <c r="AA54" s="99"/>
      <c r="AB54" s="99"/>
    </row>
  </sheetData>
  <mergeCells count="28">
    <mergeCell ref="B43:F43"/>
    <mergeCell ref="J43:N43"/>
    <mergeCell ref="A1:A2"/>
    <mergeCell ref="AB20:AC20"/>
    <mergeCell ref="Y38:AB38"/>
    <mergeCell ref="Y39:AB39"/>
    <mergeCell ref="A42:C42"/>
    <mergeCell ref="A44:A47"/>
    <mergeCell ref="B44:F47"/>
    <mergeCell ref="G44:G47"/>
    <mergeCell ref="H44:H47"/>
    <mergeCell ref="J44:N44"/>
    <mergeCell ref="J45:N45"/>
    <mergeCell ref="J46:N46"/>
    <mergeCell ref="J47:N47"/>
    <mergeCell ref="A48:A50"/>
    <mergeCell ref="B48:F50"/>
    <mergeCell ref="G48:G50"/>
    <mergeCell ref="H48:H50"/>
    <mergeCell ref="J48:N48"/>
    <mergeCell ref="J49:N49"/>
    <mergeCell ref="J50:N50"/>
    <mergeCell ref="A51:A52"/>
    <mergeCell ref="B51:F52"/>
    <mergeCell ref="G51:G52"/>
    <mergeCell ref="H51:H52"/>
    <mergeCell ref="J51:N51"/>
    <mergeCell ref="J52:N5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opyFilteredData">
                <anchor moveWithCells="1" sizeWithCells="1">
                  <from>
                    <xdr:col>5</xdr:col>
                    <xdr:colOff>12700</xdr:colOff>
                    <xdr:row>37</xdr:row>
                    <xdr:rowOff>12700</xdr:rowOff>
                  </from>
                  <to>
                    <xdr:col>6</xdr:col>
                    <xdr:colOff>850900</xdr:colOff>
                    <xdr:row>38</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promptTitle="Age" prompt="Select the age included in the study" xr:uid="{00000000-0002-0000-0A00-000000000000}">
          <x14:formula1>
            <xm:f>'Sociodem statistics'!$B$2:$B$5</xm:f>
          </x14:formula1>
          <xm:sqref>A29</xm:sqref>
        </x14:dataValidation>
        <x14:dataValidation type="list" allowBlank="1" showInputMessage="1" showErrorMessage="1" promptTitle="Gender" prompt="Select the gender under evaluation" xr:uid="{00000000-0002-0000-0A00-000001000000}">
          <x14:formula1>
            <xm:f>'Sociodem statistics'!$B$6:$B$8</xm:f>
          </x14:formula1>
          <xm:sqref>A30</xm:sqref>
        </x14:dataValidation>
        <x14:dataValidation type="list" allowBlank="1" showInputMessage="1" showErrorMessage="1" promptTitle="Education" prompt="Select the level of education:_x000a_- Low level: &lt; lower secundary education_x000a_- Medium level:between upper secondary and short-cycle tertiary education_x000a_- High level: degree or higher" xr:uid="{00000000-0002-0000-0A00-000002000000}">
          <x14:formula1>
            <xm:f>'Sociodem statistics'!$B$9:$B$12</xm:f>
          </x14:formula1>
          <xm:sqref>A31</xm:sqref>
        </x14:dataValidation>
        <x14:dataValidation type="list" allowBlank="1" showInputMessage="1" showErrorMessage="1" promptTitle="Disability" prompt="Choose if you are considering people with or without disability_x000a_" xr:uid="{00000000-0002-0000-0A00-000003000000}">
          <x14:formula1>
            <xm:f>'Sociodem statistics'!$B$13:$B$15</xm:f>
          </x14:formula1>
          <xm:sqref>A32</xm:sqref>
        </x14:dataValidation>
        <x14:dataValidation type="list" allowBlank="1" showInputMessage="1" showErrorMessage="1" promptTitle="Family" prompt="Select the family size" xr:uid="{00000000-0002-0000-0A00-000004000000}">
          <x14:formula1>
            <xm:f>'Sociodem statistics'!$B$16:$B$19</xm:f>
          </x14:formula1>
          <xm:sqref>A33</xm:sqref>
        </x14:dataValidation>
        <x14:dataValidation type="list" allowBlank="1" showInputMessage="1" showErrorMessage="1" promptTitle="Sexual orientation" prompt="Select: heterosexual, LGTB or All" xr:uid="{00000000-0002-0000-0A00-000005000000}">
          <x14:formula1>
            <xm:f>'Sociodem statistics'!$B$29:$B$31</xm:f>
          </x14:formula1>
          <xm:sqref>A34</xm:sqref>
        </x14:dataValidation>
        <x14:dataValidation type="list" allowBlank="1" showInputMessage="1" showErrorMessage="1" promptTitle="Economic level" prompt="Select the economic level._x000a_Note: Low wage earners are defined as employees who earn two thirds or less of national median gross hourly earnings. " xr:uid="{00000000-0002-0000-0A00-000006000000}">
          <x14:formula1>
            <xm:f>'Sociodem statistics'!$B$39:$B$41</xm:f>
          </x14:formula1>
          <xm:sqref>A35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Sheet1</vt:lpstr>
      <vt:lpstr>Sheet2</vt:lpstr>
      <vt:lpstr>Results</vt:lpstr>
      <vt:lpstr>Hierarchy</vt:lpstr>
      <vt:lpstr>Sociodem statistics</vt:lpstr>
      <vt:lpstr>Aggregated</vt:lpstr>
      <vt:lpstr>Women only</vt:lpstr>
      <vt:lpstr>Women(With Dependt)</vt:lpstr>
      <vt:lpstr>Poor Women</vt:lpstr>
      <vt:lpstr>Rural Women</vt:lpstr>
      <vt:lpstr>Discrimineted Women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Ashwani Malviya</dc:creator>
  <cp:lastModifiedBy>tecnico2</cp:lastModifiedBy>
  <dcterms:created xsi:type="dcterms:W3CDTF">2015-06-05T18:17:20Z</dcterms:created>
  <dcterms:modified xsi:type="dcterms:W3CDTF">2021-09-19T10:52:18Z</dcterms:modified>
</cp:coreProperties>
</file>